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oneomnicom-my.sharepoint.com/personal/papia_sarkar_omc_com/Documents/Documents/Papia/"/>
    </mc:Choice>
  </mc:AlternateContent>
  <xr:revisionPtr revIDLastSave="469" documentId="8_{571AC4C4-D51D-46CB-BAF9-6BA47B5FB1FC}" xr6:coauthVersionLast="47" xr6:coauthVersionMax="47" xr10:uidLastSave="{4D0DEBD0-D6E6-434A-8B16-BA763FCE435A}"/>
  <bookViews>
    <workbookView xWindow="-110" yWindow="-110" windowWidth="19420" windowHeight="11500" tabRatio="801" xr2:uid="{00000000-000D-0000-FFFF-FFFF00000000}"/>
  </bookViews>
  <sheets>
    <sheet name="Finance_Data" sheetId="1" r:id="rId1"/>
    <sheet name="Quality_Check" sheetId="2" r:id="rId2"/>
    <sheet name="Outlier_Check" sheetId="3" r:id="rId3"/>
    <sheet name="Outlier_Analysis" sheetId="6" r:id="rId4"/>
  </sheets>
  <definedNames>
    <definedName name="_xlnm._FilterDatabase" localSheetId="0" hidden="1">Finance_Data!$A$1:$R$1001</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3" l="1"/>
  <c r="I1011" i="3"/>
  <c r="I1010" i="3"/>
  <c r="I1009" i="3"/>
  <c r="I1008" i="3"/>
  <c r="I1007" i="3"/>
  <c r="I1006" i="3"/>
  <c r="I1005" i="3"/>
  <c r="I1004" i="3"/>
  <c r="I1003" i="3"/>
  <c r="I1002" i="3"/>
  <c r="I1001" i="3"/>
  <c r="I1000" i="3"/>
  <c r="I999" i="3"/>
  <c r="I998" i="3"/>
  <c r="I997" i="3"/>
  <c r="I996" i="3"/>
  <c r="I995" i="3"/>
  <c r="I994" i="3"/>
  <c r="I993" i="3"/>
  <c r="I992" i="3"/>
  <c r="I991" i="3"/>
  <c r="I990" i="3"/>
  <c r="I989" i="3"/>
  <c r="I988" i="3"/>
  <c r="I987" i="3"/>
  <c r="I986" i="3"/>
  <c r="I985" i="3"/>
  <c r="I984" i="3"/>
  <c r="I983" i="3"/>
  <c r="I982" i="3"/>
  <c r="I981" i="3"/>
  <c r="I980" i="3"/>
  <c r="I979" i="3"/>
  <c r="I978" i="3"/>
  <c r="I977" i="3"/>
  <c r="I976" i="3"/>
  <c r="I975" i="3"/>
  <c r="I974" i="3"/>
  <c r="I973" i="3"/>
  <c r="I972" i="3"/>
  <c r="I971" i="3"/>
  <c r="I970" i="3"/>
  <c r="I969" i="3"/>
  <c r="I968" i="3"/>
  <c r="I967" i="3"/>
  <c r="I966" i="3"/>
  <c r="I965" i="3"/>
  <c r="I964" i="3"/>
  <c r="I963" i="3"/>
  <c r="I962" i="3"/>
  <c r="I961" i="3"/>
  <c r="I960" i="3"/>
  <c r="I959" i="3"/>
  <c r="I958" i="3"/>
  <c r="I957" i="3"/>
  <c r="I956" i="3"/>
  <c r="I955" i="3"/>
  <c r="I954" i="3"/>
  <c r="I953" i="3"/>
  <c r="I952" i="3"/>
  <c r="I951" i="3"/>
  <c r="I950" i="3"/>
  <c r="I949" i="3"/>
  <c r="I948" i="3"/>
  <c r="I947" i="3"/>
  <c r="I946" i="3"/>
  <c r="I945" i="3"/>
  <c r="I944" i="3"/>
  <c r="I943" i="3"/>
  <c r="I942" i="3"/>
  <c r="I941" i="3"/>
  <c r="I940" i="3"/>
  <c r="I939" i="3"/>
  <c r="I938" i="3"/>
  <c r="I937" i="3"/>
  <c r="I936" i="3"/>
  <c r="I935" i="3"/>
  <c r="I934" i="3"/>
  <c r="I933" i="3"/>
  <c r="I932" i="3"/>
  <c r="I931" i="3"/>
  <c r="I930" i="3"/>
  <c r="I929" i="3"/>
  <c r="I928" i="3"/>
  <c r="I927" i="3"/>
  <c r="I926" i="3"/>
  <c r="I925" i="3"/>
  <c r="I924" i="3"/>
  <c r="I923" i="3"/>
  <c r="I922" i="3"/>
  <c r="I921" i="3"/>
  <c r="I920" i="3"/>
  <c r="I919" i="3"/>
  <c r="I918" i="3"/>
  <c r="I917" i="3"/>
  <c r="I916" i="3"/>
  <c r="I915" i="3"/>
  <c r="I914" i="3"/>
  <c r="I913" i="3"/>
  <c r="I912" i="3"/>
  <c r="I911" i="3"/>
  <c r="I910" i="3"/>
  <c r="I909" i="3"/>
  <c r="I908" i="3"/>
  <c r="I907" i="3"/>
  <c r="I906" i="3"/>
  <c r="I905" i="3"/>
  <c r="I904" i="3"/>
  <c r="I903" i="3"/>
  <c r="I902" i="3"/>
  <c r="I901" i="3"/>
  <c r="I900" i="3"/>
  <c r="I899" i="3"/>
  <c r="I898" i="3"/>
  <c r="I897" i="3"/>
  <c r="I896" i="3"/>
  <c r="I895" i="3"/>
  <c r="I894" i="3"/>
  <c r="I893" i="3"/>
  <c r="I892" i="3"/>
  <c r="I891" i="3"/>
  <c r="I890" i="3"/>
  <c r="I889" i="3"/>
  <c r="I888" i="3"/>
  <c r="I887" i="3"/>
  <c r="I886" i="3"/>
  <c r="I885" i="3"/>
  <c r="I884" i="3"/>
  <c r="I883" i="3"/>
  <c r="I882" i="3"/>
  <c r="I881" i="3"/>
  <c r="I880" i="3"/>
  <c r="I879" i="3"/>
  <c r="I878" i="3"/>
  <c r="I877" i="3"/>
  <c r="I876" i="3"/>
  <c r="I875" i="3"/>
  <c r="I874" i="3"/>
  <c r="I873" i="3"/>
  <c r="I872" i="3"/>
  <c r="I871" i="3"/>
  <c r="I870" i="3"/>
  <c r="I869" i="3"/>
  <c r="I868" i="3"/>
  <c r="I867" i="3"/>
  <c r="I866" i="3"/>
  <c r="I865" i="3"/>
  <c r="I864" i="3"/>
  <c r="I863" i="3"/>
  <c r="I862" i="3"/>
  <c r="I861" i="3"/>
  <c r="I860" i="3"/>
  <c r="I859" i="3"/>
  <c r="I858" i="3"/>
  <c r="I857" i="3"/>
  <c r="I856" i="3"/>
  <c r="I855" i="3"/>
  <c r="I854" i="3"/>
  <c r="I853" i="3"/>
  <c r="I852" i="3"/>
  <c r="I851" i="3"/>
  <c r="I850" i="3"/>
  <c r="I849" i="3"/>
  <c r="I848" i="3"/>
  <c r="I847" i="3"/>
  <c r="I846" i="3"/>
  <c r="I845" i="3"/>
  <c r="I844" i="3"/>
  <c r="I843" i="3"/>
  <c r="I842" i="3"/>
  <c r="I841" i="3"/>
  <c r="I840" i="3"/>
  <c r="I839" i="3"/>
  <c r="I838" i="3"/>
  <c r="I837" i="3"/>
  <c r="I836" i="3"/>
  <c r="I835" i="3"/>
  <c r="I834" i="3"/>
  <c r="I833" i="3"/>
  <c r="I832" i="3"/>
  <c r="I831" i="3"/>
  <c r="I830" i="3"/>
  <c r="I829" i="3"/>
  <c r="I828" i="3"/>
  <c r="I827" i="3"/>
  <c r="I826" i="3"/>
  <c r="I825" i="3"/>
  <c r="I824" i="3"/>
  <c r="I823" i="3"/>
  <c r="I822" i="3"/>
  <c r="I821" i="3"/>
  <c r="I820" i="3"/>
  <c r="I819" i="3"/>
  <c r="I818" i="3"/>
  <c r="I817" i="3"/>
  <c r="I816" i="3"/>
  <c r="I815" i="3"/>
  <c r="I814" i="3"/>
  <c r="I813" i="3"/>
  <c r="I812" i="3"/>
  <c r="I811" i="3"/>
  <c r="I810" i="3"/>
  <c r="I809" i="3"/>
  <c r="I808" i="3"/>
  <c r="I807" i="3"/>
  <c r="I806" i="3"/>
  <c r="I805" i="3"/>
  <c r="I804" i="3"/>
  <c r="I803" i="3"/>
  <c r="I802" i="3"/>
  <c r="I801" i="3"/>
  <c r="I800" i="3"/>
  <c r="I799" i="3"/>
  <c r="I798" i="3"/>
  <c r="I797" i="3"/>
  <c r="I796" i="3"/>
  <c r="I795" i="3"/>
  <c r="I794" i="3"/>
  <c r="I793" i="3"/>
  <c r="I792" i="3"/>
  <c r="I791" i="3"/>
  <c r="I790" i="3"/>
  <c r="I789" i="3"/>
  <c r="I788" i="3"/>
  <c r="I787" i="3"/>
  <c r="I786" i="3"/>
  <c r="I785" i="3"/>
  <c r="I784" i="3"/>
  <c r="I783" i="3"/>
  <c r="I782" i="3"/>
  <c r="I781" i="3"/>
  <c r="I780" i="3"/>
  <c r="I779" i="3"/>
  <c r="I778" i="3"/>
  <c r="I777" i="3"/>
  <c r="I776" i="3"/>
  <c r="I775" i="3"/>
  <c r="I774" i="3"/>
  <c r="I773" i="3"/>
  <c r="I772" i="3"/>
  <c r="I771" i="3"/>
  <c r="I770" i="3"/>
  <c r="I769" i="3"/>
  <c r="I768" i="3"/>
  <c r="I767" i="3"/>
  <c r="I766" i="3"/>
  <c r="I765" i="3"/>
  <c r="I764" i="3"/>
  <c r="I763" i="3"/>
  <c r="I762" i="3"/>
  <c r="I761" i="3"/>
  <c r="I760" i="3"/>
  <c r="I759" i="3"/>
  <c r="I758" i="3"/>
  <c r="I757" i="3"/>
  <c r="I756" i="3"/>
  <c r="I755" i="3"/>
  <c r="I754" i="3"/>
  <c r="I753" i="3"/>
  <c r="I752" i="3"/>
  <c r="I751" i="3"/>
  <c r="I750" i="3"/>
  <c r="I749" i="3"/>
  <c r="I748" i="3"/>
  <c r="I747" i="3"/>
  <c r="I746" i="3"/>
  <c r="I745" i="3"/>
  <c r="I744" i="3"/>
  <c r="I743" i="3"/>
  <c r="I742" i="3"/>
  <c r="I741" i="3"/>
  <c r="I740" i="3"/>
  <c r="I739" i="3"/>
  <c r="I738" i="3"/>
  <c r="I737" i="3"/>
  <c r="I736" i="3"/>
  <c r="I735" i="3"/>
  <c r="I734" i="3"/>
  <c r="I733" i="3"/>
  <c r="I732" i="3"/>
  <c r="I731" i="3"/>
  <c r="I730" i="3"/>
  <c r="I729" i="3"/>
  <c r="I728" i="3"/>
  <c r="I727" i="3"/>
  <c r="I726" i="3"/>
  <c r="I725" i="3"/>
  <c r="I724" i="3"/>
  <c r="I723" i="3"/>
  <c r="I722" i="3"/>
  <c r="I721" i="3"/>
  <c r="I720" i="3"/>
  <c r="I719" i="3"/>
  <c r="I718" i="3"/>
  <c r="I717" i="3"/>
  <c r="I716" i="3"/>
  <c r="I715" i="3"/>
  <c r="I714" i="3"/>
  <c r="I713" i="3"/>
  <c r="I712" i="3"/>
  <c r="I711" i="3"/>
  <c r="I710" i="3"/>
  <c r="I709" i="3"/>
  <c r="I708" i="3"/>
  <c r="I707" i="3"/>
  <c r="I706" i="3"/>
  <c r="I705" i="3"/>
  <c r="I704" i="3"/>
  <c r="I703" i="3"/>
  <c r="I702" i="3"/>
  <c r="I701" i="3"/>
  <c r="I700" i="3"/>
  <c r="I699" i="3"/>
  <c r="I698" i="3"/>
  <c r="I697" i="3"/>
  <c r="I696" i="3"/>
  <c r="I695" i="3"/>
  <c r="I694" i="3"/>
  <c r="I693" i="3"/>
  <c r="I692" i="3"/>
  <c r="I691" i="3"/>
  <c r="I690" i="3"/>
  <c r="I689" i="3"/>
  <c r="I688" i="3"/>
  <c r="I687" i="3"/>
  <c r="I686" i="3"/>
  <c r="I685" i="3"/>
  <c r="I684" i="3"/>
  <c r="I683" i="3"/>
  <c r="I682" i="3"/>
  <c r="I681" i="3"/>
  <c r="I680" i="3"/>
  <c r="I679" i="3"/>
  <c r="I678" i="3"/>
  <c r="I677" i="3"/>
  <c r="I676" i="3"/>
  <c r="I675" i="3"/>
  <c r="I674" i="3"/>
  <c r="I673" i="3"/>
  <c r="I672" i="3"/>
  <c r="I671" i="3"/>
  <c r="I670" i="3"/>
  <c r="I669" i="3"/>
  <c r="I668" i="3"/>
  <c r="I667" i="3"/>
  <c r="I666" i="3"/>
  <c r="I665" i="3"/>
  <c r="I664" i="3"/>
  <c r="I663" i="3"/>
  <c r="I662" i="3"/>
  <c r="I661" i="3"/>
  <c r="I660" i="3"/>
  <c r="I659" i="3"/>
  <c r="I658" i="3"/>
  <c r="I657" i="3"/>
  <c r="I656" i="3"/>
  <c r="I655" i="3"/>
  <c r="I654" i="3"/>
  <c r="I653" i="3"/>
  <c r="I652" i="3"/>
  <c r="I651" i="3"/>
  <c r="I650" i="3"/>
  <c r="I649" i="3"/>
  <c r="I648" i="3"/>
  <c r="I647" i="3"/>
  <c r="I646" i="3"/>
  <c r="I645" i="3"/>
  <c r="I644" i="3"/>
  <c r="I643" i="3"/>
  <c r="I642" i="3"/>
  <c r="I641" i="3"/>
  <c r="I640" i="3"/>
  <c r="I639" i="3"/>
  <c r="I638" i="3"/>
  <c r="I637" i="3"/>
  <c r="I636" i="3"/>
  <c r="I635" i="3"/>
  <c r="I634" i="3"/>
  <c r="I633" i="3"/>
  <c r="I632" i="3"/>
  <c r="I631" i="3"/>
  <c r="I630" i="3"/>
  <c r="I629" i="3"/>
  <c r="I628" i="3"/>
  <c r="I627" i="3"/>
  <c r="I626" i="3"/>
  <c r="I625" i="3"/>
  <c r="I624" i="3"/>
  <c r="I623" i="3"/>
  <c r="I622" i="3"/>
  <c r="I621" i="3"/>
  <c r="I620" i="3"/>
  <c r="I619" i="3"/>
  <c r="I618" i="3"/>
  <c r="I617" i="3"/>
  <c r="I616" i="3"/>
  <c r="I615" i="3"/>
  <c r="I614" i="3"/>
  <c r="I613" i="3"/>
  <c r="I612" i="3"/>
  <c r="I611" i="3"/>
  <c r="I610" i="3"/>
  <c r="I609" i="3"/>
  <c r="I608" i="3"/>
  <c r="I607" i="3"/>
  <c r="I606" i="3"/>
  <c r="I605" i="3"/>
  <c r="I604" i="3"/>
  <c r="I603" i="3"/>
  <c r="I602" i="3"/>
  <c r="I601" i="3"/>
  <c r="I600" i="3"/>
  <c r="I599" i="3"/>
  <c r="I598" i="3"/>
  <c r="I597" i="3"/>
  <c r="I596" i="3"/>
  <c r="I595" i="3"/>
  <c r="I594" i="3"/>
  <c r="I593" i="3"/>
  <c r="I592" i="3"/>
  <c r="I591" i="3"/>
  <c r="I590" i="3"/>
  <c r="I589" i="3"/>
  <c r="I588" i="3"/>
  <c r="I587" i="3"/>
  <c r="I586" i="3"/>
  <c r="I585" i="3"/>
  <c r="I584" i="3"/>
  <c r="I583" i="3"/>
  <c r="I582" i="3"/>
  <c r="I581" i="3"/>
  <c r="I580" i="3"/>
  <c r="I579" i="3"/>
  <c r="I578" i="3"/>
  <c r="I577" i="3"/>
  <c r="I576" i="3"/>
  <c r="I575" i="3"/>
  <c r="I574" i="3"/>
  <c r="I573" i="3"/>
  <c r="I572" i="3"/>
  <c r="I571" i="3"/>
  <c r="I570" i="3"/>
  <c r="I569" i="3"/>
  <c r="I568" i="3"/>
  <c r="I567" i="3"/>
  <c r="I566" i="3"/>
  <c r="I565" i="3"/>
  <c r="I564" i="3"/>
  <c r="I563" i="3"/>
  <c r="I562" i="3"/>
  <c r="I561" i="3"/>
  <c r="I560" i="3"/>
  <c r="I559" i="3"/>
  <c r="I558" i="3"/>
  <c r="I557" i="3"/>
  <c r="I556" i="3"/>
  <c r="I555" i="3"/>
  <c r="I554" i="3"/>
  <c r="I553" i="3"/>
  <c r="I552" i="3"/>
  <c r="I551" i="3"/>
  <c r="I550" i="3"/>
  <c r="I549" i="3"/>
  <c r="I548" i="3"/>
  <c r="I547" i="3"/>
  <c r="I546" i="3"/>
  <c r="I545" i="3"/>
  <c r="I544" i="3"/>
  <c r="I543" i="3"/>
  <c r="I542" i="3"/>
  <c r="I541" i="3"/>
  <c r="I540" i="3"/>
  <c r="I539" i="3"/>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C3" i="3"/>
  <c r="C2" i="3"/>
  <c r="A9" i="3"/>
  <c r="A8" i="3"/>
  <c r="A7" i="3"/>
  <c r="A6" i="3"/>
  <c r="A5" i="3"/>
  <c r="A4" i="3"/>
  <c r="A3" i="3"/>
  <c r="A2" i="3"/>
  <c r="B7" i="3"/>
  <c r="B6" i="3"/>
  <c r="B5" i="3"/>
  <c r="B4" i="3"/>
  <c r="B3" i="3"/>
  <c r="B2" i="3"/>
  <c r="B9" i="3" l="1"/>
  <c r="G397" i="3" s="1"/>
  <c r="B8" i="3"/>
  <c r="C632" i="3" s="1"/>
  <c r="U622" i="1" s="1"/>
  <c r="G302" i="3" l="1"/>
  <c r="G315" i="3"/>
  <c r="G328" i="3"/>
  <c r="G341" i="3"/>
  <c r="G354" i="3"/>
  <c r="G367" i="3"/>
  <c r="G380" i="3"/>
  <c r="G393" i="3"/>
  <c r="G406" i="3"/>
  <c r="G419" i="3"/>
  <c r="G433" i="3"/>
  <c r="G446" i="3"/>
  <c r="G459" i="3"/>
  <c r="G472" i="3"/>
  <c r="G485" i="3"/>
  <c r="G498" i="3"/>
  <c r="G511" i="3"/>
  <c r="G524" i="3"/>
  <c r="G537" i="3"/>
  <c r="G550" i="3"/>
  <c r="G563" i="3"/>
  <c r="G577" i="3"/>
  <c r="G590" i="3"/>
  <c r="G603" i="3"/>
  <c r="G616" i="3"/>
  <c r="G629" i="3"/>
  <c r="G642" i="3"/>
  <c r="G655" i="3"/>
  <c r="G668" i="3"/>
  <c r="G681" i="3"/>
  <c r="G694" i="3"/>
  <c r="G707" i="3"/>
  <c r="G721" i="3"/>
  <c r="G734" i="3"/>
  <c r="G747" i="3"/>
  <c r="G760" i="3"/>
  <c r="G773" i="3"/>
  <c r="G786" i="3"/>
  <c r="G799" i="3"/>
  <c r="G812" i="3"/>
  <c r="G825" i="3"/>
  <c r="G838" i="3"/>
  <c r="G851" i="3"/>
  <c r="G865" i="3"/>
  <c r="G878" i="3"/>
  <c r="G891" i="3"/>
  <c r="G904" i="3"/>
  <c r="G917" i="3"/>
  <c r="G930" i="3"/>
  <c r="G943" i="3"/>
  <c r="G956" i="3"/>
  <c r="G969" i="3"/>
  <c r="G982" i="3"/>
  <c r="G995" i="3"/>
  <c r="G1009" i="3"/>
  <c r="G15" i="3"/>
  <c r="G28" i="3"/>
  <c r="G41" i="3"/>
  <c r="G54" i="3"/>
  <c r="G67" i="3"/>
  <c r="G80" i="3"/>
  <c r="G93" i="3"/>
  <c r="G106" i="3"/>
  <c r="G119" i="3"/>
  <c r="G133" i="3"/>
  <c r="G146" i="3"/>
  <c r="G159" i="3"/>
  <c r="G172" i="3"/>
  <c r="G185" i="3"/>
  <c r="G198" i="3"/>
  <c r="G211" i="3"/>
  <c r="G224" i="3"/>
  <c r="G237" i="3"/>
  <c r="G250" i="3"/>
  <c r="G263" i="3"/>
  <c r="G277" i="3"/>
  <c r="G290" i="3"/>
  <c r="G303" i="3"/>
  <c r="G316" i="3"/>
  <c r="G329" i="3"/>
  <c r="G342" i="3"/>
  <c r="G355" i="3"/>
  <c r="G368" i="3"/>
  <c r="G381" i="3"/>
  <c r="G394" i="3"/>
  <c r="G407" i="3"/>
  <c r="G421" i="3"/>
  <c r="G18" i="3"/>
  <c r="G31" i="3"/>
  <c r="G44" i="3"/>
  <c r="G57" i="3"/>
  <c r="G70" i="3"/>
  <c r="G83" i="3"/>
  <c r="G97" i="3"/>
  <c r="G110" i="3"/>
  <c r="G123" i="3"/>
  <c r="G16" i="3"/>
  <c r="G35" i="3"/>
  <c r="G55" i="3"/>
  <c r="G75" i="3"/>
  <c r="G94" i="3"/>
  <c r="G114" i="3"/>
  <c r="G134" i="3"/>
  <c r="G151" i="3"/>
  <c r="G167" i="3"/>
  <c r="G186" i="3"/>
  <c r="G203" i="3"/>
  <c r="G220" i="3"/>
  <c r="G238" i="3"/>
  <c r="G256" i="3"/>
  <c r="G272" i="3"/>
  <c r="G291" i="3"/>
  <c r="G308" i="3"/>
  <c r="G325" i="3"/>
  <c r="G343" i="3"/>
  <c r="G361" i="3"/>
  <c r="G377" i="3"/>
  <c r="G395" i="3"/>
  <c r="G413" i="3"/>
  <c r="G429" i="3"/>
  <c r="G445" i="3"/>
  <c r="G461" i="3"/>
  <c r="G477" i="3"/>
  <c r="G493" i="3"/>
  <c r="G508" i="3"/>
  <c r="G523" i="3"/>
  <c r="G539" i="3"/>
  <c r="G556" i="3"/>
  <c r="G571" i="3"/>
  <c r="G586" i="3"/>
  <c r="G602" i="3"/>
  <c r="G618" i="3"/>
  <c r="G634" i="3"/>
  <c r="G650" i="3"/>
  <c r="G665" i="3"/>
  <c r="G680" i="3"/>
  <c r="G697" i="3"/>
  <c r="G713" i="3"/>
  <c r="G728" i="3"/>
  <c r="G743" i="3"/>
  <c r="G759" i="3"/>
  <c r="G775" i="3"/>
  <c r="G791" i="3"/>
  <c r="G807" i="3"/>
  <c r="G822" i="3"/>
  <c r="G837" i="3"/>
  <c r="G854" i="3"/>
  <c r="G870" i="3"/>
  <c r="G885" i="3"/>
  <c r="G901" i="3"/>
  <c r="G916" i="3"/>
  <c r="G932" i="3"/>
  <c r="G949" i="3"/>
  <c r="G964" i="3"/>
  <c r="G979" i="3"/>
  <c r="G994" i="3"/>
  <c r="G1011" i="3"/>
  <c r="G19" i="3"/>
  <c r="G37" i="3"/>
  <c r="G58" i="3"/>
  <c r="G76" i="3"/>
  <c r="G98" i="3"/>
  <c r="G115" i="3"/>
  <c r="G136" i="3"/>
  <c r="G152" i="3"/>
  <c r="G169" i="3"/>
  <c r="G188" i="3"/>
  <c r="G205" i="3"/>
  <c r="G221" i="3"/>
  <c r="G241" i="3"/>
  <c r="G257" i="3"/>
  <c r="G273" i="3"/>
  <c r="G293" i="3"/>
  <c r="G309" i="3"/>
  <c r="G326" i="3"/>
  <c r="G345" i="3"/>
  <c r="G362" i="3"/>
  <c r="G378" i="3"/>
  <c r="G398" i="3"/>
  <c r="G414" i="3"/>
  <c r="G430" i="3"/>
  <c r="G447" i="3"/>
  <c r="G463" i="3"/>
  <c r="G478" i="3"/>
  <c r="G494" i="3"/>
  <c r="G509" i="3"/>
  <c r="G525" i="3"/>
  <c r="G542" i="3"/>
  <c r="G557" i="3"/>
  <c r="G572" i="3"/>
  <c r="G587" i="3"/>
  <c r="G604" i="3"/>
  <c r="G620" i="3"/>
  <c r="G635" i="3"/>
  <c r="G651" i="3"/>
  <c r="G666" i="3"/>
  <c r="G682" i="3"/>
  <c r="G699" i="3"/>
  <c r="G714" i="3"/>
  <c r="G729" i="3"/>
  <c r="G745" i="3"/>
  <c r="G761" i="3"/>
  <c r="G777" i="3"/>
  <c r="G793" i="3"/>
  <c r="G808" i="3"/>
  <c r="G823" i="3"/>
  <c r="G839" i="3"/>
  <c r="G856" i="3"/>
  <c r="G871" i="3"/>
  <c r="G886" i="3"/>
  <c r="G902" i="3"/>
  <c r="G918" i="3"/>
  <c r="G934" i="3"/>
  <c r="G950" i="3"/>
  <c r="G965" i="3"/>
  <c r="G980" i="3"/>
  <c r="G997" i="3"/>
  <c r="G20" i="3"/>
  <c r="G38" i="3"/>
  <c r="G59" i="3"/>
  <c r="G77" i="3"/>
  <c r="G99" i="3"/>
  <c r="G116" i="3"/>
  <c r="G137" i="3"/>
  <c r="G153" i="3"/>
  <c r="G170" i="3"/>
  <c r="G189" i="3"/>
  <c r="G206" i="3"/>
  <c r="G222" i="3"/>
  <c r="G242" i="3"/>
  <c r="G258" i="3"/>
  <c r="G274" i="3"/>
  <c r="G294" i="3"/>
  <c r="G310" i="3"/>
  <c r="G327" i="3"/>
  <c r="G346" i="3"/>
  <c r="G363" i="3"/>
  <c r="G379" i="3"/>
  <c r="G399" i="3"/>
  <c r="G415" i="3"/>
  <c r="G431" i="3"/>
  <c r="G448" i="3"/>
  <c r="G21" i="3"/>
  <c r="G46" i="3"/>
  <c r="G71" i="3"/>
  <c r="G100" i="3"/>
  <c r="G125" i="3"/>
  <c r="G147" i="3"/>
  <c r="G173" i="3"/>
  <c r="G194" i="3"/>
  <c r="G217" i="3"/>
  <c r="G243" i="3"/>
  <c r="G265" i="3"/>
  <c r="G285" i="3"/>
  <c r="G311" i="3"/>
  <c r="G334" i="3"/>
  <c r="G356" i="3"/>
  <c r="G382" i="3"/>
  <c r="G403" i="3"/>
  <c r="G426" i="3"/>
  <c r="G450" i="3"/>
  <c r="G467" i="3"/>
  <c r="G486" i="3"/>
  <c r="G505" i="3"/>
  <c r="G522" i="3"/>
  <c r="G544" i="3"/>
  <c r="G561" i="3"/>
  <c r="G581" i="3"/>
  <c r="G598" i="3"/>
  <c r="G617" i="3"/>
  <c r="G638" i="3"/>
  <c r="G656" i="3"/>
  <c r="G675" i="3"/>
  <c r="G692" i="3"/>
  <c r="G712" i="3"/>
  <c r="G731" i="3"/>
  <c r="G751" i="3"/>
  <c r="G769" i="3"/>
  <c r="G787" i="3"/>
  <c r="G806" i="3"/>
  <c r="G826" i="3"/>
  <c r="G845" i="3"/>
  <c r="G862" i="3"/>
  <c r="G882" i="3"/>
  <c r="G899" i="3"/>
  <c r="G921" i="3"/>
  <c r="G939" i="3"/>
  <c r="G957" i="3"/>
  <c r="G976" i="3"/>
  <c r="G993" i="3"/>
  <c r="G22" i="3"/>
  <c r="G47" i="3"/>
  <c r="G73" i="3"/>
  <c r="G101" i="3"/>
  <c r="G126" i="3"/>
  <c r="G149" i="3"/>
  <c r="G175" i="3"/>
  <c r="G195" i="3"/>
  <c r="G218" i="3"/>
  <c r="G244" i="3"/>
  <c r="G267" i="3"/>
  <c r="G286" i="3"/>
  <c r="G313" i="3"/>
  <c r="G335" i="3"/>
  <c r="G358" i="3"/>
  <c r="G385" i="3"/>
  <c r="G404" i="3"/>
  <c r="G427" i="3"/>
  <c r="G451" i="3"/>
  <c r="G469" i="3"/>
  <c r="G487" i="3"/>
  <c r="G506" i="3"/>
  <c r="G526" i="3"/>
  <c r="G545" i="3"/>
  <c r="G562" i="3"/>
  <c r="G582" i="3"/>
  <c r="G599" i="3"/>
  <c r="G621" i="3"/>
  <c r="G639" i="3"/>
  <c r="G657" i="3"/>
  <c r="G676" i="3"/>
  <c r="G693" i="3"/>
  <c r="G715" i="3"/>
  <c r="G733" i="3"/>
  <c r="G752" i="3"/>
  <c r="G770" i="3"/>
  <c r="G788" i="3"/>
  <c r="G809" i="3"/>
  <c r="G827" i="3"/>
  <c r="G846" i="3"/>
  <c r="G863" i="3"/>
  <c r="G883" i="3"/>
  <c r="G903" i="3"/>
  <c r="G922" i="3"/>
  <c r="G940" i="3"/>
  <c r="G958" i="3"/>
  <c r="G977" i="3"/>
  <c r="G998" i="3"/>
  <c r="G23" i="3"/>
  <c r="G49" i="3"/>
  <c r="G74" i="3"/>
  <c r="G102" i="3"/>
  <c r="G127" i="3"/>
  <c r="G150" i="3"/>
  <c r="G176" i="3"/>
  <c r="G196" i="3"/>
  <c r="G219" i="3"/>
  <c r="G245" i="3"/>
  <c r="G268" i="3"/>
  <c r="G287" i="3"/>
  <c r="G314" i="3"/>
  <c r="G337" i="3"/>
  <c r="G359" i="3"/>
  <c r="G386" i="3"/>
  <c r="G405" i="3"/>
  <c r="G428" i="3"/>
  <c r="G452" i="3"/>
  <c r="G470" i="3"/>
  <c r="G489" i="3"/>
  <c r="G507" i="3"/>
  <c r="G529" i="3"/>
  <c r="G546" i="3"/>
  <c r="G565" i="3"/>
  <c r="G583" i="3"/>
  <c r="G601" i="3"/>
  <c r="G622" i="3"/>
  <c r="G640" i="3"/>
  <c r="G659" i="3"/>
  <c r="G677" i="3"/>
  <c r="G695" i="3"/>
  <c r="G716" i="3"/>
  <c r="G735" i="3"/>
  <c r="G753" i="3"/>
  <c r="G771" i="3"/>
  <c r="G790" i="3"/>
  <c r="G810" i="3"/>
  <c r="G830" i="3"/>
  <c r="G847" i="3"/>
  <c r="G866" i="3"/>
  <c r="G884" i="3"/>
  <c r="G905" i="3"/>
  <c r="G923" i="3"/>
  <c r="G941" i="3"/>
  <c r="G961" i="3"/>
  <c r="G978" i="3"/>
  <c r="G1000" i="3"/>
  <c r="G25" i="3"/>
  <c r="G50" i="3"/>
  <c r="G78" i="3"/>
  <c r="G103" i="3"/>
  <c r="G128" i="3"/>
  <c r="G154" i="3"/>
  <c r="G177" i="3"/>
  <c r="G199" i="3"/>
  <c r="G225" i="3"/>
  <c r="G246" i="3"/>
  <c r="G269" i="3"/>
  <c r="G295" i="3"/>
  <c r="G317" i="3"/>
  <c r="G338" i="3"/>
  <c r="G364" i="3"/>
  <c r="G387" i="3"/>
  <c r="G409" i="3"/>
  <c r="G434" i="3"/>
  <c r="G453" i="3"/>
  <c r="G471" i="3"/>
  <c r="G490" i="3"/>
  <c r="G510" i="3"/>
  <c r="G530" i="3"/>
  <c r="G547" i="3"/>
  <c r="G566" i="3"/>
  <c r="G584" i="3"/>
  <c r="G605" i="3"/>
  <c r="G623" i="3"/>
  <c r="G641" i="3"/>
  <c r="G661" i="3"/>
  <c r="G678" i="3"/>
  <c r="G700" i="3"/>
  <c r="G717" i="3"/>
  <c r="G736" i="3"/>
  <c r="G754" i="3"/>
  <c r="G772" i="3"/>
  <c r="G794" i="3"/>
  <c r="G811" i="3"/>
  <c r="G831" i="3"/>
  <c r="G848" i="3"/>
  <c r="G867" i="3"/>
  <c r="G887" i="3"/>
  <c r="G906" i="3"/>
  <c r="G925" i="3"/>
  <c r="G942" i="3"/>
  <c r="G962" i="3"/>
  <c r="G981" i="3"/>
  <c r="G1001" i="3"/>
  <c r="G26" i="3"/>
  <c r="G51" i="3"/>
  <c r="G81" i="3"/>
  <c r="G104" i="3"/>
  <c r="G129" i="3"/>
  <c r="G155" i="3"/>
  <c r="G178" i="3"/>
  <c r="G201" i="3"/>
  <c r="G227" i="3"/>
  <c r="G247" i="3"/>
  <c r="G270" i="3"/>
  <c r="G296" i="3"/>
  <c r="G319" i="3"/>
  <c r="G339" i="3"/>
  <c r="G365" i="3"/>
  <c r="G388" i="3"/>
  <c r="G411" i="3"/>
  <c r="G435" i="3"/>
  <c r="G454" i="3"/>
  <c r="G473" i="3"/>
  <c r="G491" i="3"/>
  <c r="G512" i="3"/>
  <c r="G531" i="3"/>
  <c r="G548" i="3"/>
  <c r="G568" i="3"/>
  <c r="G585" i="3"/>
  <c r="G29" i="3"/>
  <c r="G65" i="3"/>
  <c r="G113" i="3"/>
  <c r="G160" i="3"/>
  <c r="G193" i="3"/>
  <c r="G233" i="3"/>
  <c r="G280" i="3"/>
  <c r="G320" i="3"/>
  <c r="G352" i="3"/>
  <c r="G392" i="3"/>
  <c r="G438" i="3"/>
  <c r="G466" i="3"/>
  <c r="G500" i="3"/>
  <c r="G534" i="3"/>
  <c r="G569" i="3"/>
  <c r="G596" i="3"/>
  <c r="G627" i="3"/>
  <c r="G653" i="3"/>
  <c r="G686" i="3"/>
  <c r="G709" i="3"/>
  <c r="G740" i="3"/>
  <c r="G766" i="3"/>
  <c r="G797" i="3"/>
  <c r="G821" i="3"/>
  <c r="G853" i="3"/>
  <c r="G879" i="3"/>
  <c r="G910" i="3"/>
  <c r="G937" i="3"/>
  <c r="G967" i="3"/>
  <c r="G991" i="3"/>
  <c r="G889" i="3"/>
  <c r="G402" i="3"/>
  <c r="G284" i="3"/>
  <c r="G332" i="3"/>
  <c r="G214" i="3"/>
  <c r="G259" i="3"/>
  <c r="G61" i="3"/>
  <c r="G141" i="3"/>
  <c r="G229" i="3"/>
  <c r="G301" i="3"/>
  <c r="G376" i="3"/>
  <c r="G458" i="3"/>
  <c r="G520" i="3"/>
  <c r="G591" i="3"/>
  <c r="G646" i="3"/>
  <c r="G703" i="3"/>
  <c r="G758" i="3"/>
  <c r="G784" i="3"/>
  <c r="G843" i="3"/>
  <c r="G897" i="3"/>
  <c r="G954" i="3"/>
  <c r="G1010" i="3"/>
  <c r="G107" i="3"/>
  <c r="G183" i="3"/>
  <c r="G261" i="3"/>
  <c r="G304" i="3"/>
  <c r="G389" i="3"/>
  <c r="G496" i="3"/>
  <c r="G558" i="3"/>
  <c r="G615" i="3"/>
  <c r="G674" i="3"/>
  <c r="G730" i="3"/>
  <c r="G785" i="3"/>
  <c r="G844" i="3"/>
  <c r="G898" i="3"/>
  <c r="G955" i="3"/>
  <c r="G111" i="3"/>
  <c r="G190" i="3"/>
  <c r="G271" i="3"/>
  <c r="G350" i="3"/>
  <c r="G425" i="3"/>
  <c r="G497" i="3"/>
  <c r="G532" i="3"/>
  <c r="G594" i="3"/>
  <c r="G625" i="3"/>
  <c r="G679" i="3"/>
  <c r="G738" i="3"/>
  <c r="G795" i="3"/>
  <c r="G849" i="3"/>
  <c r="G908" i="3"/>
  <c r="G963" i="3"/>
  <c r="G64" i="3"/>
  <c r="G191" i="3"/>
  <c r="G278" i="3"/>
  <c r="G351" i="3"/>
  <c r="G437" i="3"/>
  <c r="G499" i="3"/>
  <c r="G560" i="3"/>
  <c r="G626" i="3"/>
  <c r="G683" i="3"/>
  <c r="G739" i="3"/>
  <c r="G796" i="3"/>
  <c r="G850" i="3"/>
  <c r="G909" i="3"/>
  <c r="G966" i="3"/>
  <c r="G32" i="3"/>
  <c r="G68" i="3"/>
  <c r="G117" i="3"/>
  <c r="G162" i="3"/>
  <c r="G202" i="3"/>
  <c r="G234" i="3"/>
  <c r="G281" i="3"/>
  <c r="G321" i="3"/>
  <c r="G353" i="3"/>
  <c r="G400" i="3"/>
  <c r="G439" i="3"/>
  <c r="G474" i="3"/>
  <c r="G502" i="3"/>
  <c r="G535" i="3"/>
  <c r="G570" i="3"/>
  <c r="G597" i="3"/>
  <c r="G628" i="3"/>
  <c r="G654" i="3"/>
  <c r="G687" i="3"/>
  <c r="G710" i="3"/>
  <c r="G741" i="3"/>
  <c r="G767" i="3"/>
  <c r="G798" i="3"/>
  <c r="G824" i="3"/>
  <c r="G857" i="3"/>
  <c r="G880" i="3"/>
  <c r="G911" i="3"/>
  <c r="G938" i="3"/>
  <c r="G968" i="3"/>
  <c r="G992" i="3"/>
  <c r="G33" i="3"/>
  <c r="G85" i="3"/>
  <c r="G121" i="3"/>
  <c r="G163" i="3"/>
  <c r="G207" i="3"/>
  <c r="G235" i="3"/>
  <c r="G282" i="3"/>
  <c r="G322" i="3"/>
  <c r="G366" i="3"/>
  <c r="G401" i="3"/>
  <c r="G440" i="3"/>
  <c r="G476" i="3"/>
  <c r="G503" i="3"/>
  <c r="G536" i="3"/>
  <c r="G573" i="3"/>
  <c r="G607" i="3"/>
  <c r="G630" i="3"/>
  <c r="G662" i="3"/>
  <c r="G688" i="3"/>
  <c r="G718" i="3"/>
  <c r="G742" i="3"/>
  <c r="G774" i="3"/>
  <c r="G800" i="3"/>
  <c r="G832" i="3"/>
  <c r="G858" i="3"/>
  <c r="G913" i="3"/>
  <c r="G944" i="3"/>
  <c r="G970" i="3"/>
  <c r="G1002" i="3"/>
  <c r="G124" i="3"/>
  <c r="G369" i="3"/>
  <c r="G479" i="3"/>
  <c r="G513" i="3"/>
  <c r="G538" i="3"/>
  <c r="G574" i="3"/>
  <c r="G608" i="3"/>
  <c r="G663" i="3"/>
  <c r="G689" i="3"/>
  <c r="G719" i="3"/>
  <c r="G778" i="3"/>
  <c r="G801" i="3"/>
  <c r="G833" i="3"/>
  <c r="G859" i="3"/>
  <c r="G890" i="3"/>
  <c r="G945" i="3"/>
  <c r="G971" i="3"/>
  <c r="G1003" i="3"/>
  <c r="G39" i="3"/>
  <c r="G87" i="3"/>
  <c r="G130" i="3"/>
  <c r="G165" i="3"/>
  <c r="G209" i="3"/>
  <c r="G330" i="3"/>
  <c r="G371" i="3"/>
  <c r="G412" i="3"/>
  <c r="G442" i="3"/>
  <c r="G481" i="3"/>
  <c r="G515" i="3"/>
  <c r="G543" i="3"/>
  <c r="G575" i="3"/>
  <c r="G609" i="3"/>
  <c r="G633" i="3"/>
  <c r="G664" i="3"/>
  <c r="G690" i="3"/>
  <c r="G722" i="3"/>
  <c r="G748" i="3"/>
  <c r="G779" i="3"/>
  <c r="G803" i="3"/>
  <c r="G834" i="3"/>
  <c r="G860" i="3"/>
  <c r="G892" i="3"/>
  <c r="G915" i="3"/>
  <c r="G947" i="3"/>
  <c r="G974" i="3"/>
  <c r="G1004" i="3"/>
  <c r="G42" i="3"/>
  <c r="G88" i="3"/>
  <c r="G138" i="3"/>
  <c r="G166" i="3"/>
  <c r="G212" i="3"/>
  <c r="G254" i="3"/>
  <c r="G373" i="3"/>
  <c r="G416" i="3"/>
  <c r="G443" i="3"/>
  <c r="G482" i="3"/>
  <c r="G517" i="3"/>
  <c r="G549" i="3"/>
  <c r="G578" i="3"/>
  <c r="G610" i="3"/>
  <c r="G637" i="3"/>
  <c r="G667" i="3"/>
  <c r="G691" i="3"/>
  <c r="G723" i="3"/>
  <c r="G749" i="3"/>
  <c r="G781" i="3"/>
  <c r="G805" i="3"/>
  <c r="G835" i="3"/>
  <c r="G861" i="3"/>
  <c r="G893" i="3"/>
  <c r="G919" i="3"/>
  <c r="G951" i="3"/>
  <c r="G975" i="3"/>
  <c r="G1005" i="3"/>
  <c r="G45" i="3"/>
  <c r="G89" i="3"/>
  <c r="G139" i="3"/>
  <c r="G179" i="3"/>
  <c r="G255" i="3"/>
  <c r="G333" i="3"/>
  <c r="G374" i="3"/>
  <c r="G417" i="3"/>
  <c r="G455" i="3"/>
  <c r="G483" i="3"/>
  <c r="G518" i="3"/>
  <c r="G551" i="3"/>
  <c r="G579" i="3"/>
  <c r="G611" i="3"/>
  <c r="G643" i="3"/>
  <c r="G669" i="3"/>
  <c r="G701" i="3"/>
  <c r="G725" i="3"/>
  <c r="G755" i="3"/>
  <c r="G782" i="3"/>
  <c r="G813" i="3"/>
  <c r="G836" i="3"/>
  <c r="G869" i="3"/>
  <c r="G895" i="3"/>
  <c r="G926" i="3"/>
  <c r="G952" i="3"/>
  <c r="G983" i="3"/>
  <c r="G1006" i="3"/>
  <c r="G52" i="3"/>
  <c r="G90" i="3"/>
  <c r="G181" i="3"/>
  <c r="G215" i="3"/>
  <c r="G299" i="3"/>
  <c r="G340" i="3"/>
  <c r="G375" i="3"/>
  <c r="G418" i="3"/>
  <c r="G457" i="3"/>
  <c r="G484" i="3"/>
  <c r="G519" i="3"/>
  <c r="G553" i="3"/>
  <c r="G589" i="3"/>
  <c r="G613" i="3"/>
  <c r="G644" i="3"/>
  <c r="G670" i="3"/>
  <c r="G702" i="3"/>
  <c r="G726" i="3"/>
  <c r="G757" i="3"/>
  <c r="G783" i="3"/>
  <c r="G814" i="3"/>
  <c r="G841" i="3"/>
  <c r="G872" i="3"/>
  <c r="G896" i="3"/>
  <c r="G927" i="3"/>
  <c r="G953" i="3"/>
  <c r="G985" i="3"/>
  <c r="G1007" i="3"/>
  <c r="G34" i="3"/>
  <c r="G86" i="3"/>
  <c r="G164" i="3"/>
  <c r="G208" i="3"/>
  <c r="G248" i="3"/>
  <c r="G283" i="3"/>
  <c r="G323" i="3"/>
  <c r="G441" i="3"/>
  <c r="G631" i="3"/>
  <c r="G746" i="3"/>
  <c r="G914" i="3"/>
  <c r="G251" i="3"/>
  <c r="G297" i="3"/>
  <c r="G298" i="3"/>
  <c r="G140" i="3"/>
  <c r="G91" i="3"/>
  <c r="G182" i="3"/>
  <c r="G260" i="3"/>
  <c r="G347" i="3"/>
  <c r="G422" i="3"/>
  <c r="G495" i="3"/>
  <c r="G555" i="3"/>
  <c r="G614" i="3"/>
  <c r="G673" i="3"/>
  <c r="G727" i="3"/>
  <c r="G817" i="3"/>
  <c r="G873" i="3"/>
  <c r="G928" i="3"/>
  <c r="G987" i="3"/>
  <c r="G62" i="3"/>
  <c r="G142" i="3"/>
  <c r="G230" i="3"/>
  <c r="G349" i="3"/>
  <c r="G424" i="3"/>
  <c r="G460" i="3"/>
  <c r="G521" i="3"/>
  <c r="G592" i="3"/>
  <c r="G647" i="3"/>
  <c r="G704" i="3"/>
  <c r="G762" i="3"/>
  <c r="G818" i="3"/>
  <c r="G874" i="3"/>
  <c r="G929" i="3"/>
  <c r="G988" i="3"/>
  <c r="G63" i="3"/>
  <c r="G143" i="3"/>
  <c r="G231" i="3"/>
  <c r="G306" i="3"/>
  <c r="G390" i="3"/>
  <c r="G464" i="3"/>
  <c r="G559" i="3"/>
  <c r="G649" i="3"/>
  <c r="G705" i="3"/>
  <c r="G764" i="3"/>
  <c r="G819" i="3"/>
  <c r="G875" i="3"/>
  <c r="G931" i="3"/>
  <c r="G989" i="3"/>
  <c r="G112" i="3"/>
  <c r="G157" i="3"/>
  <c r="G232" i="3"/>
  <c r="G307" i="3"/>
  <c r="G391" i="3"/>
  <c r="G465" i="3"/>
  <c r="G533" i="3"/>
  <c r="G595" i="3"/>
  <c r="G652" i="3"/>
  <c r="G706" i="3"/>
  <c r="G765" i="3"/>
  <c r="G820" i="3"/>
  <c r="G877" i="3"/>
  <c r="G935" i="3"/>
  <c r="G990" i="3"/>
  <c r="G12" i="3"/>
  <c r="G156" i="3"/>
  <c r="G300" i="3"/>
  <c r="G444" i="3"/>
  <c r="G588" i="3"/>
  <c r="G732" i="3"/>
  <c r="G876" i="3"/>
  <c r="G13" i="3"/>
  <c r="G855" i="3"/>
  <c r="G698" i="3"/>
  <c r="G541" i="3"/>
  <c r="G383" i="3"/>
  <c r="G226" i="3"/>
  <c r="G69" i="3"/>
  <c r="G197" i="3"/>
  <c r="G40" i="3"/>
  <c r="G24" i="3"/>
  <c r="G168" i="3"/>
  <c r="G312" i="3"/>
  <c r="G456" i="3"/>
  <c r="G600" i="3"/>
  <c r="G744" i="3"/>
  <c r="G888" i="3"/>
  <c r="G999" i="3"/>
  <c r="G842" i="3"/>
  <c r="G685" i="3"/>
  <c r="G527" i="3"/>
  <c r="G370" i="3"/>
  <c r="G213" i="3"/>
  <c r="G56" i="3"/>
  <c r="G184" i="3"/>
  <c r="G27" i="3"/>
  <c r="G36" i="3"/>
  <c r="G180" i="3"/>
  <c r="G324" i="3"/>
  <c r="G468" i="3"/>
  <c r="G612" i="3"/>
  <c r="G756" i="3"/>
  <c r="G900" i="3"/>
  <c r="G986" i="3"/>
  <c r="G829" i="3"/>
  <c r="G671" i="3"/>
  <c r="G514" i="3"/>
  <c r="G357" i="3"/>
  <c r="G200" i="3"/>
  <c r="G43" i="3"/>
  <c r="G171" i="3"/>
  <c r="G14" i="3"/>
  <c r="G48" i="3"/>
  <c r="G192" i="3"/>
  <c r="G336" i="3"/>
  <c r="G480" i="3"/>
  <c r="G624" i="3"/>
  <c r="G768" i="3"/>
  <c r="G912" i="3"/>
  <c r="G973" i="3"/>
  <c r="G815" i="3"/>
  <c r="G658" i="3"/>
  <c r="G501" i="3"/>
  <c r="G344" i="3"/>
  <c r="G187" i="3"/>
  <c r="G30" i="3"/>
  <c r="G158" i="3"/>
  <c r="G72" i="3"/>
  <c r="G216" i="3"/>
  <c r="G360" i="3"/>
  <c r="G504" i="3"/>
  <c r="G648" i="3"/>
  <c r="G792" i="3"/>
  <c r="G936" i="3"/>
  <c r="G946" i="3"/>
  <c r="G789" i="3"/>
  <c r="G632" i="3"/>
  <c r="G475" i="3"/>
  <c r="G318" i="3"/>
  <c r="G161" i="3"/>
  <c r="G289" i="3"/>
  <c r="G131" i="3"/>
  <c r="G84" i="3"/>
  <c r="G228" i="3"/>
  <c r="G372" i="3"/>
  <c r="G516" i="3"/>
  <c r="G660" i="3"/>
  <c r="G804" i="3"/>
  <c r="G948" i="3"/>
  <c r="G933" i="3"/>
  <c r="G776" i="3"/>
  <c r="G619" i="3"/>
  <c r="G462" i="3"/>
  <c r="G305" i="3"/>
  <c r="G148" i="3"/>
  <c r="G275" i="3"/>
  <c r="G118" i="3"/>
  <c r="G96" i="3"/>
  <c r="G240" i="3"/>
  <c r="G384" i="3"/>
  <c r="G528" i="3"/>
  <c r="G672" i="3"/>
  <c r="G816" i="3"/>
  <c r="G960" i="3"/>
  <c r="G920" i="3"/>
  <c r="G763" i="3"/>
  <c r="G606" i="3"/>
  <c r="G449" i="3"/>
  <c r="G292" i="3"/>
  <c r="G135" i="3"/>
  <c r="G262" i="3"/>
  <c r="G105" i="3"/>
  <c r="G108" i="3"/>
  <c r="G252" i="3"/>
  <c r="G396" i="3"/>
  <c r="G540" i="3"/>
  <c r="G684" i="3"/>
  <c r="G828" i="3"/>
  <c r="G972" i="3"/>
  <c r="G907" i="3"/>
  <c r="G750" i="3"/>
  <c r="G593" i="3"/>
  <c r="G436" i="3"/>
  <c r="G279" i="3"/>
  <c r="G122" i="3"/>
  <c r="G249" i="3"/>
  <c r="G92" i="3"/>
  <c r="G120" i="3"/>
  <c r="G264" i="3"/>
  <c r="G408" i="3"/>
  <c r="G552" i="3"/>
  <c r="G696" i="3"/>
  <c r="G840" i="3"/>
  <c r="G984" i="3"/>
  <c r="G894" i="3"/>
  <c r="G737" i="3"/>
  <c r="G580" i="3"/>
  <c r="G423" i="3"/>
  <c r="G266" i="3"/>
  <c r="G109" i="3"/>
  <c r="G236" i="3"/>
  <c r="G79" i="3"/>
  <c r="G132" i="3"/>
  <c r="G276" i="3"/>
  <c r="G420" i="3"/>
  <c r="G564" i="3"/>
  <c r="G708" i="3"/>
  <c r="G852" i="3"/>
  <c r="G996" i="3"/>
  <c r="G881" i="3"/>
  <c r="G724" i="3"/>
  <c r="G567" i="3"/>
  <c r="G864" i="3"/>
  <c r="G780" i="3"/>
  <c r="G410" i="3"/>
  <c r="G145" i="3"/>
  <c r="G636" i="3"/>
  <c r="G576" i="3"/>
  <c r="G645" i="3"/>
  <c r="G17" i="3"/>
  <c r="G711" i="3"/>
  <c r="G802" i="3"/>
  <c r="G95" i="3"/>
  <c r="G288" i="3"/>
  <c r="G1008" i="3"/>
  <c r="G144" i="3"/>
  <c r="G331" i="3"/>
  <c r="G53" i="3"/>
  <c r="G66" i="3"/>
  <c r="G720" i="3"/>
  <c r="G488" i="3"/>
  <c r="G210" i="3"/>
  <c r="G554" i="3"/>
  <c r="G223" i="3"/>
  <c r="G492" i="3"/>
  <c r="G432" i="3"/>
  <c r="G82" i="3"/>
  <c r="G348" i="3"/>
  <c r="G868" i="3"/>
  <c r="G174" i="3"/>
  <c r="G959" i="3"/>
  <c r="G204" i="3"/>
  <c r="G239" i="3"/>
  <c r="G253" i="3"/>
  <c r="G924" i="3"/>
  <c r="G60" i="3"/>
  <c r="C552" i="3"/>
  <c r="U542" i="1" s="1"/>
  <c r="C985" i="3"/>
  <c r="U975" i="1" s="1"/>
  <c r="C843" i="3"/>
  <c r="U833" i="1" s="1"/>
  <c r="C713" i="3"/>
  <c r="U703" i="1" s="1"/>
  <c r="C410" i="3"/>
  <c r="U400" i="1" s="1"/>
  <c r="C294" i="3"/>
  <c r="U284" i="1" s="1"/>
  <c r="C554" i="3"/>
  <c r="U544" i="1" s="1"/>
  <c r="C520" i="3"/>
  <c r="U510" i="1" s="1"/>
  <c r="C698" i="3"/>
  <c r="U688" i="1" s="1"/>
  <c r="C438" i="3"/>
  <c r="U428" i="1" s="1"/>
  <c r="C97" i="3"/>
  <c r="U87" i="1" s="1"/>
  <c r="C806" i="3"/>
  <c r="U796" i="1" s="1"/>
  <c r="C556" i="3"/>
  <c r="U546" i="1" s="1"/>
  <c r="C582" i="3"/>
  <c r="U572" i="1" s="1"/>
  <c r="C840" i="3"/>
  <c r="U830" i="1" s="1"/>
  <c r="C412" i="3"/>
  <c r="U402" i="1" s="1"/>
  <c r="C960" i="3"/>
  <c r="U950" i="1" s="1"/>
  <c r="C402" i="3"/>
  <c r="U392" i="1" s="1"/>
  <c r="C85" i="3"/>
  <c r="U75" i="1" s="1"/>
  <c r="C532" i="3"/>
  <c r="U522" i="1" s="1"/>
  <c r="C121" i="3"/>
  <c r="U111" i="1" s="1"/>
  <c r="C818" i="3"/>
  <c r="U808" i="1" s="1"/>
  <c r="C664" i="3"/>
  <c r="U654" i="1" s="1"/>
  <c r="C726" i="3"/>
  <c r="U716" i="1" s="1"/>
  <c r="C842" i="3"/>
  <c r="U832" i="1" s="1"/>
  <c r="C700" i="3"/>
  <c r="U690" i="1" s="1"/>
  <c r="C300" i="3"/>
  <c r="U290" i="1" s="1"/>
  <c r="C387" i="3"/>
  <c r="U377" i="1" s="1"/>
  <c r="C281" i="3"/>
  <c r="U271" i="1" s="1"/>
  <c r="C439" i="3"/>
  <c r="U429" i="1" s="1"/>
  <c r="C372" i="3"/>
  <c r="U362" i="1" s="1"/>
  <c r="C733" i="3"/>
  <c r="U723" i="1" s="1"/>
  <c r="C411" i="3"/>
  <c r="U401" i="1" s="1"/>
  <c r="C425" i="3"/>
  <c r="U415" i="1" s="1"/>
  <c r="C463" i="3"/>
  <c r="U453" i="1" s="1"/>
  <c r="C229" i="3"/>
  <c r="U219" i="1" s="1"/>
  <c r="C427" i="3"/>
  <c r="U417" i="1" s="1"/>
  <c r="C697" i="3"/>
  <c r="U687" i="1" s="1"/>
  <c r="C384" i="3"/>
  <c r="U374" i="1" s="1"/>
  <c r="C805" i="3"/>
  <c r="U795" i="1" s="1"/>
  <c r="C519" i="3"/>
  <c r="U509" i="1" s="1"/>
  <c r="C569" i="3"/>
  <c r="U559" i="1" s="1"/>
  <c r="C44" i="3"/>
  <c r="U34" i="1" s="1"/>
  <c r="C408" i="3"/>
  <c r="U398" i="1" s="1"/>
  <c r="C817" i="3"/>
  <c r="U807" i="1" s="1"/>
  <c r="C555" i="3"/>
  <c r="U545" i="1" s="1"/>
  <c r="C677" i="3"/>
  <c r="U667" i="1" s="1"/>
  <c r="C80" i="3"/>
  <c r="U70" i="1" s="1"/>
  <c r="C528" i="3"/>
  <c r="U518" i="1" s="1"/>
  <c r="C841" i="3"/>
  <c r="U831" i="1" s="1"/>
  <c r="C699" i="3"/>
  <c r="U689" i="1" s="1"/>
  <c r="C689" i="3"/>
  <c r="U679" i="1" s="1"/>
  <c r="C800" i="3"/>
  <c r="U790" i="1" s="1"/>
  <c r="C834" i="3"/>
  <c r="U824" i="1" s="1"/>
  <c r="C224" i="3"/>
  <c r="U214" i="1" s="1"/>
  <c r="C660" i="3"/>
  <c r="U650" i="1" s="1"/>
  <c r="C241" i="3"/>
  <c r="U231" i="1" s="1"/>
  <c r="C122" i="3"/>
  <c r="U112" i="1" s="1"/>
  <c r="C951" i="3"/>
  <c r="U941" i="1" s="1"/>
  <c r="C821" i="3"/>
  <c r="U811" i="1" s="1"/>
  <c r="C368" i="3"/>
  <c r="U358" i="1" s="1"/>
  <c r="C96" i="3"/>
  <c r="U86" i="1" s="1"/>
  <c r="C265" i="3"/>
  <c r="U255" i="1" s="1"/>
  <c r="C963" i="3"/>
  <c r="U953" i="1" s="1"/>
  <c r="C988" i="3"/>
  <c r="U978" i="1" s="1"/>
  <c r="C870" i="3"/>
  <c r="U860" i="1" s="1"/>
  <c r="C120" i="3"/>
  <c r="U110" i="1" s="1"/>
  <c r="C373" i="3"/>
  <c r="U363" i="1" s="1"/>
  <c r="C986" i="3"/>
  <c r="U976" i="1" s="1"/>
  <c r="C101" i="3"/>
  <c r="U91" i="1" s="1"/>
  <c r="C1001" i="3"/>
  <c r="U991" i="1" s="1"/>
  <c r="C488" i="3"/>
  <c r="U478" i="1" s="1"/>
  <c r="C228" i="3"/>
  <c r="U218" i="1" s="1"/>
  <c r="C517" i="3"/>
  <c r="U507" i="1" s="1"/>
  <c r="C266" i="3"/>
  <c r="U256" i="1" s="1"/>
  <c r="C88" i="3"/>
  <c r="U78" i="1" s="1"/>
  <c r="C150" i="3"/>
  <c r="U140" i="1" s="1"/>
  <c r="C240" i="3"/>
  <c r="U230" i="1" s="1"/>
  <c r="C374" i="3"/>
  <c r="U364" i="1" s="1"/>
  <c r="C124" i="3"/>
  <c r="U114" i="1" s="1"/>
  <c r="C137" i="3"/>
  <c r="U127" i="1" s="1"/>
  <c r="C258" i="3"/>
  <c r="U248" i="1" s="1"/>
  <c r="C163" i="3"/>
  <c r="U153" i="1" s="1"/>
  <c r="C620" i="3"/>
  <c r="U610" i="1" s="1"/>
  <c r="C950" i="3"/>
  <c r="U940" i="1" s="1"/>
  <c r="C844" i="3"/>
  <c r="U834" i="1" s="1"/>
  <c r="C846" i="3"/>
  <c r="U836" i="1" s="1"/>
  <c r="C672" i="3"/>
  <c r="U662" i="1" s="1"/>
  <c r="C230" i="3"/>
  <c r="U220" i="1" s="1"/>
  <c r="C962" i="3"/>
  <c r="U952" i="1" s="1"/>
  <c r="C857" i="3"/>
  <c r="U847" i="1" s="1"/>
  <c r="C476" i="3"/>
  <c r="U466" i="1" s="1"/>
  <c r="C696" i="3"/>
  <c r="U686" i="1" s="1"/>
  <c r="C242" i="3"/>
  <c r="U232" i="1" s="1"/>
  <c r="C987" i="3"/>
  <c r="U977" i="1" s="1"/>
  <c r="C978" i="3"/>
  <c r="U968" i="1" s="1"/>
  <c r="C732" i="3"/>
  <c r="U722" i="1" s="1"/>
  <c r="C123" i="3"/>
  <c r="U113" i="1" s="1"/>
  <c r="C113" i="3"/>
  <c r="U103" i="1" s="1"/>
  <c r="C19" i="3"/>
  <c r="U9" i="1" s="1"/>
  <c r="C512" i="3"/>
  <c r="U502" i="1" s="1"/>
  <c r="C804" i="3"/>
  <c r="U794" i="1" s="1"/>
  <c r="C661" i="3"/>
  <c r="U651" i="1" s="1"/>
  <c r="C267" i="3"/>
  <c r="U257" i="1" s="1"/>
  <c r="C264" i="3"/>
  <c r="U254" i="1" s="1"/>
  <c r="C816" i="3"/>
  <c r="U806" i="1" s="1"/>
  <c r="C673" i="3"/>
  <c r="U663" i="1" s="1"/>
  <c r="C386" i="3"/>
  <c r="U376" i="1" s="1"/>
  <c r="C375" i="3"/>
  <c r="U365" i="1" s="1"/>
  <c r="C268" i="3"/>
  <c r="U258" i="1" s="1"/>
  <c r="C245" i="3"/>
  <c r="U235" i="1" s="1"/>
  <c r="C270" i="3"/>
  <c r="U260" i="1" s="1"/>
  <c r="C307" i="3"/>
  <c r="U297" i="1" s="1"/>
  <c r="C656" i="3"/>
  <c r="U646" i="1" s="1"/>
  <c r="C531" i="3"/>
  <c r="U521" i="1" s="1"/>
  <c r="C100" i="3"/>
  <c r="U90" i="1" s="1"/>
  <c r="C676" i="3"/>
  <c r="U666" i="1" s="1"/>
  <c r="C257" i="3"/>
  <c r="U247" i="1" s="1"/>
  <c r="C833" i="3"/>
  <c r="U823" i="1" s="1"/>
  <c r="C414" i="3"/>
  <c r="U404" i="1" s="1"/>
  <c r="C990" i="3"/>
  <c r="U980" i="1" s="1"/>
  <c r="C56" i="3"/>
  <c r="U46" i="1" s="1"/>
  <c r="C22" i="3"/>
  <c r="U12" i="1" s="1"/>
  <c r="C71" i="3"/>
  <c r="U61" i="1" s="1"/>
  <c r="C119" i="3"/>
  <c r="U109" i="1" s="1"/>
  <c r="C167" i="3"/>
  <c r="U157" i="1" s="1"/>
  <c r="C215" i="3"/>
  <c r="U205" i="1" s="1"/>
  <c r="C263" i="3"/>
  <c r="U253" i="1" s="1"/>
  <c r="C311" i="3"/>
  <c r="U301" i="1" s="1"/>
  <c r="C359" i="3"/>
  <c r="U349" i="1" s="1"/>
  <c r="C407" i="3"/>
  <c r="U397" i="1" s="1"/>
  <c r="C454" i="3"/>
  <c r="U444" i="1" s="1"/>
  <c r="C502" i="3"/>
  <c r="U492" i="1" s="1"/>
  <c r="C549" i="3"/>
  <c r="U539" i="1" s="1"/>
  <c r="C585" i="3"/>
  <c r="U575" i="1" s="1"/>
  <c r="C621" i="3"/>
  <c r="U611" i="1" s="1"/>
  <c r="C657" i="3"/>
  <c r="U647" i="1" s="1"/>
  <c r="C693" i="3"/>
  <c r="U683" i="1" s="1"/>
  <c r="C729" i="3"/>
  <c r="U719" i="1" s="1"/>
  <c r="C765" i="3"/>
  <c r="U755" i="1" s="1"/>
  <c r="C801" i="3"/>
  <c r="U791" i="1" s="1"/>
  <c r="C837" i="3"/>
  <c r="U827" i="1" s="1"/>
  <c r="C873" i="3"/>
  <c r="U863" i="1" s="1"/>
  <c r="C909" i="3"/>
  <c r="U899" i="1" s="1"/>
  <c r="C945" i="3"/>
  <c r="U935" i="1" s="1"/>
  <c r="C981" i="3"/>
  <c r="U971" i="1" s="1"/>
  <c r="C919" i="3"/>
  <c r="U909" i="1" s="1"/>
  <c r="C141" i="3"/>
  <c r="U131" i="1" s="1"/>
  <c r="C406" i="3"/>
  <c r="U396" i="1" s="1"/>
  <c r="C23" i="3"/>
  <c r="U13" i="1" s="1"/>
  <c r="C81" i="3"/>
  <c r="U71" i="1" s="1"/>
  <c r="C129" i="3"/>
  <c r="U119" i="1" s="1"/>
  <c r="C177" i="3"/>
  <c r="U167" i="1" s="1"/>
  <c r="C225" i="3"/>
  <c r="U215" i="1" s="1"/>
  <c r="C273" i="3"/>
  <c r="U263" i="1" s="1"/>
  <c r="C321" i="3"/>
  <c r="U311" i="1" s="1"/>
  <c r="C369" i="3"/>
  <c r="U359" i="1" s="1"/>
  <c r="C415" i="3"/>
  <c r="U405" i="1" s="1"/>
  <c r="C455" i="3"/>
  <c r="U445" i="1" s="1"/>
  <c r="C503" i="3"/>
  <c r="U493" i="1" s="1"/>
  <c r="C550" i="3"/>
  <c r="U540" i="1" s="1"/>
  <c r="C586" i="3"/>
  <c r="U576" i="1" s="1"/>
  <c r="C622" i="3"/>
  <c r="U612" i="1" s="1"/>
  <c r="C658" i="3"/>
  <c r="U648" i="1" s="1"/>
  <c r="C694" i="3"/>
  <c r="U684" i="1" s="1"/>
  <c r="C730" i="3"/>
  <c r="U720" i="1" s="1"/>
  <c r="C766" i="3"/>
  <c r="U756" i="1" s="1"/>
  <c r="C802" i="3"/>
  <c r="U792" i="1" s="1"/>
  <c r="C838" i="3"/>
  <c r="U828" i="1" s="1"/>
  <c r="C874" i="3"/>
  <c r="U864" i="1" s="1"/>
  <c r="C910" i="3"/>
  <c r="U900" i="1" s="1"/>
  <c r="C946" i="3"/>
  <c r="U936" i="1" s="1"/>
  <c r="C982" i="3"/>
  <c r="U972" i="1" s="1"/>
  <c r="C741" i="3"/>
  <c r="U731" i="1" s="1"/>
  <c r="C94" i="3"/>
  <c r="U84" i="1" s="1"/>
  <c r="C238" i="3"/>
  <c r="U228" i="1" s="1"/>
  <c r="C382" i="3"/>
  <c r="U372" i="1" s="1"/>
  <c r="C525" i="3"/>
  <c r="U515" i="1" s="1"/>
  <c r="C634" i="3"/>
  <c r="U624" i="1" s="1"/>
  <c r="C742" i="3"/>
  <c r="U732" i="1" s="1"/>
  <c r="C850" i="3"/>
  <c r="U840" i="1" s="1"/>
  <c r="C958" i="3"/>
  <c r="U948" i="1" s="1"/>
  <c r="C261" i="3"/>
  <c r="U251" i="1" s="1"/>
  <c r="C539" i="3"/>
  <c r="U529" i="1" s="1"/>
  <c r="C719" i="3"/>
  <c r="U709" i="1" s="1"/>
  <c r="C899" i="3"/>
  <c r="U889" i="1" s="1"/>
  <c r="C118" i="3"/>
  <c r="U108" i="1" s="1"/>
  <c r="C453" i="3"/>
  <c r="U443" i="1" s="1"/>
  <c r="C583" i="3"/>
  <c r="U573" i="1" s="1"/>
  <c r="C691" i="3"/>
  <c r="U681" i="1" s="1"/>
  <c r="C835" i="3"/>
  <c r="U825" i="1" s="1"/>
  <c r="C907" i="3"/>
  <c r="U897" i="1" s="1"/>
  <c r="C34" i="3"/>
  <c r="U24" i="1" s="1"/>
  <c r="C82" i="3"/>
  <c r="U72" i="1" s="1"/>
  <c r="C130" i="3"/>
  <c r="U120" i="1" s="1"/>
  <c r="C178" i="3"/>
  <c r="U168" i="1" s="1"/>
  <c r="C226" i="3"/>
  <c r="U216" i="1" s="1"/>
  <c r="C274" i="3"/>
  <c r="U264" i="1" s="1"/>
  <c r="C322" i="3"/>
  <c r="U312" i="1" s="1"/>
  <c r="C370" i="3"/>
  <c r="U360" i="1" s="1"/>
  <c r="C417" i="3"/>
  <c r="U407" i="1" s="1"/>
  <c r="C465" i="3"/>
  <c r="U455" i="1" s="1"/>
  <c r="C513" i="3"/>
  <c r="U503" i="1" s="1"/>
  <c r="C551" i="3"/>
  <c r="U541" i="1" s="1"/>
  <c r="C587" i="3"/>
  <c r="U577" i="1" s="1"/>
  <c r="C623" i="3"/>
  <c r="U613" i="1" s="1"/>
  <c r="C659" i="3"/>
  <c r="U649" i="1" s="1"/>
  <c r="C695" i="3"/>
  <c r="U685" i="1" s="1"/>
  <c r="C731" i="3"/>
  <c r="U721" i="1" s="1"/>
  <c r="C767" i="3"/>
  <c r="U757" i="1" s="1"/>
  <c r="C803" i="3"/>
  <c r="U793" i="1" s="1"/>
  <c r="C839" i="3"/>
  <c r="U829" i="1" s="1"/>
  <c r="C875" i="3"/>
  <c r="U865" i="1" s="1"/>
  <c r="C911" i="3"/>
  <c r="U901" i="1" s="1"/>
  <c r="C947" i="3"/>
  <c r="U937" i="1" s="1"/>
  <c r="C983" i="3"/>
  <c r="U973" i="1" s="1"/>
  <c r="C179" i="3"/>
  <c r="U169" i="1" s="1"/>
  <c r="C514" i="3"/>
  <c r="U504" i="1" s="1"/>
  <c r="C631" i="3"/>
  <c r="U621" i="1" s="1"/>
  <c r="C703" i="3"/>
  <c r="U693" i="1" s="1"/>
  <c r="C739" i="3"/>
  <c r="U729" i="1" s="1"/>
  <c r="C811" i="3"/>
  <c r="U801" i="1" s="1"/>
  <c r="C883" i="3"/>
  <c r="U873" i="1" s="1"/>
  <c r="C991" i="3"/>
  <c r="U981" i="1" s="1"/>
  <c r="C45" i="3"/>
  <c r="U35" i="1" s="1"/>
  <c r="C237" i="3"/>
  <c r="U227" i="1" s="1"/>
  <c r="C333" i="3"/>
  <c r="U323" i="1" s="1"/>
  <c r="C419" i="3"/>
  <c r="U409" i="1" s="1"/>
  <c r="C515" i="3"/>
  <c r="U505" i="1" s="1"/>
  <c r="C597" i="3"/>
  <c r="U587" i="1" s="1"/>
  <c r="C669" i="3"/>
  <c r="U659" i="1" s="1"/>
  <c r="C777" i="3"/>
  <c r="U767" i="1" s="1"/>
  <c r="C849" i="3"/>
  <c r="U839" i="1" s="1"/>
  <c r="C921" i="3"/>
  <c r="U911" i="1" s="1"/>
  <c r="C993" i="3"/>
  <c r="U983" i="1" s="1"/>
  <c r="C142" i="3"/>
  <c r="U132" i="1" s="1"/>
  <c r="C190" i="3"/>
  <c r="U180" i="1" s="1"/>
  <c r="C286" i="3"/>
  <c r="U276" i="1" s="1"/>
  <c r="C429" i="3"/>
  <c r="U419" i="1" s="1"/>
  <c r="C477" i="3"/>
  <c r="U467" i="1" s="1"/>
  <c r="C598" i="3"/>
  <c r="U588" i="1" s="1"/>
  <c r="C706" i="3"/>
  <c r="U696" i="1" s="1"/>
  <c r="C814" i="3"/>
  <c r="U804" i="1" s="1"/>
  <c r="C922" i="3"/>
  <c r="U912" i="1" s="1"/>
  <c r="C309" i="3"/>
  <c r="U299" i="1" s="1"/>
  <c r="C491" i="3"/>
  <c r="U481" i="1" s="1"/>
  <c r="C683" i="3"/>
  <c r="U673" i="1" s="1"/>
  <c r="C935" i="3"/>
  <c r="U925" i="1" s="1"/>
  <c r="C70" i="3"/>
  <c r="U60" i="1" s="1"/>
  <c r="C501" i="3"/>
  <c r="U491" i="1" s="1"/>
  <c r="C619" i="3"/>
  <c r="U609" i="1" s="1"/>
  <c r="C727" i="3"/>
  <c r="U717" i="1" s="1"/>
  <c r="C799" i="3"/>
  <c r="U789" i="1" s="1"/>
  <c r="C871" i="3"/>
  <c r="U861" i="1" s="1"/>
  <c r="C979" i="3"/>
  <c r="U969" i="1" s="1"/>
  <c r="C35" i="3"/>
  <c r="U25" i="1" s="1"/>
  <c r="C83" i="3"/>
  <c r="U73" i="1" s="1"/>
  <c r="C131" i="3"/>
  <c r="U121" i="1" s="1"/>
  <c r="C227" i="3"/>
  <c r="U217" i="1" s="1"/>
  <c r="C275" i="3"/>
  <c r="U265" i="1" s="1"/>
  <c r="C323" i="3"/>
  <c r="U313" i="1" s="1"/>
  <c r="C371" i="3"/>
  <c r="U361" i="1" s="1"/>
  <c r="C418" i="3"/>
  <c r="U408" i="1" s="1"/>
  <c r="C466" i="3"/>
  <c r="U456" i="1" s="1"/>
  <c r="C559" i="3"/>
  <c r="U549" i="1" s="1"/>
  <c r="C595" i="3"/>
  <c r="U585" i="1" s="1"/>
  <c r="C667" i="3"/>
  <c r="U657" i="1" s="1"/>
  <c r="C775" i="3"/>
  <c r="U765" i="1" s="1"/>
  <c r="C847" i="3"/>
  <c r="U837" i="1" s="1"/>
  <c r="C955" i="3"/>
  <c r="U945" i="1" s="1"/>
  <c r="C93" i="3"/>
  <c r="U83" i="1" s="1"/>
  <c r="C189" i="3"/>
  <c r="U179" i="1" s="1"/>
  <c r="C285" i="3"/>
  <c r="U275" i="1" s="1"/>
  <c r="C381" i="3"/>
  <c r="U371" i="1" s="1"/>
  <c r="C467" i="3"/>
  <c r="U457" i="1" s="1"/>
  <c r="C561" i="3"/>
  <c r="U551" i="1" s="1"/>
  <c r="C633" i="3"/>
  <c r="U623" i="1" s="1"/>
  <c r="C705" i="3"/>
  <c r="U695" i="1" s="1"/>
  <c r="C813" i="3"/>
  <c r="U803" i="1" s="1"/>
  <c r="C885" i="3"/>
  <c r="U875" i="1" s="1"/>
  <c r="C957" i="3"/>
  <c r="U947" i="1" s="1"/>
  <c r="C46" i="3"/>
  <c r="U36" i="1" s="1"/>
  <c r="C334" i="3"/>
  <c r="U324" i="1" s="1"/>
  <c r="C562" i="3"/>
  <c r="U552" i="1" s="1"/>
  <c r="C670" i="3"/>
  <c r="U660" i="1" s="1"/>
  <c r="C778" i="3"/>
  <c r="U768" i="1" s="1"/>
  <c r="C886" i="3"/>
  <c r="U876" i="1" s="1"/>
  <c r="C994" i="3"/>
  <c r="U984" i="1" s="1"/>
  <c r="C357" i="3"/>
  <c r="U347" i="1" s="1"/>
  <c r="C647" i="3"/>
  <c r="U637" i="1" s="1"/>
  <c r="C971" i="3"/>
  <c r="U961" i="1" s="1"/>
  <c r="C166" i="3"/>
  <c r="U156" i="1" s="1"/>
  <c r="C547" i="3"/>
  <c r="U537" i="1" s="1"/>
  <c r="C655" i="3"/>
  <c r="U645" i="1" s="1"/>
  <c r="C763" i="3"/>
  <c r="U753" i="1" s="1"/>
  <c r="C943" i="3"/>
  <c r="U933" i="1" s="1"/>
  <c r="C47" i="3"/>
  <c r="U37" i="1" s="1"/>
  <c r="C95" i="3"/>
  <c r="U85" i="1" s="1"/>
  <c r="C143" i="3"/>
  <c r="U133" i="1" s="1"/>
  <c r="C191" i="3"/>
  <c r="U181" i="1" s="1"/>
  <c r="C239" i="3"/>
  <c r="U229" i="1" s="1"/>
  <c r="C287" i="3"/>
  <c r="U277" i="1" s="1"/>
  <c r="C335" i="3"/>
  <c r="U325" i="1" s="1"/>
  <c r="C383" i="3"/>
  <c r="U373" i="1" s="1"/>
  <c r="C430" i="3"/>
  <c r="U420" i="1" s="1"/>
  <c r="C478" i="3"/>
  <c r="U468" i="1" s="1"/>
  <c r="C526" i="3"/>
  <c r="U516" i="1" s="1"/>
  <c r="C563" i="3"/>
  <c r="U553" i="1" s="1"/>
  <c r="C599" i="3"/>
  <c r="U589" i="1" s="1"/>
  <c r="C635" i="3"/>
  <c r="U625" i="1" s="1"/>
  <c r="C671" i="3"/>
  <c r="U661" i="1" s="1"/>
  <c r="C707" i="3"/>
  <c r="U697" i="1" s="1"/>
  <c r="C743" i="3"/>
  <c r="U733" i="1" s="1"/>
  <c r="C779" i="3"/>
  <c r="U769" i="1" s="1"/>
  <c r="C815" i="3"/>
  <c r="U805" i="1" s="1"/>
  <c r="C851" i="3"/>
  <c r="U841" i="1" s="1"/>
  <c r="C887" i="3"/>
  <c r="U877" i="1" s="1"/>
  <c r="C923" i="3"/>
  <c r="U913" i="1" s="1"/>
  <c r="C959" i="3"/>
  <c r="U949" i="1" s="1"/>
  <c r="C995" i="3"/>
  <c r="U985" i="1" s="1"/>
  <c r="C934" i="3"/>
  <c r="U924" i="1" s="1"/>
  <c r="C117" i="3"/>
  <c r="U107" i="1" s="1"/>
  <c r="C443" i="3"/>
  <c r="U433" i="1" s="1"/>
  <c r="C611" i="3"/>
  <c r="U601" i="1" s="1"/>
  <c r="C863" i="3"/>
  <c r="U853" i="1" s="1"/>
  <c r="C262" i="3"/>
  <c r="U252" i="1" s="1"/>
  <c r="C57" i="3"/>
  <c r="U47" i="1" s="1"/>
  <c r="C105" i="3"/>
  <c r="U95" i="1" s="1"/>
  <c r="C153" i="3"/>
  <c r="U143" i="1" s="1"/>
  <c r="C201" i="3"/>
  <c r="U191" i="1" s="1"/>
  <c r="C249" i="3"/>
  <c r="U239" i="1" s="1"/>
  <c r="C297" i="3"/>
  <c r="U287" i="1" s="1"/>
  <c r="C345" i="3"/>
  <c r="U335" i="1" s="1"/>
  <c r="C393" i="3"/>
  <c r="U383" i="1" s="1"/>
  <c r="C431" i="3"/>
  <c r="U421" i="1" s="1"/>
  <c r="C479" i="3"/>
  <c r="U469" i="1" s="1"/>
  <c r="C527" i="3"/>
  <c r="U517" i="1" s="1"/>
  <c r="C571" i="3"/>
  <c r="U561" i="1" s="1"/>
  <c r="C607" i="3"/>
  <c r="U597" i="1" s="1"/>
  <c r="C643" i="3"/>
  <c r="U633" i="1" s="1"/>
  <c r="C679" i="3"/>
  <c r="U669" i="1" s="1"/>
  <c r="C715" i="3"/>
  <c r="U705" i="1" s="1"/>
  <c r="C751" i="3"/>
  <c r="U741" i="1" s="1"/>
  <c r="C787" i="3"/>
  <c r="U777" i="1" s="1"/>
  <c r="C823" i="3"/>
  <c r="U813" i="1" s="1"/>
  <c r="C859" i="3"/>
  <c r="U849" i="1" s="1"/>
  <c r="C895" i="3"/>
  <c r="U885" i="1" s="1"/>
  <c r="C931" i="3"/>
  <c r="U921" i="1" s="1"/>
  <c r="C967" i="3"/>
  <c r="U957" i="1" s="1"/>
  <c r="C1003" i="3"/>
  <c r="U993" i="1" s="1"/>
  <c r="C1006" i="3"/>
  <c r="U996" i="1" s="1"/>
  <c r="C165" i="3"/>
  <c r="U155" i="1" s="1"/>
  <c r="C791" i="3"/>
  <c r="U781" i="1" s="1"/>
  <c r="C358" i="3"/>
  <c r="U348" i="1" s="1"/>
  <c r="C58" i="3"/>
  <c r="U48" i="1" s="1"/>
  <c r="C106" i="3"/>
  <c r="U96" i="1" s="1"/>
  <c r="C154" i="3"/>
  <c r="U144" i="1" s="1"/>
  <c r="C202" i="3"/>
  <c r="U192" i="1" s="1"/>
  <c r="C250" i="3"/>
  <c r="U240" i="1" s="1"/>
  <c r="C298" i="3"/>
  <c r="U288" i="1" s="1"/>
  <c r="C346" i="3"/>
  <c r="U336" i="1" s="1"/>
  <c r="C394" i="3"/>
  <c r="U384" i="1" s="1"/>
  <c r="C441" i="3"/>
  <c r="U431" i="1" s="1"/>
  <c r="C489" i="3"/>
  <c r="U479" i="1" s="1"/>
  <c r="C537" i="3"/>
  <c r="U527" i="1" s="1"/>
  <c r="C573" i="3"/>
  <c r="U563" i="1" s="1"/>
  <c r="C609" i="3"/>
  <c r="U599" i="1" s="1"/>
  <c r="C645" i="3"/>
  <c r="U635" i="1" s="1"/>
  <c r="C681" i="3"/>
  <c r="U671" i="1" s="1"/>
  <c r="C717" i="3"/>
  <c r="U707" i="1" s="1"/>
  <c r="C753" i="3"/>
  <c r="U743" i="1" s="1"/>
  <c r="C789" i="3"/>
  <c r="U779" i="1" s="1"/>
  <c r="C825" i="3"/>
  <c r="U815" i="1" s="1"/>
  <c r="C861" i="3"/>
  <c r="U851" i="1" s="1"/>
  <c r="C897" i="3"/>
  <c r="U887" i="1" s="1"/>
  <c r="C933" i="3"/>
  <c r="U923" i="1" s="1"/>
  <c r="C969" i="3"/>
  <c r="U959" i="1" s="1"/>
  <c r="C1005" i="3"/>
  <c r="U995" i="1" s="1"/>
  <c r="C970" i="3"/>
  <c r="U960" i="1" s="1"/>
  <c r="C213" i="3"/>
  <c r="U203" i="1" s="1"/>
  <c r="C755" i="3"/>
  <c r="U745" i="1" s="1"/>
  <c r="C310" i="3"/>
  <c r="U300" i="1" s="1"/>
  <c r="C59" i="3"/>
  <c r="U49" i="1" s="1"/>
  <c r="C107" i="3"/>
  <c r="U97" i="1" s="1"/>
  <c r="C155" i="3"/>
  <c r="U145" i="1" s="1"/>
  <c r="C203" i="3"/>
  <c r="U193" i="1" s="1"/>
  <c r="C251" i="3"/>
  <c r="U241" i="1" s="1"/>
  <c r="C299" i="3"/>
  <c r="U289" i="1" s="1"/>
  <c r="C347" i="3"/>
  <c r="U337" i="1" s="1"/>
  <c r="C395" i="3"/>
  <c r="U385" i="1" s="1"/>
  <c r="C442" i="3"/>
  <c r="U432" i="1" s="1"/>
  <c r="C490" i="3"/>
  <c r="U480" i="1" s="1"/>
  <c r="C538" i="3"/>
  <c r="U528" i="1" s="1"/>
  <c r="C574" i="3"/>
  <c r="U564" i="1" s="1"/>
  <c r="C610" i="3"/>
  <c r="U600" i="1" s="1"/>
  <c r="C646" i="3"/>
  <c r="U636" i="1" s="1"/>
  <c r="C682" i="3"/>
  <c r="U672" i="1" s="1"/>
  <c r="C718" i="3"/>
  <c r="U708" i="1" s="1"/>
  <c r="C754" i="3"/>
  <c r="U744" i="1" s="1"/>
  <c r="C790" i="3"/>
  <c r="U780" i="1" s="1"/>
  <c r="C826" i="3"/>
  <c r="U816" i="1" s="1"/>
  <c r="C862" i="3"/>
  <c r="U852" i="1" s="1"/>
  <c r="C898" i="3"/>
  <c r="U888" i="1" s="1"/>
  <c r="C69" i="3"/>
  <c r="U59" i="1" s="1"/>
  <c r="C405" i="3"/>
  <c r="U395" i="1" s="1"/>
  <c r="C575" i="3"/>
  <c r="U565" i="1" s="1"/>
  <c r="C827" i="3"/>
  <c r="U817" i="1" s="1"/>
  <c r="C214" i="3"/>
  <c r="U204" i="1" s="1"/>
  <c r="C1007" i="3"/>
  <c r="U997" i="1" s="1"/>
  <c r="C12" i="3"/>
  <c r="U2" i="1" s="1"/>
  <c r="C896" i="3"/>
  <c r="U886" i="1" s="1"/>
  <c r="C752" i="3"/>
  <c r="U742" i="1" s="1"/>
  <c r="C608" i="3"/>
  <c r="U598" i="1" s="1"/>
  <c r="C464" i="3"/>
  <c r="U454" i="1" s="1"/>
  <c r="C320" i="3"/>
  <c r="U310" i="1" s="1"/>
  <c r="C176" i="3"/>
  <c r="U166" i="1" s="1"/>
  <c r="C32" i="3"/>
  <c r="U22" i="1" s="1"/>
  <c r="C403" i="3"/>
  <c r="U393" i="1" s="1"/>
  <c r="C259" i="3"/>
  <c r="U249" i="1" s="1"/>
  <c r="C115" i="3"/>
  <c r="U105" i="1" s="1"/>
  <c r="C966" i="3"/>
  <c r="U956" i="1" s="1"/>
  <c r="C822" i="3"/>
  <c r="U812" i="1" s="1"/>
  <c r="C678" i="3"/>
  <c r="U668" i="1" s="1"/>
  <c r="C534" i="3"/>
  <c r="U524" i="1" s="1"/>
  <c r="C390" i="3"/>
  <c r="U380" i="1" s="1"/>
  <c r="C246" i="3"/>
  <c r="U236" i="1" s="1"/>
  <c r="C102" i="3"/>
  <c r="U92" i="1" s="1"/>
  <c r="C953" i="3"/>
  <c r="U943" i="1" s="1"/>
  <c r="C809" i="3"/>
  <c r="U799" i="1" s="1"/>
  <c r="C665" i="3"/>
  <c r="U655" i="1" s="1"/>
  <c r="C521" i="3"/>
  <c r="U511" i="1" s="1"/>
  <c r="C377" i="3"/>
  <c r="U367" i="1" s="1"/>
  <c r="C233" i="3"/>
  <c r="U223" i="1" s="1"/>
  <c r="C89" i="3"/>
  <c r="U79" i="1" s="1"/>
  <c r="C940" i="3"/>
  <c r="U930" i="1" s="1"/>
  <c r="C796" i="3"/>
  <c r="U786" i="1" s="1"/>
  <c r="C652" i="3"/>
  <c r="U642" i="1" s="1"/>
  <c r="C508" i="3"/>
  <c r="U498" i="1" s="1"/>
  <c r="C364" i="3"/>
  <c r="U354" i="1" s="1"/>
  <c r="C220" i="3"/>
  <c r="U210" i="1" s="1"/>
  <c r="C76" i="3"/>
  <c r="U66" i="1" s="1"/>
  <c r="C939" i="3"/>
  <c r="U929" i="1" s="1"/>
  <c r="C795" i="3"/>
  <c r="U785" i="1" s="1"/>
  <c r="C651" i="3"/>
  <c r="U641" i="1" s="1"/>
  <c r="C507" i="3"/>
  <c r="U497" i="1" s="1"/>
  <c r="C363" i="3"/>
  <c r="U353" i="1" s="1"/>
  <c r="C219" i="3"/>
  <c r="U209" i="1" s="1"/>
  <c r="C75" i="3"/>
  <c r="U65" i="1" s="1"/>
  <c r="C938" i="3"/>
  <c r="U928" i="1" s="1"/>
  <c r="C794" i="3"/>
  <c r="U784" i="1" s="1"/>
  <c r="C650" i="3"/>
  <c r="U640" i="1" s="1"/>
  <c r="C506" i="3"/>
  <c r="U496" i="1" s="1"/>
  <c r="C362" i="3"/>
  <c r="U352" i="1" s="1"/>
  <c r="C218" i="3"/>
  <c r="U208" i="1" s="1"/>
  <c r="C74" i="3"/>
  <c r="U64" i="1" s="1"/>
  <c r="C937" i="3"/>
  <c r="U927" i="1" s="1"/>
  <c r="C793" i="3"/>
  <c r="U783" i="1" s="1"/>
  <c r="C649" i="3"/>
  <c r="U639" i="1" s="1"/>
  <c r="C505" i="3"/>
  <c r="U495" i="1" s="1"/>
  <c r="C361" i="3"/>
  <c r="U351" i="1" s="1"/>
  <c r="C217" i="3"/>
  <c r="U207" i="1" s="1"/>
  <c r="C73" i="3"/>
  <c r="U63" i="1" s="1"/>
  <c r="C936" i="3"/>
  <c r="U926" i="1" s="1"/>
  <c r="C792" i="3"/>
  <c r="U782" i="1" s="1"/>
  <c r="C648" i="3"/>
  <c r="U638" i="1" s="1"/>
  <c r="C504" i="3"/>
  <c r="U494" i="1" s="1"/>
  <c r="C360" i="3"/>
  <c r="U350" i="1" s="1"/>
  <c r="C216" i="3"/>
  <c r="U206" i="1" s="1"/>
  <c r="C72" i="3"/>
  <c r="U62" i="1" s="1"/>
  <c r="C63" i="3"/>
  <c r="U53" i="1" s="1"/>
  <c r="C62" i="3"/>
  <c r="U52" i="1" s="1"/>
  <c r="C781" i="3"/>
  <c r="U771" i="1" s="1"/>
  <c r="C493" i="3"/>
  <c r="U483" i="1" s="1"/>
  <c r="C205" i="3"/>
  <c r="U195" i="1" s="1"/>
  <c r="C924" i="3"/>
  <c r="U914" i="1" s="1"/>
  <c r="C636" i="3"/>
  <c r="U626" i="1" s="1"/>
  <c r="C348" i="3"/>
  <c r="U338" i="1" s="1"/>
  <c r="C60" i="3"/>
  <c r="U50" i="1" s="1"/>
  <c r="C325" i="3"/>
  <c r="U315" i="1" s="1"/>
  <c r="C612" i="3"/>
  <c r="U602" i="1" s="1"/>
  <c r="C36" i="3"/>
  <c r="U26" i="1" s="1"/>
  <c r="C748" i="3"/>
  <c r="U738" i="1" s="1"/>
  <c r="C603" i="3"/>
  <c r="U593" i="1" s="1"/>
  <c r="C890" i="3"/>
  <c r="U880" i="1" s="1"/>
  <c r="C26" i="3"/>
  <c r="U16" i="1" s="1"/>
  <c r="C169" i="3"/>
  <c r="U159" i="1" s="1"/>
  <c r="C456" i="3"/>
  <c r="U446" i="1" s="1"/>
  <c r="C548" i="3"/>
  <c r="U538" i="1" s="1"/>
  <c r="C343" i="3"/>
  <c r="U333" i="1" s="1"/>
  <c r="C330" i="3"/>
  <c r="U320" i="1" s="1"/>
  <c r="C461" i="3"/>
  <c r="U451" i="1" s="1"/>
  <c r="C736" i="3"/>
  <c r="U726" i="1" s="1"/>
  <c r="C735" i="3"/>
  <c r="U725" i="1" s="1"/>
  <c r="C878" i="3"/>
  <c r="U868" i="1" s="1"/>
  <c r="C33" i="3"/>
  <c r="U23" i="1" s="1"/>
  <c r="C884" i="3"/>
  <c r="U874" i="1" s="1"/>
  <c r="C740" i="3"/>
  <c r="U730" i="1" s="1"/>
  <c r="C596" i="3"/>
  <c r="U586" i="1" s="1"/>
  <c r="C452" i="3"/>
  <c r="U442" i="1" s="1"/>
  <c r="C308" i="3"/>
  <c r="U298" i="1" s="1"/>
  <c r="C164" i="3"/>
  <c r="U154" i="1" s="1"/>
  <c r="C20" i="3"/>
  <c r="U10" i="1" s="1"/>
  <c r="C391" i="3"/>
  <c r="U381" i="1" s="1"/>
  <c r="C247" i="3"/>
  <c r="U237" i="1" s="1"/>
  <c r="C103" i="3"/>
  <c r="U93" i="1" s="1"/>
  <c r="C954" i="3"/>
  <c r="U944" i="1" s="1"/>
  <c r="C810" i="3"/>
  <c r="U800" i="1" s="1"/>
  <c r="C666" i="3"/>
  <c r="U656" i="1" s="1"/>
  <c r="C522" i="3"/>
  <c r="U512" i="1" s="1"/>
  <c r="C378" i="3"/>
  <c r="U368" i="1" s="1"/>
  <c r="C234" i="3"/>
  <c r="U224" i="1" s="1"/>
  <c r="C90" i="3"/>
  <c r="U80" i="1" s="1"/>
  <c r="C941" i="3"/>
  <c r="U931" i="1" s="1"/>
  <c r="C797" i="3"/>
  <c r="U787" i="1" s="1"/>
  <c r="C653" i="3"/>
  <c r="U643" i="1" s="1"/>
  <c r="C509" i="3"/>
  <c r="U499" i="1" s="1"/>
  <c r="C365" i="3"/>
  <c r="U355" i="1" s="1"/>
  <c r="C221" i="3"/>
  <c r="U211" i="1" s="1"/>
  <c r="C77" i="3"/>
  <c r="U67" i="1" s="1"/>
  <c r="C928" i="3"/>
  <c r="U918" i="1" s="1"/>
  <c r="C784" i="3"/>
  <c r="U774" i="1" s="1"/>
  <c r="C640" i="3"/>
  <c r="U630" i="1" s="1"/>
  <c r="C496" i="3"/>
  <c r="U486" i="1" s="1"/>
  <c r="C352" i="3"/>
  <c r="U342" i="1" s="1"/>
  <c r="C208" i="3"/>
  <c r="U198" i="1" s="1"/>
  <c r="C64" i="3"/>
  <c r="U54" i="1" s="1"/>
  <c r="C927" i="3"/>
  <c r="U917" i="1" s="1"/>
  <c r="C783" i="3"/>
  <c r="U773" i="1" s="1"/>
  <c r="C639" i="3"/>
  <c r="U629" i="1" s="1"/>
  <c r="C495" i="3"/>
  <c r="U485" i="1" s="1"/>
  <c r="C351" i="3"/>
  <c r="U341" i="1" s="1"/>
  <c r="C207" i="3"/>
  <c r="U197" i="1" s="1"/>
  <c r="C926" i="3"/>
  <c r="U916" i="1" s="1"/>
  <c r="C782" i="3"/>
  <c r="U772" i="1" s="1"/>
  <c r="C638" i="3"/>
  <c r="U628" i="1" s="1"/>
  <c r="C494" i="3"/>
  <c r="U484" i="1" s="1"/>
  <c r="C350" i="3"/>
  <c r="U340" i="1" s="1"/>
  <c r="C206" i="3"/>
  <c r="U196" i="1" s="1"/>
  <c r="C925" i="3"/>
  <c r="U915" i="1" s="1"/>
  <c r="C637" i="3"/>
  <c r="U627" i="1" s="1"/>
  <c r="C349" i="3"/>
  <c r="U339" i="1" s="1"/>
  <c r="C61" i="3"/>
  <c r="U51" i="1" s="1"/>
  <c r="C780" i="3"/>
  <c r="U770" i="1" s="1"/>
  <c r="C492" i="3"/>
  <c r="U482" i="1" s="1"/>
  <c r="C204" i="3"/>
  <c r="U194" i="1" s="1"/>
  <c r="C181" i="3"/>
  <c r="U171" i="1" s="1"/>
  <c r="C756" i="3"/>
  <c r="U746" i="1" s="1"/>
  <c r="C180" i="3"/>
  <c r="U170" i="1" s="1"/>
  <c r="C892" i="3"/>
  <c r="U882" i="1" s="1"/>
  <c r="C747" i="3"/>
  <c r="U737" i="1" s="1"/>
  <c r="C27" i="3"/>
  <c r="U17" i="1" s="1"/>
  <c r="C170" i="3"/>
  <c r="U160" i="1" s="1"/>
  <c r="C457" i="3"/>
  <c r="U447" i="1" s="1"/>
  <c r="C600" i="3"/>
  <c r="U590" i="1" s="1"/>
  <c r="C404" i="3"/>
  <c r="U394" i="1" s="1"/>
  <c r="C199" i="3"/>
  <c r="U189" i="1" s="1"/>
  <c r="C186" i="3"/>
  <c r="U176" i="1" s="1"/>
  <c r="C317" i="3"/>
  <c r="U307" i="1" s="1"/>
  <c r="C448" i="3"/>
  <c r="U438" i="1" s="1"/>
  <c r="C447" i="3"/>
  <c r="U437" i="1" s="1"/>
  <c r="C734" i="3"/>
  <c r="U724" i="1" s="1"/>
  <c r="C877" i="3"/>
  <c r="U867" i="1" s="1"/>
  <c r="C21" i="3"/>
  <c r="U11" i="1" s="1"/>
  <c r="C872" i="3"/>
  <c r="U862" i="1" s="1"/>
  <c r="C728" i="3"/>
  <c r="U718" i="1" s="1"/>
  <c r="C584" i="3"/>
  <c r="U574" i="1" s="1"/>
  <c r="C440" i="3"/>
  <c r="U430" i="1" s="1"/>
  <c r="C296" i="3"/>
  <c r="U286" i="1" s="1"/>
  <c r="C152" i="3"/>
  <c r="U142" i="1" s="1"/>
  <c r="C535" i="3"/>
  <c r="U525" i="1" s="1"/>
  <c r="C379" i="3"/>
  <c r="U369" i="1" s="1"/>
  <c r="C235" i="3"/>
  <c r="U225" i="1" s="1"/>
  <c r="C91" i="3"/>
  <c r="U81" i="1" s="1"/>
  <c r="C942" i="3"/>
  <c r="U932" i="1" s="1"/>
  <c r="C798" i="3"/>
  <c r="U788" i="1" s="1"/>
  <c r="C654" i="3"/>
  <c r="U644" i="1" s="1"/>
  <c r="C510" i="3"/>
  <c r="U500" i="1" s="1"/>
  <c r="C366" i="3"/>
  <c r="U356" i="1" s="1"/>
  <c r="C222" i="3"/>
  <c r="U212" i="1" s="1"/>
  <c r="C78" i="3"/>
  <c r="U68" i="1" s="1"/>
  <c r="C929" i="3"/>
  <c r="U919" i="1" s="1"/>
  <c r="C785" i="3"/>
  <c r="U775" i="1" s="1"/>
  <c r="C641" i="3"/>
  <c r="U631" i="1" s="1"/>
  <c r="C497" i="3"/>
  <c r="U487" i="1" s="1"/>
  <c r="C353" i="3"/>
  <c r="U343" i="1" s="1"/>
  <c r="C209" i="3"/>
  <c r="U199" i="1" s="1"/>
  <c r="C65" i="3"/>
  <c r="U55" i="1" s="1"/>
  <c r="C916" i="3"/>
  <c r="U906" i="1" s="1"/>
  <c r="C772" i="3"/>
  <c r="U762" i="1" s="1"/>
  <c r="C628" i="3"/>
  <c r="U618" i="1" s="1"/>
  <c r="C484" i="3"/>
  <c r="U474" i="1" s="1"/>
  <c r="C340" i="3"/>
  <c r="U330" i="1" s="1"/>
  <c r="C196" i="3"/>
  <c r="U186" i="1" s="1"/>
  <c r="C52" i="3"/>
  <c r="U42" i="1" s="1"/>
  <c r="C915" i="3"/>
  <c r="U905" i="1" s="1"/>
  <c r="C771" i="3"/>
  <c r="U761" i="1" s="1"/>
  <c r="C627" i="3"/>
  <c r="U617" i="1" s="1"/>
  <c r="C483" i="3"/>
  <c r="U473" i="1" s="1"/>
  <c r="C339" i="3"/>
  <c r="U329" i="1" s="1"/>
  <c r="C195" i="3"/>
  <c r="U185" i="1" s="1"/>
  <c r="C51" i="3"/>
  <c r="U41" i="1" s="1"/>
  <c r="C914" i="3"/>
  <c r="U904" i="1" s="1"/>
  <c r="C770" i="3"/>
  <c r="U760" i="1" s="1"/>
  <c r="C626" i="3"/>
  <c r="U616" i="1" s="1"/>
  <c r="C482" i="3"/>
  <c r="U472" i="1" s="1"/>
  <c r="C338" i="3"/>
  <c r="U328" i="1" s="1"/>
  <c r="C194" i="3"/>
  <c r="U184" i="1" s="1"/>
  <c r="C50" i="3"/>
  <c r="U40" i="1" s="1"/>
  <c r="C913" i="3"/>
  <c r="U903" i="1" s="1"/>
  <c r="C769" i="3"/>
  <c r="U759" i="1" s="1"/>
  <c r="C625" i="3"/>
  <c r="U615" i="1" s="1"/>
  <c r="C481" i="3"/>
  <c r="U471" i="1" s="1"/>
  <c r="C337" i="3"/>
  <c r="U327" i="1" s="1"/>
  <c r="C193" i="3"/>
  <c r="U183" i="1" s="1"/>
  <c r="C49" i="3"/>
  <c r="U39" i="1" s="1"/>
  <c r="C912" i="3"/>
  <c r="U902" i="1" s="1"/>
  <c r="C768" i="3"/>
  <c r="U758" i="1" s="1"/>
  <c r="C624" i="3"/>
  <c r="U614" i="1" s="1"/>
  <c r="C480" i="3"/>
  <c r="U470" i="1" s="1"/>
  <c r="C336" i="3"/>
  <c r="U326" i="1" s="1"/>
  <c r="C192" i="3"/>
  <c r="U182" i="1" s="1"/>
  <c r="C48" i="3"/>
  <c r="U38" i="1" s="1"/>
  <c r="C469" i="3"/>
  <c r="U459" i="1" s="1"/>
  <c r="C468" i="3"/>
  <c r="U458" i="1" s="1"/>
  <c r="C329" i="3"/>
  <c r="U319" i="1" s="1"/>
  <c r="C28" i="3"/>
  <c r="U18" i="1" s="1"/>
  <c r="C315" i="3"/>
  <c r="U305" i="1" s="1"/>
  <c r="C602" i="3"/>
  <c r="U592" i="1" s="1"/>
  <c r="C745" i="3"/>
  <c r="U735" i="1" s="1"/>
  <c r="C888" i="3"/>
  <c r="U878" i="1" s="1"/>
  <c r="C168" i="3"/>
  <c r="U158" i="1" s="1"/>
  <c r="C980" i="3"/>
  <c r="U970" i="1" s="1"/>
  <c r="C260" i="3"/>
  <c r="U250" i="1" s="1"/>
  <c r="C55" i="3"/>
  <c r="U45" i="1" s="1"/>
  <c r="C618" i="3"/>
  <c r="U608" i="1" s="1"/>
  <c r="C893" i="3"/>
  <c r="U883" i="1" s="1"/>
  <c r="C173" i="3"/>
  <c r="U163" i="1" s="1"/>
  <c r="C592" i="3"/>
  <c r="U582" i="1" s="1"/>
  <c r="C16" i="3"/>
  <c r="U6" i="1" s="1"/>
  <c r="C159" i="3"/>
  <c r="U149" i="1" s="1"/>
  <c r="C302" i="3"/>
  <c r="U292" i="1" s="1"/>
  <c r="C589" i="3"/>
  <c r="U579" i="1" s="1"/>
  <c r="C1004" i="3"/>
  <c r="U994" i="1" s="1"/>
  <c r="C860" i="3"/>
  <c r="U850" i="1" s="1"/>
  <c r="C716" i="3"/>
  <c r="U706" i="1" s="1"/>
  <c r="C572" i="3"/>
  <c r="U562" i="1" s="1"/>
  <c r="C428" i="3"/>
  <c r="U418" i="1" s="1"/>
  <c r="C284" i="3"/>
  <c r="U274" i="1" s="1"/>
  <c r="C140" i="3"/>
  <c r="U130" i="1" s="1"/>
  <c r="C523" i="3"/>
  <c r="U513" i="1" s="1"/>
  <c r="C367" i="3"/>
  <c r="U357" i="1" s="1"/>
  <c r="C223" i="3"/>
  <c r="U213" i="1" s="1"/>
  <c r="C79" i="3"/>
  <c r="U69" i="1" s="1"/>
  <c r="C930" i="3"/>
  <c r="U920" i="1" s="1"/>
  <c r="C786" i="3"/>
  <c r="U776" i="1" s="1"/>
  <c r="C642" i="3"/>
  <c r="U632" i="1" s="1"/>
  <c r="C498" i="3"/>
  <c r="U488" i="1" s="1"/>
  <c r="C354" i="3"/>
  <c r="U344" i="1" s="1"/>
  <c r="C210" i="3"/>
  <c r="U200" i="1" s="1"/>
  <c r="C66" i="3"/>
  <c r="U56" i="1" s="1"/>
  <c r="C917" i="3"/>
  <c r="U907" i="1" s="1"/>
  <c r="C773" i="3"/>
  <c r="U763" i="1" s="1"/>
  <c r="C629" i="3"/>
  <c r="U619" i="1" s="1"/>
  <c r="C485" i="3"/>
  <c r="U475" i="1" s="1"/>
  <c r="C341" i="3"/>
  <c r="U331" i="1" s="1"/>
  <c r="C197" i="3"/>
  <c r="U187" i="1" s="1"/>
  <c r="C53" i="3"/>
  <c r="U43" i="1" s="1"/>
  <c r="C904" i="3"/>
  <c r="U894" i="1" s="1"/>
  <c r="C760" i="3"/>
  <c r="U750" i="1" s="1"/>
  <c r="C616" i="3"/>
  <c r="U606" i="1" s="1"/>
  <c r="C472" i="3"/>
  <c r="U462" i="1" s="1"/>
  <c r="C328" i="3"/>
  <c r="U318" i="1" s="1"/>
  <c r="C184" i="3"/>
  <c r="U174" i="1" s="1"/>
  <c r="C40" i="3"/>
  <c r="U30" i="1" s="1"/>
  <c r="C903" i="3"/>
  <c r="U893" i="1" s="1"/>
  <c r="C759" i="3"/>
  <c r="U749" i="1" s="1"/>
  <c r="C615" i="3"/>
  <c r="U605" i="1" s="1"/>
  <c r="C471" i="3"/>
  <c r="U461" i="1" s="1"/>
  <c r="C327" i="3"/>
  <c r="U317" i="1" s="1"/>
  <c r="C183" i="3"/>
  <c r="U173" i="1" s="1"/>
  <c r="C39" i="3"/>
  <c r="U29" i="1" s="1"/>
  <c r="C902" i="3"/>
  <c r="U892" i="1" s="1"/>
  <c r="C758" i="3"/>
  <c r="U748" i="1" s="1"/>
  <c r="C614" i="3"/>
  <c r="U604" i="1" s="1"/>
  <c r="C470" i="3"/>
  <c r="U460" i="1" s="1"/>
  <c r="C326" i="3"/>
  <c r="U316" i="1" s="1"/>
  <c r="C182" i="3"/>
  <c r="U172" i="1" s="1"/>
  <c r="C38" i="3"/>
  <c r="U28" i="1" s="1"/>
  <c r="C901" i="3"/>
  <c r="U891" i="1" s="1"/>
  <c r="C757" i="3"/>
  <c r="U747" i="1" s="1"/>
  <c r="C613" i="3"/>
  <c r="U603" i="1" s="1"/>
  <c r="C37" i="3"/>
  <c r="U27" i="1" s="1"/>
  <c r="C900" i="3"/>
  <c r="U890" i="1" s="1"/>
  <c r="C324" i="3"/>
  <c r="U314" i="1" s="1"/>
  <c r="C185" i="3"/>
  <c r="U175" i="1" s="1"/>
  <c r="C172" i="3"/>
  <c r="U162" i="1" s="1"/>
  <c r="C459" i="3"/>
  <c r="U449" i="1" s="1"/>
  <c r="C746" i="3"/>
  <c r="U736" i="1" s="1"/>
  <c r="C314" i="3"/>
  <c r="U304" i="1" s="1"/>
  <c r="C601" i="3"/>
  <c r="U591" i="1" s="1"/>
  <c r="C25" i="3"/>
  <c r="U15" i="1" s="1"/>
  <c r="C312" i="3"/>
  <c r="U302" i="1" s="1"/>
  <c r="C836" i="3"/>
  <c r="U826" i="1" s="1"/>
  <c r="C499" i="3"/>
  <c r="U489" i="1" s="1"/>
  <c r="C906" i="3"/>
  <c r="U896" i="1" s="1"/>
  <c r="C474" i="3"/>
  <c r="U464" i="1" s="1"/>
  <c r="C749" i="3"/>
  <c r="U739" i="1" s="1"/>
  <c r="C880" i="3"/>
  <c r="U870" i="1" s="1"/>
  <c r="C160" i="3"/>
  <c r="U150" i="1" s="1"/>
  <c r="C879" i="3"/>
  <c r="U869" i="1" s="1"/>
  <c r="C303" i="3"/>
  <c r="U293" i="1" s="1"/>
  <c r="C590" i="3"/>
  <c r="U580" i="1" s="1"/>
  <c r="C14" i="3"/>
  <c r="U4" i="1" s="1"/>
  <c r="C301" i="3"/>
  <c r="U291" i="1" s="1"/>
  <c r="C992" i="3"/>
  <c r="U982" i="1" s="1"/>
  <c r="C848" i="3"/>
  <c r="U838" i="1" s="1"/>
  <c r="C704" i="3"/>
  <c r="U694" i="1" s="1"/>
  <c r="C560" i="3"/>
  <c r="U550" i="1" s="1"/>
  <c r="C416" i="3"/>
  <c r="U406" i="1" s="1"/>
  <c r="C272" i="3"/>
  <c r="U262" i="1" s="1"/>
  <c r="C128" i="3"/>
  <c r="U118" i="1" s="1"/>
  <c r="C511" i="3"/>
  <c r="U501" i="1" s="1"/>
  <c r="C355" i="3"/>
  <c r="U345" i="1" s="1"/>
  <c r="C211" i="3"/>
  <c r="U201" i="1" s="1"/>
  <c r="C67" i="3"/>
  <c r="U57" i="1" s="1"/>
  <c r="C918" i="3"/>
  <c r="U908" i="1" s="1"/>
  <c r="C774" i="3"/>
  <c r="U764" i="1" s="1"/>
  <c r="C630" i="3"/>
  <c r="U620" i="1" s="1"/>
  <c r="C486" i="3"/>
  <c r="U476" i="1" s="1"/>
  <c r="C342" i="3"/>
  <c r="U332" i="1" s="1"/>
  <c r="C198" i="3"/>
  <c r="U188" i="1" s="1"/>
  <c r="C54" i="3"/>
  <c r="U44" i="1" s="1"/>
  <c r="C905" i="3"/>
  <c r="U895" i="1" s="1"/>
  <c r="C761" i="3"/>
  <c r="U751" i="1" s="1"/>
  <c r="C617" i="3"/>
  <c r="U607" i="1" s="1"/>
  <c r="C473" i="3"/>
  <c r="U463" i="1" s="1"/>
  <c r="C41" i="3"/>
  <c r="U31" i="1" s="1"/>
  <c r="C604" i="3"/>
  <c r="U594" i="1" s="1"/>
  <c r="C460" i="3"/>
  <c r="U450" i="1" s="1"/>
  <c r="C316" i="3"/>
  <c r="U306" i="1" s="1"/>
  <c r="C891" i="3"/>
  <c r="U881" i="1" s="1"/>
  <c r="C171" i="3"/>
  <c r="U161" i="1" s="1"/>
  <c r="C458" i="3"/>
  <c r="U448" i="1" s="1"/>
  <c r="C889" i="3"/>
  <c r="U879" i="1" s="1"/>
  <c r="C313" i="3"/>
  <c r="U303" i="1" s="1"/>
  <c r="C744" i="3"/>
  <c r="U734" i="1" s="1"/>
  <c r="C24" i="3"/>
  <c r="U14" i="1" s="1"/>
  <c r="C692" i="3"/>
  <c r="U682" i="1" s="1"/>
  <c r="C116" i="3"/>
  <c r="U106" i="1" s="1"/>
  <c r="C762" i="3"/>
  <c r="U752" i="1" s="1"/>
  <c r="C42" i="3"/>
  <c r="U32" i="1" s="1"/>
  <c r="C605" i="3"/>
  <c r="U595" i="1" s="1"/>
  <c r="C29" i="3"/>
  <c r="U19" i="1" s="1"/>
  <c r="C304" i="3"/>
  <c r="U294" i="1" s="1"/>
  <c r="C591" i="3"/>
  <c r="U581" i="1" s="1"/>
  <c r="C15" i="3"/>
  <c r="U5" i="1" s="1"/>
  <c r="C446" i="3"/>
  <c r="U436" i="1" s="1"/>
  <c r="C158" i="3"/>
  <c r="U148" i="1" s="1"/>
  <c r="C445" i="3"/>
  <c r="U435" i="1" s="1"/>
  <c r="C157" i="3"/>
  <c r="U147" i="1" s="1"/>
  <c r="C968" i="3"/>
  <c r="U958" i="1" s="1"/>
  <c r="C824" i="3"/>
  <c r="U814" i="1" s="1"/>
  <c r="C680" i="3"/>
  <c r="U670" i="1" s="1"/>
  <c r="C536" i="3"/>
  <c r="U526" i="1" s="1"/>
  <c r="C392" i="3"/>
  <c r="U382" i="1" s="1"/>
  <c r="C248" i="3"/>
  <c r="U238" i="1" s="1"/>
  <c r="C104" i="3"/>
  <c r="U94" i="1" s="1"/>
  <c r="C487" i="3"/>
  <c r="U477" i="1" s="1"/>
  <c r="C331" i="3"/>
  <c r="U321" i="1" s="1"/>
  <c r="C187" i="3"/>
  <c r="U177" i="1" s="1"/>
  <c r="C43" i="3"/>
  <c r="U33" i="1" s="1"/>
  <c r="C894" i="3"/>
  <c r="U884" i="1" s="1"/>
  <c r="C750" i="3"/>
  <c r="U740" i="1" s="1"/>
  <c r="C606" i="3"/>
  <c r="U596" i="1" s="1"/>
  <c r="C462" i="3"/>
  <c r="U452" i="1" s="1"/>
  <c r="C318" i="3"/>
  <c r="U308" i="1" s="1"/>
  <c r="C174" i="3"/>
  <c r="U164" i="1" s="1"/>
  <c r="C30" i="3"/>
  <c r="U20" i="1" s="1"/>
  <c r="C881" i="3"/>
  <c r="U871" i="1" s="1"/>
  <c r="C737" i="3"/>
  <c r="U727" i="1" s="1"/>
  <c r="C593" i="3"/>
  <c r="U583" i="1" s="1"/>
  <c r="C449" i="3"/>
  <c r="U439" i="1" s="1"/>
  <c r="C305" i="3"/>
  <c r="U295" i="1" s="1"/>
  <c r="C161" i="3"/>
  <c r="U151" i="1" s="1"/>
  <c r="C17" i="3"/>
  <c r="U7" i="1" s="1"/>
  <c r="C868" i="3"/>
  <c r="U858" i="1" s="1"/>
  <c r="C724" i="3"/>
  <c r="U714" i="1" s="1"/>
  <c r="C580" i="3"/>
  <c r="U570" i="1" s="1"/>
  <c r="C436" i="3"/>
  <c r="U426" i="1" s="1"/>
  <c r="C292" i="3"/>
  <c r="U282" i="1" s="1"/>
  <c r="C148" i="3"/>
  <c r="U138" i="1" s="1"/>
  <c r="C1011" i="3"/>
  <c r="U1001" i="1" s="1"/>
  <c r="C867" i="3"/>
  <c r="U857" i="1" s="1"/>
  <c r="C723" i="3"/>
  <c r="U713" i="1" s="1"/>
  <c r="C579" i="3"/>
  <c r="U569" i="1" s="1"/>
  <c r="C435" i="3"/>
  <c r="U425" i="1" s="1"/>
  <c r="C291" i="3"/>
  <c r="U281" i="1" s="1"/>
  <c r="C147" i="3"/>
  <c r="U137" i="1" s="1"/>
  <c r="C1010" i="3"/>
  <c r="U1000" i="1" s="1"/>
  <c r="C866" i="3"/>
  <c r="U856" i="1" s="1"/>
  <c r="C722" i="3"/>
  <c r="U712" i="1" s="1"/>
  <c r="C578" i="3"/>
  <c r="U568" i="1" s="1"/>
  <c r="C434" i="3"/>
  <c r="U424" i="1" s="1"/>
  <c r="C290" i="3"/>
  <c r="U280" i="1" s="1"/>
  <c r="C146" i="3"/>
  <c r="U136" i="1" s="1"/>
  <c r="C1009" i="3"/>
  <c r="U999" i="1" s="1"/>
  <c r="C865" i="3"/>
  <c r="U855" i="1" s="1"/>
  <c r="C721" i="3"/>
  <c r="U711" i="1" s="1"/>
  <c r="C577" i="3"/>
  <c r="U567" i="1" s="1"/>
  <c r="C433" i="3"/>
  <c r="U423" i="1" s="1"/>
  <c r="C289" i="3"/>
  <c r="U279" i="1" s="1"/>
  <c r="C145" i="3"/>
  <c r="U135" i="1" s="1"/>
  <c r="C1008" i="3"/>
  <c r="U998" i="1" s="1"/>
  <c r="C864" i="3"/>
  <c r="U854" i="1" s="1"/>
  <c r="C720" i="3"/>
  <c r="U710" i="1" s="1"/>
  <c r="C576" i="3"/>
  <c r="U566" i="1" s="1"/>
  <c r="C432" i="3"/>
  <c r="U422" i="1" s="1"/>
  <c r="C288" i="3"/>
  <c r="U278" i="1" s="1"/>
  <c r="C144" i="3"/>
  <c r="U134" i="1" s="1"/>
  <c r="C135" i="3"/>
  <c r="U125" i="1" s="1"/>
  <c r="C278" i="3"/>
  <c r="U268" i="1" s="1"/>
  <c r="C853" i="3"/>
  <c r="U843" i="1" s="1"/>
  <c r="C565" i="3"/>
  <c r="U555" i="1" s="1"/>
  <c r="C277" i="3"/>
  <c r="U267" i="1" s="1"/>
  <c r="C852" i="3"/>
  <c r="U842" i="1" s="1"/>
  <c r="C564" i="3"/>
  <c r="U554" i="1" s="1"/>
  <c r="C276" i="3"/>
  <c r="U266" i="1" s="1"/>
  <c r="C956" i="3"/>
  <c r="U946" i="1" s="1"/>
  <c r="C812" i="3"/>
  <c r="U802" i="1" s="1"/>
  <c r="C668" i="3"/>
  <c r="U658" i="1" s="1"/>
  <c r="C524" i="3"/>
  <c r="U514" i="1" s="1"/>
  <c r="C380" i="3"/>
  <c r="U370" i="1" s="1"/>
  <c r="C236" i="3"/>
  <c r="U226" i="1" s="1"/>
  <c r="C92" i="3"/>
  <c r="U82" i="1" s="1"/>
  <c r="C475" i="3"/>
  <c r="U465" i="1" s="1"/>
  <c r="C319" i="3"/>
  <c r="U309" i="1" s="1"/>
  <c r="C175" i="3"/>
  <c r="U165" i="1" s="1"/>
  <c r="C31" i="3"/>
  <c r="U21" i="1" s="1"/>
  <c r="C882" i="3"/>
  <c r="U872" i="1" s="1"/>
  <c r="C738" i="3"/>
  <c r="U728" i="1" s="1"/>
  <c r="C594" i="3"/>
  <c r="U584" i="1" s="1"/>
  <c r="C450" i="3"/>
  <c r="U440" i="1" s="1"/>
  <c r="C306" i="3"/>
  <c r="U296" i="1" s="1"/>
  <c r="C162" i="3"/>
  <c r="U152" i="1" s="1"/>
  <c r="C18" i="3"/>
  <c r="U8" i="1" s="1"/>
  <c r="C869" i="3"/>
  <c r="U859" i="1" s="1"/>
  <c r="C725" i="3"/>
  <c r="U715" i="1" s="1"/>
  <c r="C581" i="3"/>
  <c r="U571" i="1" s="1"/>
  <c r="C437" i="3"/>
  <c r="U427" i="1" s="1"/>
  <c r="C293" i="3"/>
  <c r="U283" i="1" s="1"/>
  <c r="C149" i="3"/>
  <c r="U139" i="1" s="1"/>
  <c r="C1000" i="3"/>
  <c r="U990" i="1" s="1"/>
  <c r="C856" i="3"/>
  <c r="U846" i="1" s="1"/>
  <c r="C712" i="3"/>
  <c r="U702" i="1" s="1"/>
  <c r="C568" i="3"/>
  <c r="U558" i="1" s="1"/>
  <c r="C424" i="3"/>
  <c r="U414" i="1" s="1"/>
  <c r="C280" i="3"/>
  <c r="U270" i="1" s="1"/>
  <c r="C136" i="3"/>
  <c r="U126" i="1" s="1"/>
  <c r="C999" i="3"/>
  <c r="U989" i="1" s="1"/>
  <c r="C855" i="3"/>
  <c r="U845" i="1" s="1"/>
  <c r="C711" i="3"/>
  <c r="U701" i="1" s="1"/>
  <c r="C567" i="3"/>
  <c r="U557" i="1" s="1"/>
  <c r="C423" i="3"/>
  <c r="U413" i="1" s="1"/>
  <c r="C279" i="3"/>
  <c r="U269" i="1" s="1"/>
  <c r="C998" i="3"/>
  <c r="U988" i="1" s="1"/>
  <c r="C854" i="3"/>
  <c r="U844" i="1" s="1"/>
  <c r="C710" i="3"/>
  <c r="U700" i="1" s="1"/>
  <c r="C566" i="3"/>
  <c r="U556" i="1" s="1"/>
  <c r="C422" i="3"/>
  <c r="U412" i="1" s="1"/>
  <c r="C134" i="3"/>
  <c r="U124" i="1" s="1"/>
  <c r="C997" i="3"/>
  <c r="U987" i="1" s="1"/>
  <c r="C709" i="3"/>
  <c r="U699" i="1" s="1"/>
  <c r="C421" i="3"/>
  <c r="U411" i="1" s="1"/>
  <c r="C133" i="3"/>
  <c r="U123" i="1" s="1"/>
  <c r="C996" i="3"/>
  <c r="U986" i="1" s="1"/>
  <c r="C708" i="3"/>
  <c r="U698" i="1" s="1"/>
  <c r="C420" i="3"/>
  <c r="U410" i="1" s="1"/>
  <c r="C132" i="3"/>
  <c r="U122" i="1" s="1"/>
  <c r="C944" i="3"/>
  <c r="U934" i="1" s="1"/>
  <c r="C932" i="3"/>
  <c r="U922" i="1" s="1"/>
  <c r="C788" i="3"/>
  <c r="U778" i="1" s="1"/>
  <c r="C644" i="3"/>
  <c r="U634" i="1" s="1"/>
  <c r="C500" i="3"/>
  <c r="U490" i="1" s="1"/>
  <c r="C356" i="3"/>
  <c r="U346" i="1" s="1"/>
  <c r="C212" i="3"/>
  <c r="U202" i="1" s="1"/>
  <c r="C68" i="3"/>
  <c r="U58" i="1" s="1"/>
  <c r="C451" i="3"/>
  <c r="U441" i="1" s="1"/>
  <c r="C295" i="3"/>
  <c r="U285" i="1" s="1"/>
  <c r="C151" i="3"/>
  <c r="U141" i="1" s="1"/>
  <c r="C1002" i="3"/>
  <c r="U992" i="1" s="1"/>
  <c r="C858" i="3"/>
  <c r="U848" i="1" s="1"/>
  <c r="C714" i="3"/>
  <c r="U704" i="1" s="1"/>
  <c r="C570" i="3"/>
  <c r="U560" i="1" s="1"/>
  <c r="C426" i="3"/>
  <c r="U416" i="1" s="1"/>
  <c r="C282" i="3"/>
  <c r="U272" i="1" s="1"/>
  <c r="C138" i="3"/>
  <c r="U128" i="1" s="1"/>
  <c r="C989" i="3"/>
  <c r="U979" i="1" s="1"/>
  <c r="C845" i="3"/>
  <c r="U835" i="1" s="1"/>
  <c r="C701" i="3"/>
  <c r="U691" i="1" s="1"/>
  <c r="C557" i="3"/>
  <c r="U547" i="1" s="1"/>
  <c r="C413" i="3"/>
  <c r="U403" i="1" s="1"/>
  <c r="C269" i="3"/>
  <c r="U259" i="1" s="1"/>
  <c r="C125" i="3"/>
  <c r="U115" i="1" s="1"/>
  <c r="C976" i="3"/>
  <c r="U966" i="1" s="1"/>
  <c r="C832" i="3"/>
  <c r="U822" i="1" s="1"/>
  <c r="C688" i="3"/>
  <c r="U678" i="1" s="1"/>
  <c r="C544" i="3"/>
  <c r="U534" i="1" s="1"/>
  <c r="C400" i="3"/>
  <c r="U390" i="1" s="1"/>
  <c r="C256" i="3"/>
  <c r="U246" i="1" s="1"/>
  <c r="C112" i="3"/>
  <c r="U102" i="1" s="1"/>
  <c r="C975" i="3"/>
  <c r="U965" i="1" s="1"/>
  <c r="C831" i="3"/>
  <c r="U821" i="1" s="1"/>
  <c r="C687" i="3"/>
  <c r="U677" i="1" s="1"/>
  <c r="C543" i="3"/>
  <c r="U533" i="1" s="1"/>
  <c r="C399" i="3"/>
  <c r="U389" i="1" s="1"/>
  <c r="C255" i="3"/>
  <c r="U245" i="1" s="1"/>
  <c r="C111" i="3"/>
  <c r="U101" i="1" s="1"/>
  <c r="C974" i="3"/>
  <c r="U964" i="1" s="1"/>
  <c r="C830" i="3"/>
  <c r="U820" i="1" s="1"/>
  <c r="C686" i="3"/>
  <c r="U676" i="1" s="1"/>
  <c r="C542" i="3"/>
  <c r="U532" i="1" s="1"/>
  <c r="C398" i="3"/>
  <c r="U388" i="1" s="1"/>
  <c r="C254" i="3"/>
  <c r="U244" i="1" s="1"/>
  <c r="C110" i="3"/>
  <c r="U100" i="1" s="1"/>
  <c r="C973" i="3"/>
  <c r="U963" i="1" s="1"/>
  <c r="C829" i="3"/>
  <c r="U819" i="1" s="1"/>
  <c r="C685" i="3"/>
  <c r="U675" i="1" s="1"/>
  <c r="C541" i="3"/>
  <c r="U531" i="1" s="1"/>
  <c r="C397" i="3"/>
  <c r="U387" i="1" s="1"/>
  <c r="C253" i="3"/>
  <c r="U243" i="1" s="1"/>
  <c r="C109" i="3"/>
  <c r="U99" i="1" s="1"/>
  <c r="C972" i="3"/>
  <c r="U962" i="1" s="1"/>
  <c r="C828" i="3"/>
  <c r="U818" i="1" s="1"/>
  <c r="C684" i="3"/>
  <c r="U674" i="1" s="1"/>
  <c r="C540" i="3"/>
  <c r="U530" i="1" s="1"/>
  <c r="C396" i="3"/>
  <c r="U386" i="1" s="1"/>
  <c r="C252" i="3"/>
  <c r="U242" i="1" s="1"/>
  <c r="C108" i="3"/>
  <c r="U98" i="1" s="1"/>
  <c r="C876" i="3"/>
  <c r="U866" i="1" s="1"/>
  <c r="C949" i="3"/>
  <c r="U939" i="1" s="1"/>
  <c r="C518" i="3"/>
  <c r="U508" i="1" s="1"/>
  <c r="C87" i="3"/>
  <c r="U77" i="1" s="1"/>
  <c r="C232" i="3"/>
  <c r="U222" i="1" s="1"/>
  <c r="C808" i="3"/>
  <c r="U798" i="1" s="1"/>
  <c r="C389" i="3"/>
  <c r="U379" i="1" s="1"/>
  <c r="C965" i="3"/>
  <c r="U955" i="1" s="1"/>
  <c r="C546" i="3"/>
  <c r="U536" i="1" s="1"/>
  <c r="C127" i="3"/>
  <c r="U117" i="1" s="1"/>
  <c r="C188" i="3"/>
  <c r="U178" i="1" s="1"/>
  <c r="C764" i="3"/>
  <c r="U754" i="1" s="1"/>
  <c r="C444" i="3"/>
  <c r="U434" i="1" s="1"/>
  <c r="C385" i="3"/>
  <c r="U375" i="1" s="1"/>
  <c r="C663" i="3"/>
  <c r="U653" i="1" s="1"/>
  <c r="C84" i="3"/>
  <c r="U74" i="1" s="1"/>
  <c r="C516" i="3"/>
  <c r="U506" i="1" s="1"/>
  <c r="C948" i="3"/>
  <c r="U938" i="1" s="1"/>
  <c r="C409" i="3"/>
  <c r="U399" i="1" s="1"/>
  <c r="C961" i="3"/>
  <c r="U951" i="1" s="1"/>
  <c r="C530" i="3"/>
  <c r="U520" i="1" s="1"/>
  <c r="C99" i="3"/>
  <c r="U89" i="1" s="1"/>
  <c r="C675" i="3"/>
  <c r="U665" i="1" s="1"/>
  <c r="C244" i="3"/>
  <c r="U234" i="1" s="1"/>
  <c r="C820" i="3"/>
  <c r="U810" i="1" s="1"/>
  <c r="C401" i="3"/>
  <c r="U391" i="1" s="1"/>
  <c r="C977" i="3"/>
  <c r="U967" i="1" s="1"/>
  <c r="C558" i="3"/>
  <c r="U548" i="1" s="1"/>
  <c r="C139" i="3"/>
  <c r="U129" i="1" s="1"/>
  <c r="C200" i="3"/>
  <c r="U190" i="1" s="1"/>
  <c r="C776" i="3"/>
  <c r="U766" i="1" s="1"/>
  <c r="C984" i="3"/>
  <c r="U974" i="1" s="1"/>
  <c r="C529" i="3"/>
  <c r="U519" i="1" s="1"/>
  <c r="C86" i="3"/>
  <c r="U76" i="1" s="1"/>
  <c r="C662" i="3"/>
  <c r="U652" i="1" s="1"/>
  <c r="C231" i="3"/>
  <c r="U221" i="1" s="1"/>
  <c r="C807" i="3"/>
  <c r="U797" i="1" s="1"/>
  <c r="C376" i="3"/>
  <c r="U366" i="1" s="1"/>
  <c r="C952" i="3"/>
  <c r="U942" i="1" s="1"/>
  <c r="C533" i="3"/>
  <c r="U523" i="1" s="1"/>
  <c r="C114" i="3"/>
  <c r="U104" i="1" s="1"/>
  <c r="C690" i="3"/>
  <c r="U680" i="1" s="1"/>
  <c r="C271" i="3"/>
  <c r="U261" i="1" s="1"/>
  <c r="C332" i="3"/>
  <c r="U322" i="1" s="1"/>
  <c r="C908" i="3"/>
  <c r="U898" i="1" s="1"/>
  <c r="C156" i="3"/>
  <c r="U146" i="1" s="1"/>
  <c r="C588" i="3"/>
  <c r="U578" i="1" s="1"/>
  <c r="C13" i="3"/>
  <c r="U3" i="1" s="1"/>
  <c r="C553" i="3"/>
  <c r="U543" i="1" s="1"/>
  <c r="C98" i="3"/>
  <c r="U88" i="1" s="1"/>
  <c r="C674" i="3"/>
  <c r="U664" i="1" s="1"/>
  <c r="C243" i="3"/>
  <c r="U233" i="1" s="1"/>
  <c r="C819" i="3"/>
  <c r="U809" i="1" s="1"/>
  <c r="C388" i="3"/>
  <c r="U378" i="1" s="1"/>
  <c r="C964" i="3"/>
  <c r="U954" i="1" s="1"/>
  <c r="C545" i="3"/>
  <c r="U535" i="1" s="1"/>
  <c r="C126" i="3"/>
  <c r="U116" i="1" s="1"/>
  <c r="C702" i="3"/>
  <c r="U692" i="1" s="1"/>
  <c r="C283" i="3"/>
  <c r="U273" i="1" s="1"/>
  <c r="C344" i="3"/>
  <c r="U334" i="1" s="1"/>
  <c r="C920" i="3"/>
  <c r="U910" i="1" s="1"/>
  <c r="D3" i="3" l="1"/>
  <c r="D2" i="3"/>
</calcChain>
</file>

<file path=xl/sharedStrings.xml><?xml version="1.0" encoding="utf-8"?>
<sst xmlns="http://schemas.openxmlformats.org/spreadsheetml/2006/main" count="18126" uniqueCount="147">
  <si>
    <t>Campaign_ID</t>
  </si>
  <si>
    <t>Region</t>
  </si>
  <si>
    <t>Country</t>
  </si>
  <si>
    <t>Product</t>
  </si>
  <si>
    <t>Channel</t>
  </si>
  <si>
    <t>Currency</t>
  </si>
  <si>
    <t>Start_Date</t>
  </si>
  <si>
    <t>End_Date</t>
  </si>
  <si>
    <t>LC_Spend</t>
  </si>
  <si>
    <t>FX_Rate</t>
  </si>
  <si>
    <t>USD_Spend</t>
  </si>
  <si>
    <t>Impressions</t>
  </si>
  <si>
    <t>Clicks</t>
  </si>
  <si>
    <t>Sales</t>
  </si>
  <si>
    <t>Year</t>
  </si>
  <si>
    <t>Month</t>
  </si>
  <si>
    <t>Quarter</t>
  </si>
  <si>
    <t>Format</t>
  </si>
  <si>
    <t>CMP_044</t>
  </si>
  <si>
    <t>North</t>
  </si>
  <si>
    <t>Singapore</t>
  </si>
  <si>
    <t>Foundation</t>
  </si>
  <si>
    <t>Retail</t>
  </si>
  <si>
    <t>USD</t>
  </si>
  <si>
    <t>October</t>
  </si>
  <si>
    <t>Q4</t>
  </si>
  <si>
    <t>Australia | ABC | BCD</t>
  </si>
  <si>
    <t>CMP_035</t>
  </si>
  <si>
    <t>West</t>
  </si>
  <si>
    <t>Australia</t>
  </si>
  <si>
    <t>Wholesale</t>
  </si>
  <si>
    <t>AUD</t>
  </si>
  <si>
    <t>August</t>
  </si>
  <si>
    <t>Q3</t>
  </si>
  <si>
    <t>CMP_049</t>
  </si>
  <si>
    <t>East</t>
  </si>
  <si>
    <t>India</t>
  </si>
  <si>
    <t>Perfume</t>
  </si>
  <si>
    <t>Ecommerce</t>
  </si>
  <si>
    <t>February</t>
  </si>
  <si>
    <t>Q1</t>
  </si>
  <si>
    <t>USA | DEF | GHI</t>
  </si>
  <si>
    <t>CMP_060</t>
  </si>
  <si>
    <t>Luxury Bag</t>
  </si>
  <si>
    <t>SGD</t>
  </si>
  <si>
    <t>May</t>
  </si>
  <si>
    <t>Q2</t>
  </si>
  <si>
    <t>CMP_055</t>
  </si>
  <si>
    <t>South</t>
  </si>
  <si>
    <t>GBP</t>
  </si>
  <si>
    <t>CMP_039</t>
  </si>
  <si>
    <t>Watch</t>
  </si>
  <si>
    <t>INR</t>
  </si>
  <si>
    <t>June</t>
  </si>
  <si>
    <t>UK | JKL | MNO | PQR</t>
  </si>
  <si>
    <t>CMP_054</t>
  </si>
  <si>
    <t>January</t>
  </si>
  <si>
    <t>CMP_032</t>
  </si>
  <si>
    <t>UK</t>
  </si>
  <si>
    <t>Lipstick</t>
  </si>
  <si>
    <t>March</t>
  </si>
  <si>
    <t>India | XYZ | PQR | TEST</t>
  </si>
  <si>
    <t>CMP_015</t>
  </si>
  <si>
    <t>Skincare</t>
  </si>
  <si>
    <t>CMP_011</t>
  </si>
  <si>
    <t>November</t>
  </si>
  <si>
    <t>CMP_010</t>
  </si>
  <si>
    <t>CMP_016</t>
  </si>
  <si>
    <t>CMP_028</t>
  </si>
  <si>
    <t>USA</t>
  </si>
  <si>
    <t>CMP_003</t>
  </si>
  <si>
    <t>CMP_051</t>
  </si>
  <si>
    <t>CMP_042</t>
  </si>
  <si>
    <t>December</t>
  </si>
  <si>
    <t>September</t>
  </si>
  <si>
    <t>CMP_026</t>
  </si>
  <si>
    <t>April</t>
  </si>
  <si>
    <t>CMP_033</t>
  </si>
  <si>
    <t>CMP_006</t>
  </si>
  <si>
    <t>CMP_020</t>
  </si>
  <si>
    <t>July</t>
  </si>
  <si>
    <t>CMP_057</t>
  </si>
  <si>
    <t>CMP_043</t>
  </si>
  <si>
    <t>CMP_017</t>
  </si>
  <si>
    <t>CMP_036</t>
  </si>
  <si>
    <t>CMP_018</t>
  </si>
  <si>
    <t>CMP_002</t>
  </si>
  <si>
    <t>CMP_048</t>
  </si>
  <si>
    <t>CMP_021</t>
  </si>
  <si>
    <t>CMP_045</t>
  </si>
  <si>
    <t>CMP_038</t>
  </si>
  <si>
    <t>CMP_030</t>
  </si>
  <si>
    <t>CMP_004</t>
  </si>
  <si>
    <t>CMP_008</t>
  </si>
  <si>
    <t>CMP_007</t>
  </si>
  <si>
    <t>CMP_050</t>
  </si>
  <si>
    <t>CMP_027</t>
  </si>
  <si>
    <t>CMP_019</t>
  </si>
  <si>
    <t>CMP_005</t>
  </si>
  <si>
    <t>CMP_041</t>
  </si>
  <si>
    <t>CMP_053</t>
  </si>
  <si>
    <t>CMP_037</t>
  </si>
  <si>
    <t>CMP_022</t>
  </si>
  <si>
    <t>CMP_059</t>
  </si>
  <si>
    <t>CMP_034</t>
  </si>
  <si>
    <t>CMP_025</t>
  </si>
  <si>
    <t>CMP_009</t>
  </si>
  <si>
    <t>CMP_040</t>
  </si>
  <si>
    <t>CMP_058</t>
  </si>
  <si>
    <t>CMP_046</t>
  </si>
  <si>
    <t>CMP_012</t>
  </si>
  <si>
    <t>CMP_024</t>
  </si>
  <si>
    <t>CMP_023</t>
  </si>
  <si>
    <t>CMP_056</t>
  </si>
  <si>
    <t>CMP_013</t>
  </si>
  <si>
    <t>CMP_047</t>
  </si>
  <si>
    <t>CMP_014</t>
  </si>
  <si>
    <t>CMP_031</t>
  </si>
  <si>
    <t>CMP_052</t>
  </si>
  <si>
    <t>CMP_029</t>
  </si>
  <si>
    <t>CMP_001</t>
  </si>
  <si>
    <t>Column1</t>
  </si>
  <si>
    <t>Spend_Outlier</t>
  </si>
  <si>
    <t>Sales Outlier</t>
  </si>
  <si>
    <t>Outlier_Summary</t>
  </si>
  <si>
    <t>Normal</t>
  </si>
  <si>
    <t>Outlier</t>
  </si>
  <si>
    <t>Average Spend</t>
  </si>
  <si>
    <t>Average Sales</t>
  </si>
  <si>
    <t>Average Clicks</t>
  </si>
  <si>
    <t>Outlier Status</t>
  </si>
  <si>
    <t>ROAS</t>
  </si>
  <si>
    <t>Average ROAS</t>
  </si>
  <si>
    <t>CTR</t>
  </si>
  <si>
    <t>Campaign Count</t>
  </si>
  <si>
    <t>Campaign ID</t>
  </si>
  <si>
    <t>Spend Outlier Campaigns</t>
  </si>
  <si>
    <t>Key Findings</t>
  </si>
  <si>
    <t>Outlier analysis identified 8 high-spend campaigns that invested an average of $55.5K, which is approximately 3.6 times higher than normal campaigns. However, these campaigns generated lower average sales ($112.4K vs. $124.7K), fewer clicks (18.1K vs. 25.3K), lower CTR (9% vs. 11%), and significantly lower ROAS (2.02 vs. 37.13). Among the spend outliers, Luxury Bag campaigns delivered the highest average ROAS (2.92), while Skincare campaigns delivered the lowest (1.11). Market analysis showed that the USA achieved the highest ROAS (3.07), whereas Singapore recorded the weakest performance (1.31). Additionally, Ecommerce campaigns outperformed Retail campaigns, with Retail generating the lowest ROAS (0.23) despite receiving comparable investment levels.</t>
  </si>
  <si>
    <t>Recommendation</t>
  </si>
  <si>
    <t>The current analysis suggests that increasing campaign spend alone does not guarantee sales improvement. Future budget allocation should prioritize high-performing combinations such as USA-based Ecommerce campaigns and Luxury Bag campaigns, which demonstrated stronger returns among high-spend investments. At the same time, underperforming campaigns, particularly Retail and Skincare campaigns, should be reviewed for targeting, creative strategy, audience selection, and budget utilization. Campaigns such as CMP_027, which delivered the lowest ROAS despite a high investment, should be investigated further to identify performance gaps and reallocate budget toward more efficient campaign types.</t>
  </si>
  <si>
    <t>Outlier Spend vs Normal Spend Performance</t>
  </si>
  <si>
    <t>Spend Outlier Products</t>
  </si>
  <si>
    <t>Spend Outlier Country, Channel and Campaigns</t>
  </si>
  <si>
    <t>Comparison Analysis Between Top and Bottom Performing Outliers</t>
  </si>
  <si>
    <t>Spend Outlier Analysis</t>
  </si>
  <si>
    <t>ROAS_Outlier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</si>
</sst>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name val="Calibri"/>
    </font>
    <font>
      <sz val="11"/>
      <color theme="1"/>
      <name val="Calibri"/>
      <family val="2"/>
      <scheme val="minor"/>
    </font>
    <font>
      <b/>
      <sz val="11"/>
      <color theme="0"/>
      <name val="Calibri"/>
      <family val="2"/>
      <scheme val="minor"/>
    </font>
    <font>
      <b/>
      <sz val="11"/>
      <color theme="1"/>
      <name val="Calibri"/>
      <family val="2"/>
      <scheme val="minor"/>
    </font>
    <font>
      <b/>
      <sz val="11"/>
      <name val="Calibri"/>
      <family val="2"/>
    </font>
    <font>
      <b/>
      <sz val="11"/>
      <color theme="0"/>
      <name val="Calibri"/>
      <family val="2"/>
    </font>
    <font>
      <sz val="8"/>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8" tint="-0.249977111117893"/>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44">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xf>
    <xf numFmtId="0" fontId="5" fillId="0" borderId="5" xfId="0" applyFont="1" applyBorder="1" applyAlignment="1">
      <alignment horizontal="center" vertical="top"/>
    </xf>
    <xf numFmtId="0" fontId="6" fillId="0" borderId="4" xfId="0" applyFont="1" applyBorder="1" applyAlignment="1">
      <alignment horizontal="center" vertical="top"/>
    </xf>
    <xf numFmtId="0" fontId="6" fillId="0" borderId="5" xfId="0" applyFont="1" applyBorder="1" applyAlignment="1">
      <alignment horizontal="center" vertical="top"/>
    </xf>
    <xf numFmtId="2" fontId="0" fillId="0" borderId="1" xfId="0" applyNumberFormat="1" applyBorder="1" applyAlignment="1">
      <alignment horizontal="center"/>
    </xf>
    <xf numFmtId="2" fontId="0" fillId="0" borderId="8" xfId="0" applyNumberFormat="1" applyBorder="1" applyAlignment="1">
      <alignment horizontal="center"/>
    </xf>
    <xf numFmtId="0" fontId="0" fillId="0" borderId="1" xfId="0" applyBorder="1"/>
    <xf numFmtId="2" fontId="0" fillId="0" borderId="1" xfId="0" applyNumberFormat="1" applyBorder="1" applyAlignment="1">
      <alignment horizontal="left"/>
    </xf>
    <xf numFmtId="0" fontId="0" fillId="0" borderId="5" xfId="0" applyBorder="1" applyAlignment="1">
      <alignment horizontal="center"/>
    </xf>
    <xf numFmtId="0" fontId="5" fillId="0" borderId="6" xfId="0" applyFont="1" applyBorder="1" applyAlignment="1">
      <alignment horizontal="center" vertical="top"/>
    </xf>
    <xf numFmtId="2" fontId="0" fillId="0" borderId="6" xfId="0" applyNumberFormat="1" applyBorder="1" applyAlignment="1">
      <alignment horizontal="center"/>
    </xf>
    <xf numFmtId="2" fontId="0" fillId="0" borderId="3" xfId="0" applyNumberFormat="1" applyBorder="1" applyAlignment="1">
      <alignment horizontal="center"/>
    </xf>
    <xf numFmtId="2" fontId="0" fillId="0" borderId="9" xfId="0" applyNumberFormat="1" applyBorder="1" applyAlignment="1">
      <alignment horizontal="center"/>
    </xf>
    <xf numFmtId="9" fontId="0" fillId="0" borderId="6" xfId="1" applyFont="1" applyBorder="1" applyAlignment="1">
      <alignment horizontal="center"/>
    </xf>
    <xf numFmtId="9" fontId="0" fillId="0" borderId="3" xfId="1" applyFont="1" applyBorder="1" applyAlignment="1">
      <alignment horizontal="center"/>
    </xf>
    <xf numFmtId="9" fontId="0" fillId="0" borderId="9" xfId="1" applyFont="1" applyBorder="1" applyAlignment="1">
      <alignment horizontal="center"/>
    </xf>
    <xf numFmtId="0" fontId="0" fillId="0" borderId="1" xfId="0" pivotButton="1" applyBorder="1" applyAlignment="1">
      <alignment horizontal="center"/>
    </xf>
    <xf numFmtId="1" fontId="0" fillId="0" borderId="1" xfId="0" applyNumberFormat="1" applyBorder="1" applyAlignment="1">
      <alignment horizontal="center"/>
    </xf>
    <xf numFmtId="0" fontId="0" fillId="0" borderId="1" xfId="0" applyBorder="1" applyAlignment="1">
      <alignment horizontal="center" indent="1"/>
    </xf>
    <xf numFmtId="0" fontId="0" fillId="0" borderId="1" xfId="0" applyBorder="1" applyAlignment="1">
      <alignment horizontal="center" indent="2"/>
    </xf>
    <xf numFmtId="0" fontId="0" fillId="0" borderId="5" xfId="0" pivotButton="1" applyBorder="1" applyAlignment="1">
      <alignment horizontal="center"/>
    </xf>
    <xf numFmtId="0" fontId="4" fillId="2" borderId="1" xfId="0" applyFont="1" applyFill="1" applyBorder="1" applyAlignment="1">
      <alignment horizontal="center"/>
    </xf>
    <xf numFmtId="0" fontId="0" fillId="0" borderId="1" xfId="0" applyBorder="1" applyAlignment="1">
      <alignment horizontal="left" vertical="center" wrapText="1"/>
    </xf>
    <xf numFmtId="0" fontId="3" fillId="3" borderId="1" xfId="0" applyFont="1" applyFill="1" applyBorder="1" applyAlignment="1">
      <alignment horizontal="center"/>
    </xf>
    <xf numFmtId="0" fontId="4" fillId="2" borderId="6" xfId="0" applyFont="1" applyFill="1" applyBorder="1" applyAlignment="1">
      <alignment horizontal="center"/>
    </xf>
    <xf numFmtId="0" fontId="4" fillId="2" borderId="10" xfId="0" applyFont="1" applyFill="1" applyBorder="1" applyAlignment="1">
      <alignment horizontal="center"/>
    </xf>
    <xf numFmtId="0" fontId="4" fillId="2" borderId="4" xfId="0" applyFont="1" applyFill="1" applyBorder="1" applyAlignment="1">
      <alignment horizontal="center"/>
    </xf>
    <xf numFmtId="2" fontId="4" fillId="2" borderId="3" xfId="0" applyNumberFormat="1" applyFont="1" applyFill="1" applyBorder="1" applyAlignment="1">
      <alignment horizontal="center"/>
    </xf>
    <xf numFmtId="2" fontId="4" fillId="2" borderId="11" xfId="0" applyNumberFormat="1" applyFont="1" applyFill="1" applyBorder="1" applyAlignment="1">
      <alignment horizontal="center"/>
    </xf>
    <xf numFmtId="2" fontId="4" fillId="2" borderId="2" xfId="0" applyNumberFormat="1" applyFont="1" applyFill="1" applyBorder="1" applyAlignment="1">
      <alignment horizontal="center"/>
    </xf>
    <xf numFmtId="0" fontId="4" fillId="2" borderId="3" xfId="0" applyFont="1" applyFill="1" applyBorder="1" applyAlignment="1">
      <alignment horizontal="center"/>
    </xf>
    <xf numFmtId="0" fontId="4" fillId="2" borderId="11" xfId="0" applyFont="1" applyFill="1" applyBorder="1" applyAlignment="1">
      <alignment horizontal="center"/>
    </xf>
    <xf numFmtId="0" fontId="4" fillId="2" borderId="2" xfId="0" applyFont="1" applyFill="1" applyBorder="1" applyAlignment="1">
      <alignment horizontal="center"/>
    </xf>
  </cellXfs>
  <cellStyles count="2">
    <cellStyle name="Normal" xfId="0" builtinId="0"/>
    <cellStyle name="Percent" xfId="1" builtinId="5"/>
  </cellStyles>
  <dxfs count="143">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 formatCode="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numFmt numFmtId="2" formatCode="0.00"/>
      <alignment horizontal="center" vertical="bottom" textRotation="0" wrapText="0" indent="0" justifyLastLine="0" shrinkToFit="0" readingOrder="0"/>
      <border diagonalUp="0" diagonalDown="0" outline="0">
        <left/>
        <right/>
        <top style="thin">
          <color auto="1"/>
        </top>
        <bottom style="thin">
          <color auto="1"/>
        </bottom>
      </border>
    </dxf>
    <dxf>
      <alignment horizontal="center" vertical="bottom" textRotation="0" wrapText="0" indent="0" justifyLastLine="0" shrinkToFit="0" readingOrder="0"/>
      <border diagonalUp="0" diagonalDown="0">
        <left style="thin">
          <color auto="1"/>
        </left>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2" formatCode="0.00"/>
      <alignment horizontal="center" vertical="bottom"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bottom" textRotation="0" wrapText="0"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pia Sarkar" refreshedDate="46258.633310069446" createdVersion="8" refreshedVersion="8" minRefreshableVersion="3" recordCount="1000" xr:uid="{D6B5F7E2-DC9C-4E59-B603-86B0DB057154}">
  <cacheSource type="worksheet">
    <worksheetSource name="Table1"/>
  </cacheSource>
  <cacheFields count="21">
    <cacheField name="Campaign_ID" numFmtId="0">
      <sharedItems count="60">
        <s v="CMP_059"/>
        <s v="CMP_001"/>
        <s v="CMP_027"/>
        <s v="CMP_009"/>
        <s v="CMP_047"/>
        <s v="CMP_054"/>
        <s v="CMP_040"/>
        <s v="CMP_006"/>
        <s v="CMP_003"/>
        <s v="CMP_044"/>
        <s v="CMP_041"/>
        <s v="CMP_048"/>
        <s v="CMP_013"/>
        <s v="CMP_039"/>
        <s v="CMP_058"/>
        <s v="CMP_046"/>
        <s v="CMP_042"/>
        <s v="CMP_025"/>
        <s v="CMP_057"/>
        <s v="CMP_022"/>
        <s v="CMP_030"/>
        <s v="CMP_002"/>
        <s v="CMP_034"/>
        <s v="CMP_045"/>
        <s v="CMP_056"/>
        <s v="CMP_029"/>
        <s v="CMP_007"/>
        <s v="CMP_036"/>
        <s v="CMP_032"/>
        <s v="CMP_031"/>
        <s v="CMP_021"/>
        <s v="CMP_015"/>
        <s v="CMP_033"/>
        <s v="CMP_050"/>
        <s v="CMP_011"/>
        <s v="CMP_017"/>
        <s v="CMP_010"/>
        <s v="CMP_024"/>
        <s v="CMP_023"/>
        <s v="CMP_014"/>
        <s v="CMP_005"/>
        <s v="CMP_060"/>
        <s v="CMP_020"/>
        <s v="CMP_028"/>
        <s v="CMP_008"/>
        <s v="CMP_026"/>
        <s v="CMP_016"/>
        <s v="CMP_051"/>
        <s v="CMP_038"/>
        <s v="CMP_035"/>
        <s v="CMP_053"/>
        <s v="CMP_019"/>
        <s v="CMP_012"/>
        <s v="CMP_043"/>
        <s v="CMP_004"/>
        <s v="CMP_049"/>
        <s v="CMP_018"/>
        <s v="CMP_037"/>
        <s v="CMP_052"/>
        <s v="CMP_055"/>
      </sharedItems>
    </cacheField>
    <cacheField name="Region" numFmtId="0">
      <sharedItems/>
    </cacheField>
    <cacheField name="Country" numFmtId="0">
      <sharedItems count="5">
        <s v="India"/>
        <s v="UK"/>
        <s v="Singapore"/>
        <s v="Australia"/>
        <s v="USA"/>
      </sharedItems>
    </cacheField>
    <cacheField name="Product" numFmtId="0">
      <sharedItems count="6">
        <s v="Perfume"/>
        <s v="Skincare"/>
        <s v="Watch"/>
        <s v="Foundation"/>
        <s v="Lipstick"/>
        <s v="Luxury Bag"/>
      </sharedItems>
    </cacheField>
    <cacheField name="Channel" numFmtId="0">
      <sharedItems count="3">
        <s v="Retail"/>
        <s v="Wholesale"/>
        <s v="Ecommerce"/>
      </sharedItems>
    </cacheField>
    <cacheField name="Currency" numFmtId="0">
      <sharedItems/>
    </cacheField>
    <cacheField name="Start_Date" numFmtId="164">
      <sharedItems containsSemiMixedTypes="0" containsNonDate="0" containsDate="1" containsString="0" minDate="2023-01-01T00:00:00" maxDate="2025-06-20T00:00:00"/>
    </cacheField>
    <cacheField name="End_Date" numFmtId="164">
      <sharedItems containsSemiMixedTypes="0" containsNonDate="0" containsDate="1" containsString="0" minDate="2023-01-18T00:00:00" maxDate="2025-08-13T00:00:00"/>
    </cacheField>
    <cacheField name="LC_Spend" numFmtId="0">
      <sharedItems containsSemiMixedTypes="0" containsString="0" containsNumber="1" minValue="1082.8699999999999" maxValue="49980.68"/>
    </cacheField>
    <cacheField name="FX_Rate" numFmtId="0">
      <sharedItems containsSemiMixedTypes="0" containsString="0" containsNumber="1" minValue="1.7899999999999999E-2" maxValue="1.1993"/>
    </cacheField>
    <cacheField name="USD_Spend" numFmtId="0">
      <sharedItems containsSemiMixedTypes="0" containsString="0" containsNumber="1" minValue="53.48" maxValue="58427.41"/>
    </cacheField>
    <cacheField name="Impressions" numFmtId="0">
      <sharedItems containsSemiMixedTypes="0" containsString="0" containsNumber="1" containsInteger="1" minValue="11269" maxValue="999583"/>
    </cacheField>
    <cacheField name="Clicks" numFmtId="0">
      <sharedItems containsSemiMixedTypes="0" containsString="0" containsNumber="1" containsInteger="1" minValue="116" maxValue="49939"/>
    </cacheField>
    <cacheField name="Sales" numFmtId="0">
      <sharedItems containsSemiMixedTypes="0" containsString="0" containsNumber="1" minValue="5020.96" maxValue="249994.27"/>
    </cacheField>
    <cacheField name="Year" numFmtId="0">
      <sharedItems containsSemiMixedTypes="0" containsString="0" containsNumber="1" containsInteger="1" minValue="2023" maxValue="2025"/>
    </cacheField>
    <cacheField name="Month" numFmtId="0">
      <sharedItems/>
    </cacheField>
    <cacheField name="Quarter" numFmtId="0">
      <sharedItems/>
    </cacheField>
    <cacheField name="Format" numFmtId="0">
      <sharedItems/>
    </cacheField>
    <cacheField name="CTR" numFmtId="9">
      <sharedItems containsSemiMixedTypes="0" containsString="0" containsNumber="1" minValue="2.28095013371087E-4" maxValue="3.6399354933294239"/>
    </cacheField>
    <cacheField name="ROAS" numFmtId="2">
      <sharedItems containsSemiMixedTypes="0" containsString="0" containsNumber="1" minValue="0.11245927660956305" maxValue="1603.5389357151844"/>
    </cacheField>
    <cacheField name="Spend_Outlier" numFmtId="0">
      <sharedItems count="2">
        <s v="Normal"/>
        <s v="Outli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East"/>
    <x v="0"/>
    <x v="0"/>
    <x v="0"/>
    <s v="SGD"/>
    <d v="2023-01-01T00:00:00"/>
    <d v="2023-01-27T00:00:00"/>
    <n v="45976.91"/>
    <n v="0.24970000000000001"/>
    <n v="11480.43"/>
    <n v="146828"/>
    <n v="22431"/>
    <n v="180649.72"/>
    <n v="2023"/>
    <s v="January"/>
    <s v="Q1"/>
    <s v="India | XYZ | PQR | TEST"/>
    <n v="0.15277058871604871"/>
    <n v="15.735448933532977"/>
    <x v="0"/>
  </r>
  <r>
    <x v="1"/>
    <s v="North"/>
    <x v="1"/>
    <x v="1"/>
    <x v="1"/>
    <s v="AUD"/>
    <d v="2023-01-02T00:00:00"/>
    <d v="2023-02-28T00:00:00"/>
    <n v="23767.95"/>
    <n v="0.997"/>
    <n v="23696.65"/>
    <n v="313300"/>
    <n v="42898"/>
    <n v="243160.04"/>
    <n v="2023"/>
    <s v="January"/>
    <s v="Q1"/>
    <s v="UK | JKL | MNO | PQR"/>
    <n v="0.13692307692307693"/>
    <n v="10.261367746073812"/>
    <x v="0"/>
  </r>
  <r>
    <x v="2"/>
    <s v="East"/>
    <x v="0"/>
    <x v="2"/>
    <x v="1"/>
    <s v="GBP"/>
    <d v="2023-01-03T00:00:00"/>
    <d v="2023-02-04T00:00:00"/>
    <n v="32407.35"/>
    <n v="1.1323000000000001"/>
    <n v="36694.839999999997"/>
    <n v="64382"/>
    <n v="21268"/>
    <n v="110974.3"/>
    <n v="2023"/>
    <s v="January"/>
    <s v="Q1"/>
    <s v="UK | JKL | MNO | PQR"/>
    <n v="0.33034077847845672"/>
    <n v="3.0242480959175735"/>
    <x v="0"/>
  </r>
  <r>
    <x v="2"/>
    <s v="East"/>
    <x v="2"/>
    <x v="3"/>
    <x v="1"/>
    <s v="SGD"/>
    <d v="2023-01-04T00:00:00"/>
    <d v="2023-02-05T00:00:00"/>
    <n v="4295.8"/>
    <n v="0.67369999999999997"/>
    <n v="2894.08"/>
    <n v="228677"/>
    <n v="46629"/>
    <n v="48638.18"/>
    <n v="2023"/>
    <s v="January"/>
    <s v="Q1"/>
    <s v="India | XYZ | PQR | TEST"/>
    <n v="0.20390769513331031"/>
    <n v="16.806093819106589"/>
    <x v="0"/>
  </r>
  <r>
    <x v="3"/>
    <s v="West"/>
    <x v="1"/>
    <x v="2"/>
    <x v="2"/>
    <s v="USD"/>
    <d v="2023-01-06T00:00:00"/>
    <d v="2023-02-02T00:00:00"/>
    <n v="44295.24"/>
    <n v="0.85399999999999998"/>
    <n v="37828.129999999997"/>
    <n v="126041"/>
    <n v="12523"/>
    <n v="74800.44"/>
    <n v="2023"/>
    <s v="January"/>
    <s v="Q1"/>
    <s v="India | XYZ | PQR | TEST"/>
    <n v="9.9356558580144555E-2"/>
    <n v="1.9773760955141058"/>
    <x v="0"/>
  </r>
  <r>
    <x v="4"/>
    <s v="South"/>
    <x v="1"/>
    <x v="1"/>
    <x v="0"/>
    <s v="USD"/>
    <d v="2023-01-07T00:00:00"/>
    <d v="2023-02-20T00:00:00"/>
    <n v="23557.34"/>
    <n v="0.36499999999999999"/>
    <n v="8598.43"/>
    <n v="122369"/>
    <n v="437"/>
    <n v="90681.82"/>
    <n v="2023"/>
    <s v="January"/>
    <s v="Q1"/>
    <s v="UK | JKL | MNO | PQR"/>
    <n v="3.5711658998602586E-3"/>
    <n v="10.546322991522871"/>
    <x v="0"/>
  </r>
  <r>
    <x v="5"/>
    <s v="West"/>
    <x v="3"/>
    <x v="0"/>
    <x v="2"/>
    <s v="USD"/>
    <d v="2023-01-08T00:00:00"/>
    <d v="2023-02-05T00:00:00"/>
    <n v="39327.61"/>
    <n v="0.61399999999999999"/>
    <n v="24147.15"/>
    <n v="290608"/>
    <n v="43267"/>
    <n v="69802.27"/>
    <n v="2023"/>
    <s v="January"/>
    <s v="Q1"/>
    <s v="Australia | ABC | BCD"/>
    <n v="0.1488844078621373"/>
    <n v="2.8907042860130492"/>
    <x v="0"/>
  </r>
  <r>
    <x v="6"/>
    <s v="East"/>
    <x v="0"/>
    <x v="1"/>
    <x v="2"/>
    <s v="INR"/>
    <d v="2023-01-10T00:00:00"/>
    <d v="2023-03-10T00:00:00"/>
    <n v="7781.33"/>
    <n v="0.7802"/>
    <n v="6070.99"/>
    <n v="354625"/>
    <n v="23530"/>
    <n v="224159.27"/>
    <n v="2023"/>
    <s v="January"/>
    <s v="Q1"/>
    <s v="Australia | ABC | BCD"/>
    <n v="6.63517800493479E-2"/>
    <n v="36.923017497969852"/>
    <x v="0"/>
  </r>
  <r>
    <x v="7"/>
    <s v="East"/>
    <x v="3"/>
    <x v="4"/>
    <x v="2"/>
    <s v="AUD"/>
    <d v="2023-01-10T00:00:00"/>
    <d v="2023-01-29T00:00:00"/>
    <n v="37414.080000000002"/>
    <n v="0.91249999999999998"/>
    <n v="34140.35"/>
    <n v="723612"/>
    <n v="46577"/>
    <n v="92666.15"/>
    <n v="2023"/>
    <s v="January"/>
    <s v="Q1"/>
    <s v="Australia | ABC | BCD"/>
    <n v="6.4367368147570797E-2"/>
    <n v="2.7142706504180536"/>
    <x v="0"/>
  </r>
  <r>
    <x v="8"/>
    <s v="North"/>
    <x v="3"/>
    <x v="5"/>
    <x v="0"/>
    <s v="GBP"/>
    <d v="2023-01-10T00:00:00"/>
    <d v="2023-01-18T00:00:00"/>
    <n v="14037.96"/>
    <n v="1.1467000000000001"/>
    <n v="16097.33"/>
    <n v="707640"/>
    <n v="38271"/>
    <n v="198355.76"/>
    <n v="2023"/>
    <s v="January"/>
    <s v="Q1"/>
    <s v="USA | DEF | GHI"/>
    <n v="5.4082584364931324E-2"/>
    <n v="12.322277048429772"/>
    <x v="0"/>
  </r>
  <r>
    <x v="3"/>
    <s v="East"/>
    <x v="1"/>
    <x v="3"/>
    <x v="1"/>
    <s v="AUD"/>
    <d v="2023-01-13T00:00:00"/>
    <d v="2023-02-23T00:00:00"/>
    <n v="41722.33"/>
    <n v="0.50560000000000005"/>
    <n v="21094.81"/>
    <n v="812598"/>
    <n v="12055"/>
    <n v="120092.36"/>
    <n v="2023"/>
    <s v="January"/>
    <s v="Q1"/>
    <s v="UK | JKL | MNO | PQR"/>
    <n v="1.4835133731562224E-2"/>
    <n v="5.6929813541814314"/>
    <x v="0"/>
  </r>
  <r>
    <x v="9"/>
    <s v="North"/>
    <x v="0"/>
    <x v="5"/>
    <x v="1"/>
    <s v="AUD"/>
    <d v="2023-01-13T00:00:00"/>
    <d v="2023-02-05T00:00:00"/>
    <n v="46433.9"/>
    <n v="0.54410000000000003"/>
    <n v="25264.68"/>
    <n v="721451"/>
    <n v="20788"/>
    <n v="240631.87"/>
    <n v="2023"/>
    <s v="January"/>
    <s v="Q1"/>
    <s v="UK | JKL | MNO | PQR"/>
    <n v="2.8814153698587985E-2"/>
    <n v="9.5244376734635061"/>
    <x v="0"/>
  </r>
  <r>
    <x v="10"/>
    <s v="North"/>
    <x v="4"/>
    <x v="5"/>
    <x v="1"/>
    <s v="GBP"/>
    <d v="2023-01-14T00:00:00"/>
    <d v="2023-02-01T00:00:00"/>
    <n v="33131.72"/>
    <n v="1.1148"/>
    <n v="36935.24"/>
    <n v="882496"/>
    <n v="5340"/>
    <n v="119674.49"/>
    <n v="2023"/>
    <s v="January"/>
    <s v="Q1"/>
    <s v="USA | DEF | GHI"/>
    <n v="6.0510189281311189E-3"/>
    <n v="3.2401167557053916"/>
    <x v="0"/>
  </r>
  <r>
    <x v="0"/>
    <s v="South"/>
    <x v="0"/>
    <x v="4"/>
    <x v="0"/>
    <s v="SGD"/>
    <d v="2023-01-14T00:00:00"/>
    <d v="2023-01-27T00:00:00"/>
    <n v="26390.37"/>
    <n v="0.45390000000000003"/>
    <n v="11978.59"/>
    <n v="518453"/>
    <n v="27100"/>
    <n v="88376.71"/>
    <n v="2023"/>
    <s v="January"/>
    <s v="Q1"/>
    <s v="India | XYZ | PQR | TEST"/>
    <n v="5.2270890514665748E-2"/>
    <n v="7.377889217345281"/>
    <x v="0"/>
  </r>
  <r>
    <x v="10"/>
    <s v="West"/>
    <x v="1"/>
    <x v="2"/>
    <x v="2"/>
    <s v="USD"/>
    <d v="2023-01-15T00:00:00"/>
    <d v="2023-02-05T00:00:00"/>
    <n v="11571.4"/>
    <n v="1.1079000000000001"/>
    <n v="12819.95"/>
    <n v="837630"/>
    <n v="26181"/>
    <n v="129119.6"/>
    <n v="2023"/>
    <s v="January"/>
    <s v="Q1"/>
    <s v="India | XYZ | PQR | TEST"/>
    <n v="3.1256043837971419E-2"/>
    <n v="10.071770950744737"/>
    <x v="0"/>
  </r>
  <r>
    <x v="11"/>
    <s v="West"/>
    <x v="4"/>
    <x v="2"/>
    <x v="1"/>
    <s v="SGD"/>
    <d v="2023-01-17T00:00:00"/>
    <d v="2023-02-25T00:00:00"/>
    <n v="33208.559999999998"/>
    <n v="1.0428999999999999"/>
    <n v="34633.21"/>
    <n v="994630"/>
    <n v="38324"/>
    <n v="31078.47"/>
    <n v="2023"/>
    <s v="January"/>
    <s v="Q1"/>
    <s v="India | XYZ | PQR | TEST"/>
    <n v="3.8530910992027184E-2"/>
    <n v="0.89736036596087976"/>
    <x v="0"/>
  </r>
  <r>
    <x v="12"/>
    <s v="East"/>
    <x v="3"/>
    <x v="3"/>
    <x v="1"/>
    <s v="INR"/>
    <d v="2023-01-17T00:00:00"/>
    <d v="2023-02-07T00:00:00"/>
    <n v="28112.27"/>
    <n v="0.70499999999999996"/>
    <n v="19819.150000000001"/>
    <n v="764987"/>
    <n v="27466"/>
    <n v="77322.11"/>
    <n v="2023"/>
    <s v="January"/>
    <s v="Q1"/>
    <s v="UK | JKL | MNO | PQR"/>
    <n v="3.5903878105118123E-2"/>
    <n v="3.9013837626739791"/>
    <x v="0"/>
  </r>
  <r>
    <x v="13"/>
    <s v="East"/>
    <x v="3"/>
    <x v="2"/>
    <x v="2"/>
    <s v="USD"/>
    <d v="2023-01-18T00:00:00"/>
    <d v="2023-02-22T00:00:00"/>
    <n v="18062.29"/>
    <n v="0.83240000000000003"/>
    <n v="15035.05"/>
    <n v="155766"/>
    <n v="29062"/>
    <n v="222982.96"/>
    <n v="2023"/>
    <s v="January"/>
    <s v="Q1"/>
    <s v="Australia | ABC | BCD"/>
    <n v="0.18657473389571536"/>
    <n v="14.830875853422503"/>
    <x v="0"/>
  </r>
  <r>
    <x v="14"/>
    <s v="North"/>
    <x v="0"/>
    <x v="1"/>
    <x v="2"/>
    <s v="USD"/>
    <d v="2023-01-19T00:00:00"/>
    <d v="2023-02-15T00:00:00"/>
    <n v="44164.4"/>
    <n v="0.43490000000000001"/>
    <n v="19207.099999999999"/>
    <n v="176309"/>
    <n v="11550"/>
    <n v="207847.43"/>
    <n v="2023"/>
    <s v="January"/>
    <s v="Q1"/>
    <s v="India | XYZ | PQR | TEST"/>
    <n v="6.5509985309882085E-2"/>
    <n v="10.821385321053153"/>
    <x v="0"/>
  </r>
  <r>
    <x v="15"/>
    <s v="West"/>
    <x v="4"/>
    <x v="0"/>
    <x v="2"/>
    <s v="USD"/>
    <d v="2023-01-20T00:00:00"/>
    <d v="2023-02-23T00:00:00"/>
    <n v="46136.959999999999"/>
    <n v="1.0359"/>
    <n v="47793.279999999999"/>
    <n v="613727"/>
    <n v="28233"/>
    <n v="145482.92000000001"/>
    <n v="2023"/>
    <s v="January"/>
    <s v="Q1"/>
    <s v="USA | DEF | GHI"/>
    <n v="4.6002538588004113E-2"/>
    <n v="3.0440036758305773"/>
    <x v="0"/>
  </r>
  <r>
    <x v="16"/>
    <s v="South"/>
    <x v="4"/>
    <x v="5"/>
    <x v="2"/>
    <s v="GBP"/>
    <d v="2023-01-20T00:00:00"/>
    <d v="2023-02-11T00:00:00"/>
    <n v="28149.69"/>
    <n v="0.70750000000000002"/>
    <n v="19915.91"/>
    <n v="116440"/>
    <n v="16242"/>
    <n v="191929.68"/>
    <n v="2023"/>
    <s v="January"/>
    <s v="Q1"/>
    <s v="Australia | ABC | BCD"/>
    <n v="0.13948814840261078"/>
    <n v="9.6370027781808609"/>
    <x v="0"/>
  </r>
  <r>
    <x v="17"/>
    <s v="North"/>
    <x v="2"/>
    <x v="3"/>
    <x v="0"/>
    <s v="GBP"/>
    <d v="2023-01-22T00:00:00"/>
    <d v="2023-01-30T00:00:00"/>
    <n v="2291.34"/>
    <n v="0.94040000000000001"/>
    <n v="2154.7800000000002"/>
    <n v="215703"/>
    <n v="35108"/>
    <n v="153994.03"/>
    <n v="2023"/>
    <s v="January"/>
    <s v="Q1"/>
    <s v="UK | JKL | MNO | PQR"/>
    <n v="0.16276083318266321"/>
    <n v="71.466242493433199"/>
    <x v="0"/>
  </r>
  <r>
    <x v="12"/>
    <s v="East"/>
    <x v="3"/>
    <x v="0"/>
    <x v="2"/>
    <s v="SGD"/>
    <d v="2023-01-24T00:00:00"/>
    <d v="2023-03-05T00:00:00"/>
    <n v="32708.23"/>
    <n v="0.75570000000000004"/>
    <n v="24717.61"/>
    <n v="960895"/>
    <n v="5931"/>
    <n v="243661.26"/>
    <n v="2023"/>
    <s v="January"/>
    <s v="Q1"/>
    <s v="UK | JKL | MNO | PQR"/>
    <n v="6.1723705503723093E-3"/>
    <n v="9.8578001675728366"/>
    <x v="0"/>
  </r>
  <r>
    <x v="8"/>
    <s v="East"/>
    <x v="3"/>
    <x v="1"/>
    <x v="1"/>
    <s v="USD"/>
    <d v="2023-01-26T00:00:00"/>
    <d v="2023-03-05T00:00:00"/>
    <n v="41283.339999999997"/>
    <n v="0.45619999999999999"/>
    <n v="18833.46"/>
    <n v="851814"/>
    <n v="33440"/>
    <n v="114161.44"/>
    <n v="2023"/>
    <s v="January"/>
    <s v="Q1"/>
    <s v="Australia | ABC | BCD"/>
    <n v="3.9257396567795318E-2"/>
    <n v="6.0616286120553529"/>
    <x v="0"/>
  </r>
  <r>
    <x v="2"/>
    <s v="North"/>
    <x v="4"/>
    <x v="2"/>
    <x v="0"/>
    <s v="AUD"/>
    <d v="2023-01-27T00:00:00"/>
    <d v="2023-03-11T00:00:00"/>
    <n v="13127.39"/>
    <n v="0.33139999999999997"/>
    <n v="4350.42"/>
    <n v="567286"/>
    <n v="7308"/>
    <n v="172574.92"/>
    <n v="2023"/>
    <s v="January"/>
    <s v="Q1"/>
    <s v="USA | DEF | GHI"/>
    <n v="1.2882390892777188E-2"/>
    <n v="39.668565333921784"/>
    <x v="0"/>
  </r>
  <r>
    <x v="18"/>
    <s v="North"/>
    <x v="0"/>
    <x v="1"/>
    <x v="2"/>
    <s v="GBP"/>
    <d v="2023-01-27T00:00:00"/>
    <d v="2023-02-24T00:00:00"/>
    <n v="28147.05"/>
    <n v="0.44900000000000001"/>
    <n v="12638.03"/>
    <n v="852700"/>
    <n v="36252"/>
    <n v="36793.949999999997"/>
    <n v="2023"/>
    <s v="January"/>
    <s v="Q1"/>
    <s v="UK | JKL | MNO | PQR"/>
    <n v="4.2514366131112938E-2"/>
    <n v="2.9113675153485152"/>
    <x v="0"/>
  </r>
  <r>
    <x v="19"/>
    <s v="South"/>
    <x v="2"/>
    <x v="3"/>
    <x v="0"/>
    <s v="SGD"/>
    <d v="2023-01-27T00:00:00"/>
    <d v="2023-02-10T00:00:00"/>
    <n v="39735"/>
    <n v="1.0105"/>
    <n v="40152.22"/>
    <n v="554172"/>
    <n v="48678"/>
    <n v="151986.69"/>
    <n v="2023"/>
    <s v="January"/>
    <s v="Q1"/>
    <s v="UK | JKL | MNO | PQR"/>
    <n v="8.7839154630692279E-2"/>
    <n v="3.7852624338081431"/>
    <x v="0"/>
  </r>
  <r>
    <x v="16"/>
    <s v="South"/>
    <x v="3"/>
    <x v="1"/>
    <x v="1"/>
    <s v="GBP"/>
    <d v="2023-01-29T00:00:00"/>
    <d v="2023-02-27T00:00:00"/>
    <n v="3432.9"/>
    <n v="1.026"/>
    <n v="3522.16"/>
    <n v="827711"/>
    <n v="14145"/>
    <n v="214992.24"/>
    <n v="2023"/>
    <s v="January"/>
    <s v="Q1"/>
    <s v="Australia | ABC | BCD"/>
    <n v="1.7089298076260917E-2"/>
    <n v="61.039884616258206"/>
    <x v="0"/>
  </r>
  <r>
    <x v="7"/>
    <s v="East"/>
    <x v="1"/>
    <x v="4"/>
    <x v="0"/>
    <s v="GBP"/>
    <d v="2023-01-30T00:00:00"/>
    <d v="2023-03-06T00:00:00"/>
    <n v="33432.39"/>
    <n v="0.54859999999999998"/>
    <n v="18341.009999999998"/>
    <n v="288479"/>
    <n v="7854"/>
    <n v="232097.29"/>
    <n v="2023"/>
    <s v="January"/>
    <s v="Q1"/>
    <s v="UK | JKL | MNO | PQR"/>
    <n v="2.7225551946588832E-2"/>
    <n v="12.654553375195807"/>
    <x v="0"/>
  </r>
  <r>
    <x v="20"/>
    <s v="South"/>
    <x v="2"/>
    <x v="5"/>
    <x v="0"/>
    <s v="GBP"/>
    <d v="2023-01-30T00:00:00"/>
    <d v="2023-02-28T00:00:00"/>
    <n v="17470.349999999999"/>
    <n v="0.81820000000000004"/>
    <n v="14294.24"/>
    <n v="433956"/>
    <n v="47559"/>
    <n v="45435.96"/>
    <n v="2023"/>
    <s v="January"/>
    <s v="Q1"/>
    <s v="Australia | ABC | BCD"/>
    <n v="0.10959406022730415"/>
    <n v="3.1786201994649592"/>
    <x v="0"/>
  </r>
  <r>
    <x v="16"/>
    <s v="West"/>
    <x v="0"/>
    <x v="3"/>
    <x v="1"/>
    <s v="GBP"/>
    <d v="2023-02-04T00:00:00"/>
    <d v="2023-02-16T00:00:00"/>
    <n v="12801.92"/>
    <n v="0.59150000000000003"/>
    <n v="7572.34"/>
    <n v="731403"/>
    <n v="39169"/>
    <n v="238866.06"/>
    <n v="2023"/>
    <s v="February"/>
    <s v="Q1"/>
    <s v="USA | DEF | GHI"/>
    <n v="5.3553239458957645E-2"/>
    <n v="31.544550297530222"/>
    <x v="0"/>
  </r>
  <r>
    <x v="0"/>
    <s v="North"/>
    <x v="0"/>
    <x v="0"/>
    <x v="2"/>
    <s v="INR"/>
    <d v="2023-02-07T00:00:00"/>
    <d v="2023-02-21T00:00:00"/>
    <n v="42837.64"/>
    <n v="0.80369999999999997"/>
    <n v="34428.61"/>
    <n v="888721"/>
    <n v="39636"/>
    <n v="78118.179999999993"/>
    <n v="2023"/>
    <s v="February"/>
    <s v="Q1"/>
    <s v="India | XYZ | PQR | TEST"/>
    <n v="4.4598923621699045E-2"/>
    <n v="2.268990238060729"/>
    <x v="0"/>
  </r>
  <r>
    <x v="21"/>
    <s v="South"/>
    <x v="4"/>
    <x v="0"/>
    <x v="1"/>
    <s v="GBP"/>
    <d v="2023-02-08T00:00:00"/>
    <d v="2023-04-08T00:00:00"/>
    <n v="37746.81"/>
    <n v="0.53539999999999999"/>
    <n v="20209.64"/>
    <n v="402505"/>
    <n v="39849"/>
    <n v="159667.04"/>
    <n v="2023"/>
    <s v="February"/>
    <s v="Q1"/>
    <s v="UK | JKL | MNO | PQR"/>
    <n v="9.9002496863393005E-2"/>
    <n v="7.9005385548678753"/>
    <x v="0"/>
  </r>
  <r>
    <x v="22"/>
    <s v="South"/>
    <x v="0"/>
    <x v="2"/>
    <x v="0"/>
    <s v="INR"/>
    <d v="2023-02-08T00:00:00"/>
    <d v="2023-03-19T00:00:00"/>
    <n v="10771.3"/>
    <n v="0.45400000000000001"/>
    <n v="4890.17"/>
    <n v="24760"/>
    <n v="21216"/>
    <n v="190427.7"/>
    <n v="2023"/>
    <s v="February"/>
    <s v="Q1"/>
    <s v="India | XYZ | PQR | TEST"/>
    <n v="0.85686591276252022"/>
    <n v="38.940916164468725"/>
    <x v="0"/>
  </r>
  <r>
    <x v="23"/>
    <s v="West"/>
    <x v="2"/>
    <x v="0"/>
    <x v="2"/>
    <s v="GBP"/>
    <d v="2023-02-08T00:00:00"/>
    <d v="2023-03-14T00:00:00"/>
    <n v="33230.620000000003"/>
    <n v="0.51270000000000004"/>
    <n v="17037.34"/>
    <n v="549764"/>
    <n v="27701"/>
    <n v="70321.63"/>
    <n v="2023"/>
    <s v="February"/>
    <s v="Q1"/>
    <s v="UK | JKL | MNO | PQR"/>
    <n v="5.0387075181350542E-2"/>
    <n v="4.127500537055667"/>
    <x v="0"/>
  </r>
  <r>
    <x v="8"/>
    <s v="West"/>
    <x v="4"/>
    <x v="2"/>
    <x v="0"/>
    <s v="USD"/>
    <d v="2023-02-08T00:00:00"/>
    <d v="2023-02-24T00:00:00"/>
    <n v="14495.29"/>
    <n v="0.1812"/>
    <n v="2626.55"/>
    <n v="648221"/>
    <n v="44717"/>
    <n v="174947.01"/>
    <n v="2023"/>
    <s v="February"/>
    <s v="Q1"/>
    <s v="UK | JKL | MNO | PQR"/>
    <n v="6.8984189034295401E-2"/>
    <n v="66.607150063771869"/>
    <x v="0"/>
  </r>
  <r>
    <x v="24"/>
    <s v="South"/>
    <x v="0"/>
    <x v="3"/>
    <x v="0"/>
    <s v="USD"/>
    <d v="2023-02-09T00:00:00"/>
    <d v="2023-03-09T00:00:00"/>
    <n v="2413.0100000000002"/>
    <n v="1.0742"/>
    <n v="2592.06"/>
    <n v="170633"/>
    <n v="46344"/>
    <n v="185368.06"/>
    <n v="2023"/>
    <s v="February"/>
    <s v="Q1"/>
    <s v="UK | JKL | MNO | PQR"/>
    <n v="0.27160045243299946"/>
    <n v="71.513799834880359"/>
    <x v="0"/>
  </r>
  <r>
    <x v="25"/>
    <s v="North"/>
    <x v="0"/>
    <x v="5"/>
    <x v="1"/>
    <s v="AUD"/>
    <d v="2023-02-12T00:00:00"/>
    <d v="2023-03-26T00:00:00"/>
    <n v="48448.18"/>
    <n v="1.0620000000000001"/>
    <n v="51451.97"/>
    <n v="867115"/>
    <n v="12580"/>
    <n v="52267.24"/>
    <n v="2023"/>
    <s v="February"/>
    <s v="Q1"/>
    <s v="USA | DEF | GHI"/>
    <n v="1.4507879577680008E-2"/>
    <n v="1.0158452630676726"/>
    <x v="0"/>
  </r>
  <r>
    <x v="11"/>
    <s v="East"/>
    <x v="3"/>
    <x v="3"/>
    <x v="1"/>
    <s v="SGD"/>
    <d v="2023-02-12T00:00:00"/>
    <d v="2023-02-17T00:00:00"/>
    <n v="29063.21"/>
    <n v="0.47899999999999998"/>
    <n v="13921.28"/>
    <n v="584122"/>
    <n v="5678"/>
    <n v="79649.33"/>
    <n v="2023"/>
    <s v="February"/>
    <s v="Q1"/>
    <s v="India | XYZ | PQR | TEST"/>
    <n v="9.7205720722725736E-3"/>
    <n v="5.7214085199062152"/>
    <x v="0"/>
  </r>
  <r>
    <x v="20"/>
    <s v="South"/>
    <x v="0"/>
    <x v="0"/>
    <x v="0"/>
    <s v="AUD"/>
    <d v="2023-02-13T00:00:00"/>
    <d v="2023-04-11T00:00:00"/>
    <n v="41486.17"/>
    <n v="1.0032000000000001"/>
    <n v="41618.93"/>
    <n v="328677"/>
    <n v="32481"/>
    <n v="142023.85999999999"/>
    <n v="2023"/>
    <s v="February"/>
    <s v="Q1"/>
    <s v="USA | DEF | GHI"/>
    <n v="9.882346498233828E-2"/>
    <n v="3.4124822526672354"/>
    <x v="0"/>
  </r>
  <r>
    <x v="26"/>
    <s v="South"/>
    <x v="4"/>
    <x v="0"/>
    <x v="1"/>
    <s v="AUD"/>
    <d v="2023-02-14T00:00:00"/>
    <d v="2023-02-23T00:00:00"/>
    <n v="44387.54"/>
    <n v="0.49919999999999998"/>
    <n v="22158.26"/>
    <n v="814829"/>
    <n v="39347"/>
    <n v="127396.13"/>
    <n v="2023"/>
    <s v="February"/>
    <s v="Q1"/>
    <s v="UK | JKL | MNO | PQR"/>
    <n v="4.8288659338339701E-2"/>
    <n v="5.7493742739727765"/>
    <x v="0"/>
  </r>
  <r>
    <x v="27"/>
    <s v="West"/>
    <x v="2"/>
    <x v="0"/>
    <x v="0"/>
    <s v="USD"/>
    <d v="2023-02-15T00:00:00"/>
    <d v="2023-02-20T00:00:00"/>
    <n v="17344.27"/>
    <n v="0.16569999999999999"/>
    <n v="2873.95"/>
    <n v="284680"/>
    <n v="10689"/>
    <n v="186601.57"/>
    <n v="2023"/>
    <s v="February"/>
    <s v="Q1"/>
    <s v="India | XYZ | PQR | TEST"/>
    <n v="3.7547421666432483E-2"/>
    <n v="64.928606969501914"/>
    <x v="0"/>
  </r>
  <r>
    <x v="28"/>
    <s v="North"/>
    <x v="3"/>
    <x v="3"/>
    <x v="1"/>
    <s v="GBP"/>
    <d v="2023-02-16T00:00:00"/>
    <d v="2023-03-29T00:00:00"/>
    <n v="3978.88"/>
    <n v="1.1672"/>
    <n v="4644.1499999999996"/>
    <n v="209429"/>
    <n v="48643"/>
    <n v="204560.71"/>
    <n v="2023"/>
    <s v="February"/>
    <s v="Q1"/>
    <s v="UK | JKL | MNO | PQR"/>
    <n v="0.23226487258211614"/>
    <n v="44.046964460665571"/>
    <x v="0"/>
  </r>
  <r>
    <x v="29"/>
    <s v="North"/>
    <x v="4"/>
    <x v="3"/>
    <x v="0"/>
    <s v="INR"/>
    <d v="2023-02-16T00:00:00"/>
    <d v="2023-03-20T00:00:00"/>
    <n v="17881.91"/>
    <n v="8.5900000000000004E-2"/>
    <n v="1536.06"/>
    <n v="73182"/>
    <n v="4623"/>
    <n v="246603.63"/>
    <n v="2023"/>
    <s v="February"/>
    <s v="Q1"/>
    <s v="UK | JKL | MNO | PQR"/>
    <n v="6.3171271624169884E-2"/>
    <n v="160.54296707159878"/>
    <x v="0"/>
  </r>
  <r>
    <x v="13"/>
    <s v="South"/>
    <x v="4"/>
    <x v="5"/>
    <x v="2"/>
    <s v="INR"/>
    <d v="2023-02-16T00:00:00"/>
    <d v="2023-02-23T00:00:00"/>
    <n v="7714.78"/>
    <n v="0.40629999999999999"/>
    <n v="3134.52"/>
    <n v="506756"/>
    <n v="34134"/>
    <n v="116962.2"/>
    <n v="2023"/>
    <s v="February"/>
    <s v="Q1"/>
    <s v="UK | JKL | MNO | PQR"/>
    <n v="6.7357860587738475E-2"/>
    <n v="37.314229929941426"/>
    <x v="0"/>
  </r>
  <r>
    <x v="30"/>
    <s v="South"/>
    <x v="0"/>
    <x v="2"/>
    <x v="2"/>
    <s v="INR"/>
    <d v="2023-02-17T00:00:00"/>
    <d v="2023-04-11T00:00:00"/>
    <n v="31185.37"/>
    <n v="0.23499999999999999"/>
    <n v="7328.56"/>
    <n v="571479"/>
    <n v="19379"/>
    <n v="198449.01"/>
    <n v="2023"/>
    <s v="February"/>
    <s v="Q1"/>
    <s v="UK | JKL | MNO | PQR"/>
    <n v="3.3910257419782701E-2"/>
    <n v="27.078854508934906"/>
    <x v="0"/>
  </r>
  <r>
    <x v="22"/>
    <s v="West"/>
    <x v="2"/>
    <x v="2"/>
    <x v="0"/>
    <s v="INR"/>
    <d v="2023-02-17T00:00:00"/>
    <d v="2023-03-14T00:00:00"/>
    <n v="40011.03"/>
    <n v="0.35909999999999997"/>
    <n v="14367.96"/>
    <n v="403049"/>
    <n v="28325"/>
    <n v="40664.6"/>
    <n v="2023"/>
    <s v="February"/>
    <s v="Q1"/>
    <s v="India | XYZ | PQR | TEST"/>
    <n v="7.0276814977831475E-2"/>
    <n v="2.8302278124382307"/>
    <x v="0"/>
  </r>
  <r>
    <x v="31"/>
    <s v="South"/>
    <x v="0"/>
    <x v="4"/>
    <x v="1"/>
    <s v="AUD"/>
    <d v="2023-02-18T00:00:00"/>
    <d v="2023-04-16T00:00:00"/>
    <n v="1509.41"/>
    <n v="0.1351"/>
    <n v="203.92"/>
    <n v="348542"/>
    <n v="45162"/>
    <n v="182442.07"/>
    <n v="2023"/>
    <s v="February"/>
    <s v="Q1"/>
    <s v="Australia | ABC | BCD"/>
    <n v="0.1295740542029368"/>
    <n v="894.67472538250308"/>
    <x v="0"/>
  </r>
  <r>
    <x v="17"/>
    <s v="East"/>
    <x v="2"/>
    <x v="3"/>
    <x v="0"/>
    <s v="GBP"/>
    <d v="2023-02-19T00:00:00"/>
    <d v="2023-03-20T00:00:00"/>
    <n v="22472.79"/>
    <n v="0.50939999999999996"/>
    <n v="11447.64"/>
    <n v="184418"/>
    <n v="27233"/>
    <n v="125805.09"/>
    <n v="2023"/>
    <s v="February"/>
    <s v="Q1"/>
    <s v="India | XYZ | PQR | TEST"/>
    <n v="0.14766996713986705"/>
    <n v="10.989609212029729"/>
    <x v="0"/>
  </r>
  <r>
    <x v="25"/>
    <s v="South"/>
    <x v="2"/>
    <x v="1"/>
    <x v="1"/>
    <s v="GBP"/>
    <d v="2023-02-20T00:00:00"/>
    <d v="2023-04-17T00:00:00"/>
    <n v="25202.78"/>
    <n v="6.5699999999999995E-2"/>
    <n v="1655.82"/>
    <n v="297745"/>
    <n v="27706"/>
    <n v="34218.46"/>
    <n v="2023"/>
    <s v="February"/>
    <s v="Q1"/>
    <s v="India | XYZ | PQR | TEST"/>
    <n v="9.3052780063477142E-2"/>
    <n v="20.665567513377059"/>
    <x v="0"/>
  </r>
  <r>
    <x v="32"/>
    <s v="North"/>
    <x v="3"/>
    <x v="3"/>
    <x v="2"/>
    <s v="GBP"/>
    <d v="2023-02-21T00:00:00"/>
    <d v="2023-04-10T00:00:00"/>
    <n v="36847.35"/>
    <n v="0.47749999999999998"/>
    <n v="17594.61"/>
    <n v="477262"/>
    <n v="49438"/>
    <n v="150807.39000000001"/>
    <n v="2023"/>
    <s v="February"/>
    <s v="Q1"/>
    <s v="India | XYZ | PQR | TEST"/>
    <n v="0.10358670918698744"/>
    <n v="8.571226642704783"/>
    <x v="0"/>
  </r>
  <r>
    <x v="16"/>
    <s v="North"/>
    <x v="2"/>
    <x v="2"/>
    <x v="0"/>
    <s v="INR"/>
    <d v="2023-02-22T00:00:00"/>
    <d v="2023-03-06T00:00:00"/>
    <n v="19764.79"/>
    <n v="0.56379999999999997"/>
    <n v="11143.39"/>
    <n v="52859"/>
    <n v="24058"/>
    <n v="94776.08"/>
    <n v="2023"/>
    <s v="February"/>
    <s v="Q1"/>
    <s v="USA | DEF | GHI"/>
    <n v="0.45513536010896916"/>
    <n v="8.5051389209208335"/>
    <x v="0"/>
  </r>
  <r>
    <x v="33"/>
    <s v="East"/>
    <x v="2"/>
    <x v="5"/>
    <x v="0"/>
    <s v="GBP"/>
    <d v="2023-02-23T00:00:00"/>
    <d v="2023-03-08T00:00:00"/>
    <n v="37344.18"/>
    <n v="0.63600000000000001"/>
    <n v="23750.9"/>
    <n v="791886"/>
    <n v="4265"/>
    <n v="121680.26"/>
    <n v="2023"/>
    <s v="February"/>
    <s v="Q1"/>
    <s v="India | XYZ | PQR | TEST"/>
    <n v="5.3858762498642477E-3"/>
    <n v="5.1231852266650941"/>
    <x v="0"/>
  </r>
  <r>
    <x v="34"/>
    <s v="North"/>
    <x v="0"/>
    <x v="2"/>
    <x v="2"/>
    <s v="AUD"/>
    <d v="2023-02-24T00:00:00"/>
    <d v="2023-03-13T00:00:00"/>
    <n v="6521.28"/>
    <n v="0.18759999999999999"/>
    <n v="1223.3900000000001"/>
    <n v="894769"/>
    <n v="31191"/>
    <n v="126891.14"/>
    <n v="2023"/>
    <s v="February"/>
    <s v="Q1"/>
    <s v="India | XYZ | PQR | TEST"/>
    <n v="3.4859276528355361E-2"/>
    <n v="103.72092300901592"/>
    <x v="0"/>
  </r>
  <r>
    <x v="15"/>
    <s v="West"/>
    <x v="1"/>
    <x v="0"/>
    <x v="2"/>
    <s v="USD"/>
    <d v="2023-02-24T00:00:00"/>
    <d v="2023-03-13T00:00:00"/>
    <n v="8282.42"/>
    <n v="0.28349999999999997"/>
    <n v="2348.0700000000002"/>
    <n v="47604"/>
    <n v="30918"/>
    <n v="68754.87"/>
    <n v="2023"/>
    <s v="February"/>
    <s v="Q1"/>
    <s v="UK | JKL | MNO | PQR"/>
    <n v="0.64948323670279806"/>
    <n v="29.281439650436312"/>
    <x v="0"/>
  </r>
  <r>
    <x v="21"/>
    <s v="South"/>
    <x v="4"/>
    <x v="4"/>
    <x v="0"/>
    <s v="INR"/>
    <d v="2023-02-25T00:00:00"/>
    <d v="2023-04-15T00:00:00"/>
    <n v="6194.48"/>
    <n v="0.70209999999999995"/>
    <n v="4349.1400000000003"/>
    <n v="509988"/>
    <n v="39023"/>
    <n v="218266.86"/>
    <n v="2023"/>
    <s v="February"/>
    <s v="Q1"/>
    <s v="Australia | ABC | BCD"/>
    <n v="7.6517486685961242E-2"/>
    <n v="50.186211526876569"/>
    <x v="0"/>
  </r>
  <r>
    <x v="10"/>
    <s v="North"/>
    <x v="4"/>
    <x v="0"/>
    <x v="0"/>
    <s v="GBP"/>
    <d v="2023-02-27T00:00:00"/>
    <d v="2023-03-14T00:00:00"/>
    <n v="13654.72"/>
    <n v="0.22420000000000001"/>
    <n v="3061.39"/>
    <n v="435151"/>
    <n v="39379"/>
    <n v="242464.7"/>
    <n v="2023"/>
    <s v="February"/>
    <s v="Q1"/>
    <s v="UK | JKL | MNO | PQR"/>
    <n v="9.0495023566532079E-2"/>
    <n v="79.200853207203266"/>
    <x v="0"/>
  </r>
  <r>
    <x v="18"/>
    <s v="South"/>
    <x v="4"/>
    <x v="4"/>
    <x v="1"/>
    <s v="GBP"/>
    <d v="2023-02-28T00:00:00"/>
    <d v="2023-03-13T00:00:00"/>
    <n v="22489.24"/>
    <n v="0.3463"/>
    <n v="7788.02"/>
    <n v="339384"/>
    <n v="23015"/>
    <n v="152591.92000000001"/>
    <n v="2023"/>
    <s v="February"/>
    <s v="Q1"/>
    <s v="UK | JKL | MNO | PQR"/>
    <n v="6.7814039554015507E-2"/>
    <n v="19.593159750488571"/>
    <x v="0"/>
  </r>
  <r>
    <x v="35"/>
    <s v="South"/>
    <x v="4"/>
    <x v="2"/>
    <x v="0"/>
    <s v="GBP"/>
    <d v="2023-03-01T00:00:00"/>
    <d v="2023-04-10T00:00:00"/>
    <n v="21221.200000000001"/>
    <n v="0.50560000000000005"/>
    <n v="10729.44"/>
    <n v="565736"/>
    <n v="8887"/>
    <n v="100162.67"/>
    <n v="2023"/>
    <s v="March"/>
    <s v="Q1"/>
    <s v="USA | DEF | GHI"/>
    <n v="1.5708740472587922E-2"/>
    <n v="9.3353120013719249"/>
    <x v="0"/>
  </r>
  <r>
    <x v="8"/>
    <s v="South"/>
    <x v="3"/>
    <x v="3"/>
    <x v="0"/>
    <s v="GBP"/>
    <d v="2023-03-03T00:00:00"/>
    <d v="2023-03-25T00:00:00"/>
    <n v="42874.14"/>
    <n v="0.46689999999999998"/>
    <n v="20017.939999999999"/>
    <n v="29764"/>
    <n v="25173"/>
    <n v="99242.5"/>
    <n v="2023"/>
    <s v="March"/>
    <s v="Q1"/>
    <s v="Australia | ABC | BCD"/>
    <n v="0.84575325897056852"/>
    <n v="4.957677962867308"/>
    <x v="0"/>
  </r>
  <r>
    <x v="24"/>
    <s v="North"/>
    <x v="1"/>
    <x v="1"/>
    <x v="2"/>
    <s v="INR"/>
    <d v="2023-03-05T00:00:00"/>
    <d v="2023-04-30T00:00:00"/>
    <n v="18713.150000000001"/>
    <n v="0.52180000000000004"/>
    <n v="9764.52"/>
    <n v="506405"/>
    <n v="14086"/>
    <n v="18248.990000000002"/>
    <n v="2023"/>
    <s v="March"/>
    <s v="Q1"/>
    <s v="Australia | ABC | BCD"/>
    <n v="2.7815681124791422E-2"/>
    <n v="1.8689080466832984"/>
    <x v="0"/>
  </r>
  <r>
    <x v="21"/>
    <s v="West"/>
    <x v="2"/>
    <x v="5"/>
    <x v="1"/>
    <s v="GBP"/>
    <d v="2023-03-07T00:00:00"/>
    <d v="2023-04-26T00:00:00"/>
    <n v="45535.15"/>
    <n v="0.95630000000000004"/>
    <n v="43545.26"/>
    <n v="203871"/>
    <n v="26663"/>
    <n v="204152.64"/>
    <n v="2023"/>
    <s v="March"/>
    <s v="Q1"/>
    <s v="Australia | ABC | BCD"/>
    <n v="0.13078368183802502"/>
    <n v="4.6882861647857883"/>
    <x v="0"/>
  </r>
  <r>
    <x v="7"/>
    <s v="North"/>
    <x v="4"/>
    <x v="5"/>
    <x v="0"/>
    <s v="USD"/>
    <d v="2023-03-07T00:00:00"/>
    <d v="2023-04-11T00:00:00"/>
    <n v="27873.25"/>
    <n v="4.1399999999999999E-2"/>
    <n v="1153.95"/>
    <n v="426297"/>
    <n v="34439"/>
    <n v="192424.11"/>
    <n v="2023"/>
    <s v="March"/>
    <s v="Q1"/>
    <s v="UK | JKL | MNO | PQR"/>
    <n v="8.0786400091954674E-2"/>
    <n v="166.75255427011567"/>
    <x v="0"/>
  </r>
  <r>
    <x v="21"/>
    <s v="South"/>
    <x v="3"/>
    <x v="4"/>
    <x v="0"/>
    <s v="INR"/>
    <d v="2023-03-09T00:00:00"/>
    <d v="2023-04-02T00:00:00"/>
    <n v="35768.9"/>
    <n v="0.49"/>
    <n v="17526.759999999998"/>
    <n v="828430"/>
    <n v="34459"/>
    <n v="220436.48000000001"/>
    <n v="2023"/>
    <s v="March"/>
    <s v="Q1"/>
    <s v="Australia | ABC | BCD"/>
    <n v="4.1595548205642E-2"/>
    <n v="12.577138044909614"/>
    <x v="0"/>
  </r>
  <r>
    <x v="28"/>
    <s v="West"/>
    <x v="1"/>
    <x v="4"/>
    <x v="2"/>
    <s v="INR"/>
    <d v="2023-03-09T00:00:00"/>
    <d v="2023-03-27T00:00:00"/>
    <n v="45743.67"/>
    <n v="0.68489999999999995"/>
    <n v="31329.84"/>
    <n v="762787"/>
    <n v="20722"/>
    <n v="57093.5"/>
    <n v="2023"/>
    <s v="March"/>
    <s v="Q1"/>
    <s v="India | XYZ | PQR | TEST"/>
    <n v="2.716616827502304E-2"/>
    <n v="1.8223361498175541"/>
    <x v="0"/>
  </r>
  <r>
    <x v="6"/>
    <s v="West"/>
    <x v="3"/>
    <x v="5"/>
    <x v="1"/>
    <s v="SGD"/>
    <d v="2023-03-09T00:00:00"/>
    <d v="2023-03-20T00:00:00"/>
    <n v="34200.660000000003"/>
    <n v="0.67549999999999999"/>
    <n v="23102.55"/>
    <n v="319242"/>
    <n v="25099"/>
    <n v="103412.35"/>
    <n v="2023"/>
    <s v="March"/>
    <s v="Q1"/>
    <s v="Australia | ABC | BCD"/>
    <n v="7.8620607564167624E-2"/>
    <n v="4.4762309788313415"/>
    <x v="0"/>
  </r>
  <r>
    <x v="26"/>
    <s v="West"/>
    <x v="0"/>
    <x v="5"/>
    <x v="2"/>
    <s v="GBP"/>
    <d v="2023-03-10T00:00:00"/>
    <d v="2023-03-15T00:00:00"/>
    <n v="8498.08"/>
    <n v="1.0570999999999999"/>
    <n v="8983.32"/>
    <n v="555073"/>
    <n v="6448"/>
    <n v="65565.490000000005"/>
    <n v="2023"/>
    <s v="March"/>
    <s v="Q1"/>
    <s v="Australia | ABC | BCD"/>
    <n v="1.1616490083286343E-2"/>
    <n v="7.2985811481723912"/>
    <x v="0"/>
  </r>
  <r>
    <x v="19"/>
    <s v="West"/>
    <x v="1"/>
    <x v="2"/>
    <x v="1"/>
    <s v="INR"/>
    <d v="2023-03-11T00:00:00"/>
    <d v="2023-05-10T00:00:00"/>
    <n v="3189.44"/>
    <n v="0.58260000000000001"/>
    <n v="1858.17"/>
    <n v="334745"/>
    <n v="37177"/>
    <n v="115831.73"/>
    <n v="2023"/>
    <s v="March"/>
    <s v="Q1"/>
    <s v="India | XYZ | PQR | TEST"/>
    <n v="0.1110606581128919"/>
    <n v="62.33645468390943"/>
    <x v="0"/>
  </r>
  <r>
    <x v="24"/>
    <s v="West"/>
    <x v="0"/>
    <x v="2"/>
    <x v="2"/>
    <s v="AUD"/>
    <d v="2023-03-11T00:00:00"/>
    <d v="2023-04-18T00:00:00"/>
    <n v="27660.02"/>
    <n v="0.94579999999999997"/>
    <n v="26160.85"/>
    <n v="542280"/>
    <n v="36416"/>
    <n v="9981.91"/>
    <n v="2023"/>
    <s v="March"/>
    <s v="Q1"/>
    <s v="USA | DEF | GHI"/>
    <n v="6.7153500036881322E-2"/>
    <n v="0.38155908542727013"/>
    <x v="0"/>
  </r>
  <r>
    <x v="36"/>
    <s v="North"/>
    <x v="4"/>
    <x v="4"/>
    <x v="0"/>
    <s v="SGD"/>
    <d v="2023-03-12T00:00:00"/>
    <d v="2023-05-09T00:00:00"/>
    <n v="38492.71"/>
    <n v="0.25650000000000001"/>
    <n v="9873.3799999999992"/>
    <n v="236441"/>
    <n v="15369"/>
    <n v="85497.09"/>
    <n v="2023"/>
    <s v="March"/>
    <s v="Q1"/>
    <s v="USA | DEF | GHI"/>
    <n v="6.500141684394839E-2"/>
    <n v="8.6593537370181242"/>
    <x v="0"/>
  </r>
  <r>
    <x v="1"/>
    <s v="West"/>
    <x v="3"/>
    <x v="0"/>
    <x v="1"/>
    <s v="AUD"/>
    <d v="2023-03-12T00:00:00"/>
    <d v="2023-04-19T00:00:00"/>
    <n v="8596.25"/>
    <n v="0.3619"/>
    <n v="3110.98"/>
    <n v="286141"/>
    <n v="35594"/>
    <n v="94942.61"/>
    <n v="2023"/>
    <s v="March"/>
    <s v="Q1"/>
    <s v="India | XYZ | PQR | TEST"/>
    <n v="0.12439321872782999"/>
    <n v="30.518553639046218"/>
    <x v="0"/>
  </r>
  <r>
    <x v="17"/>
    <s v="West"/>
    <x v="1"/>
    <x v="1"/>
    <x v="0"/>
    <s v="AUD"/>
    <d v="2023-03-13T00:00:00"/>
    <d v="2023-03-27T00:00:00"/>
    <n v="37307.480000000003"/>
    <n v="1.1665000000000001"/>
    <n v="43519.18"/>
    <n v="106214"/>
    <n v="48997"/>
    <n v="134968.26"/>
    <n v="2023"/>
    <s v="March"/>
    <s v="Q1"/>
    <s v="USA | DEF | GHI"/>
    <n v="0.46130453612518124"/>
    <n v="3.1013511743557669"/>
    <x v="0"/>
  </r>
  <r>
    <x v="37"/>
    <s v="South"/>
    <x v="1"/>
    <x v="4"/>
    <x v="2"/>
    <s v="GBP"/>
    <d v="2023-03-14T00:00:00"/>
    <d v="2023-04-28T00:00:00"/>
    <n v="36901.07"/>
    <n v="1.1944999999999999"/>
    <n v="44078.33"/>
    <n v="740650"/>
    <n v="42408"/>
    <n v="52193.72"/>
    <n v="2023"/>
    <s v="March"/>
    <s v="Q1"/>
    <s v="UK | JKL | MNO | PQR"/>
    <n v="5.7257814082225071E-2"/>
    <n v="1.1841129189785546"/>
    <x v="0"/>
  </r>
  <r>
    <x v="18"/>
    <s v="East"/>
    <x v="3"/>
    <x v="3"/>
    <x v="0"/>
    <s v="INR"/>
    <d v="2023-03-14T00:00:00"/>
    <d v="2023-04-02T00:00:00"/>
    <n v="19770.43"/>
    <n v="0.87960000000000005"/>
    <n v="17390.07"/>
    <n v="117402"/>
    <n v="6863"/>
    <n v="81771.11"/>
    <n v="2023"/>
    <s v="March"/>
    <s v="Q1"/>
    <s v="Australia | ABC | BCD"/>
    <n v="5.845726648609053E-2"/>
    <n v="4.7021725616975667"/>
    <x v="0"/>
  </r>
  <r>
    <x v="38"/>
    <s v="North"/>
    <x v="0"/>
    <x v="1"/>
    <x v="1"/>
    <s v="SGD"/>
    <d v="2023-03-16T00:00:00"/>
    <d v="2023-03-27T00:00:00"/>
    <n v="28293"/>
    <n v="7.1999999999999995E-2"/>
    <n v="2037.1"/>
    <n v="986292"/>
    <n v="15490"/>
    <n v="120378.44"/>
    <n v="2023"/>
    <s v="March"/>
    <s v="Q1"/>
    <s v="UK | JKL | MNO | PQR"/>
    <n v="1.5705288089125736E-2"/>
    <n v="59.093044033184434"/>
    <x v="0"/>
  </r>
  <r>
    <x v="11"/>
    <s v="West"/>
    <x v="4"/>
    <x v="3"/>
    <x v="1"/>
    <s v="INR"/>
    <d v="2023-03-17T00:00:00"/>
    <d v="2023-05-08T00:00:00"/>
    <n v="46115.46"/>
    <n v="1.1404000000000001"/>
    <n v="52590.07"/>
    <n v="964911"/>
    <n v="26896"/>
    <n v="159553.84"/>
    <n v="2023"/>
    <s v="March"/>
    <s v="Q1"/>
    <s v="India | XYZ | PQR | TEST"/>
    <n v="2.7874073360133731E-2"/>
    <n v="3.0339157183095593"/>
    <x v="0"/>
  </r>
  <r>
    <x v="18"/>
    <s v="South"/>
    <x v="4"/>
    <x v="1"/>
    <x v="0"/>
    <s v="GBP"/>
    <d v="2023-03-17T00:00:00"/>
    <d v="2023-04-25T00:00:00"/>
    <n v="11444.56"/>
    <n v="0.3256"/>
    <n v="3726.35"/>
    <n v="988593"/>
    <n v="22972"/>
    <n v="220811.72"/>
    <n v="2023"/>
    <s v="March"/>
    <s v="Q1"/>
    <s v="USA | DEF | GHI"/>
    <n v="2.3237065202767974E-2"/>
    <n v="59.256838461228817"/>
    <x v="0"/>
  </r>
  <r>
    <x v="7"/>
    <s v="East"/>
    <x v="1"/>
    <x v="2"/>
    <x v="0"/>
    <s v="SGD"/>
    <d v="2023-03-18T00:00:00"/>
    <d v="2023-04-27T00:00:00"/>
    <n v="13493.4"/>
    <n v="0.46429999999999999"/>
    <n v="6264.99"/>
    <n v="957556"/>
    <n v="10803"/>
    <n v="103014.55"/>
    <n v="2023"/>
    <s v="March"/>
    <s v="Q1"/>
    <s v="India | XYZ | PQR | TEST"/>
    <n v="1.1281846701393965E-2"/>
    <n v="16.442891369339776"/>
    <x v="0"/>
  </r>
  <r>
    <x v="35"/>
    <s v="South"/>
    <x v="2"/>
    <x v="0"/>
    <x v="2"/>
    <s v="USD"/>
    <d v="2023-03-20T00:00:00"/>
    <d v="2023-05-12T00:00:00"/>
    <n v="6156"/>
    <n v="0.92220000000000002"/>
    <n v="5677.06"/>
    <n v="351849"/>
    <n v="26976"/>
    <n v="115479.32"/>
    <n v="2023"/>
    <s v="March"/>
    <s v="Q1"/>
    <s v="Australia | ABC | BCD"/>
    <n v="7.6669253003419077E-2"/>
    <n v="20.341395017843745"/>
    <x v="0"/>
  </r>
  <r>
    <x v="20"/>
    <s v="North"/>
    <x v="1"/>
    <x v="5"/>
    <x v="1"/>
    <s v="INR"/>
    <d v="2023-03-20T00:00:00"/>
    <d v="2023-05-05T00:00:00"/>
    <n v="43348.25"/>
    <n v="1.0278"/>
    <n v="44553.33"/>
    <n v="654883"/>
    <n v="39033"/>
    <n v="129231.62"/>
    <n v="2023"/>
    <s v="March"/>
    <s v="Q1"/>
    <s v="USA | DEF | GHI"/>
    <n v="5.96030130572942E-2"/>
    <n v="2.9006051848425245"/>
    <x v="0"/>
  </r>
  <r>
    <x v="39"/>
    <s v="North"/>
    <x v="4"/>
    <x v="3"/>
    <x v="1"/>
    <s v="SGD"/>
    <d v="2023-03-20T00:00:00"/>
    <d v="2023-03-31T00:00:00"/>
    <n v="9073.5400000000009"/>
    <n v="0.14330000000000001"/>
    <n v="1300.24"/>
    <n v="165141"/>
    <n v="32627"/>
    <n v="41872.03"/>
    <n v="2023"/>
    <s v="March"/>
    <s v="Q1"/>
    <s v="India | XYZ | PQR | TEST"/>
    <n v="0.19757056091461236"/>
    <n v="32.203308619947087"/>
    <x v="0"/>
  </r>
  <r>
    <x v="26"/>
    <s v="South"/>
    <x v="2"/>
    <x v="5"/>
    <x v="1"/>
    <s v="GBP"/>
    <d v="2023-03-21T00:00:00"/>
    <d v="2023-05-02T00:00:00"/>
    <n v="8468.67"/>
    <n v="0.87949999999999995"/>
    <n v="7448.2"/>
    <n v="303586"/>
    <n v="11786"/>
    <n v="69419.72"/>
    <n v="2023"/>
    <s v="March"/>
    <s v="Q1"/>
    <s v="USA | DEF | GHI"/>
    <n v="3.8822607103094348E-2"/>
    <n v="9.3203351145243154"/>
    <x v="0"/>
  </r>
  <r>
    <x v="24"/>
    <s v="North"/>
    <x v="3"/>
    <x v="2"/>
    <x v="1"/>
    <s v="SGD"/>
    <d v="2023-03-22T00:00:00"/>
    <d v="2023-05-15T00:00:00"/>
    <n v="3740.21"/>
    <n v="0.9274"/>
    <n v="3468.67"/>
    <n v="374831"/>
    <n v="28562"/>
    <n v="107047.82"/>
    <n v="2023"/>
    <s v="March"/>
    <s v="Q1"/>
    <s v="Australia | ABC | BCD"/>
    <n v="7.619967398640988E-2"/>
    <n v="30.861344549928361"/>
    <x v="0"/>
  </r>
  <r>
    <x v="36"/>
    <s v="South"/>
    <x v="1"/>
    <x v="2"/>
    <x v="2"/>
    <s v="GBP"/>
    <d v="2023-03-22T00:00:00"/>
    <d v="2023-05-05T00:00:00"/>
    <n v="43671.14"/>
    <n v="0.74750000000000005"/>
    <n v="32644.18"/>
    <n v="262528"/>
    <n v="32715"/>
    <n v="228643.11"/>
    <n v="2023"/>
    <s v="March"/>
    <s v="Q1"/>
    <s v="USA | DEF | GHI"/>
    <n v="0.12461527913213066"/>
    <n v="7.0041002714725868"/>
    <x v="0"/>
  </r>
  <r>
    <x v="16"/>
    <s v="East"/>
    <x v="3"/>
    <x v="3"/>
    <x v="2"/>
    <s v="GBP"/>
    <d v="2023-03-23T00:00:00"/>
    <d v="2023-05-11T00:00:00"/>
    <n v="39211.49"/>
    <n v="0.1696"/>
    <n v="6650.27"/>
    <n v="897240"/>
    <n v="39730"/>
    <n v="119847.06"/>
    <n v="2023"/>
    <s v="March"/>
    <s v="Q1"/>
    <s v="India | XYZ | PQR | TEST"/>
    <n v="4.4280237171771208E-2"/>
    <n v="18.021382590481288"/>
    <x v="0"/>
  </r>
  <r>
    <x v="31"/>
    <s v="West"/>
    <x v="1"/>
    <x v="4"/>
    <x v="1"/>
    <s v="INR"/>
    <d v="2023-03-23T00:00:00"/>
    <d v="2023-04-19T00:00:00"/>
    <n v="28462.400000000001"/>
    <n v="0.10100000000000001"/>
    <n v="2874.7"/>
    <n v="389895"/>
    <n v="42916"/>
    <n v="123617.86"/>
    <n v="2023"/>
    <s v="March"/>
    <s v="Q1"/>
    <s v="India | XYZ | PQR | TEST"/>
    <n v="0.1100706600495005"/>
    <n v="43.002003687341293"/>
    <x v="0"/>
  </r>
  <r>
    <x v="40"/>
    <s v="South"/>
    <x v="3"/>
    <x v="4"/>
    <x v="2"/>
    <s v="AUD"/>
    <d v="2023-03-25T00:00:00"/>
    <d v="2023-05-05T00:00:00"/>
    <n v="40575.97"/>
    <n v="1.1883999999999999"/>
    <n v="48220.480000000003"/>
    <n v="246588"/>
    <n v="45290"/>
    <n v="108835.96"/>
    <n v="2023"/>
    <s v="March"/>
    <s v="Q1"/>
    <s v="Australia | ABC | BCD"/>
    <n v="0.18366668288805618"/>
    <n v="2.2570484574189225"/>
    <x v="0"/>
  </r>
  <r>
    <x v="37"/>
    <s v="West"/>
    <x v="2"/>
    <x v="5"/>
    <x v="1"/>
    <s v="GBP"/>
    <d v="2023-03-25T00:00:00"/>
    <d v="2023-04-04T00:00:00"/>
    <n v="4047.49"/>
    <n v="1.0672999999999999"/>
    <n v="4319.8900000000003"/>
    <n v="509387"/>
    <n v="14176"/>
    <n v="114310.2"/>
    <n v="2023"/>
    <s v="March"/>
    <s v="Q1"/>
    <s v="USA | DEF | GHI"/>
    <n v="2.7829528433195194E-2"/>
    <n v="26.461368229283615"/>
    <x v="0"/>
  </r>
  <r>
    <x v="41"/>
    <s v="North"/>
    <x v="0"/>
    <x v="4"/>
    <x v="2"/>
    <s v="AUD"/>
    <d v="2023-03-26T00:00:00"/>
    <d v="2023-04-09T00:00:00"/>
    <n v="31744.46"/>
    <n v="0.76970000000000005"/>
    <n v="24433.71"/>
    <n v="617497"/>
    <n v="6877"/>
    <n v="32178.22"/>
    <n v="2023"/>
    <s v="March"/>
    <s v="Q1"/>
    <s v="India | XYZ | PQR | TEST"/>
    <n v="1.1136896211641514E-2"/>
    <n v="1.316960052321158"/>
    <x v="0"/>
  </r>
  <r>
    <x v="30"/>
    <s v="South"/>
    <x v="1"/>
    <x v="1"/>
    <x v="2"/>
    <s v="GBP"/>
    <d v="2023-03-27T00:00:00"/>
    <d v="2023-05-12T00:00:00"/>
    <n v="22002.03"/>
    <n v="1.0416000000000001"/>
    <n v="22917.31"/>
    <n v="200556"/>
    <n v="3395"/>
    <n v="68738.3"/>
    <n v="2023"/>
    <s v="March"/>
    <s v="Q1"/>
    <s v="USA | DEF | GHI"/>
    <n v="1.6927940325894016E-2"/>
    <n v="2.999405253059805"/>
    <x v="0"/>
  </r>
  <r>
    <x v="22"/>
    <s v="East"/>
    <x v="3"/>
    <x v="0"/>
    <x v="1"/>
    <s v="SGD"/>
    <d v="2023-03-28T00:00:00"/>
    <d v="2023-04-04T00:00:00"/>
    <n v="27334.240000000002"/>
    <n v="0.47410000000000002"/>
    <n v="12959.16"/>
    <n v="763800"/>
    <n v="48600"/>
    <n v="220569.53"/>
    <n v="2023"/>
    <s v="March"/>
    <s v="Q1"/>
    <s v="USA | DEF | GHI"/>
    <n v="6.3629222309505101E-2"/>
    <n v="17.020357029313629"/>
    <x v="0"/>
  </r>
  <r>
    <x v="17"/>
    <s v="West"/>
    <x v="0"/>
    <x v="4"/>
    <x v="2"/>
    <s v="SGD"/>
    <d v="2023-03-29T00:00:00"/>
    <d v="2023-05-06T00:00:00"/>
    <n v="35656.68"/>
    <n v="0.875"/>
    <n v="31199.599999999999"/>
    <n v="546521"/>
    <n v="40212"/>
    <n v="237689.7"/>
    <n v="2023"/>
    <s v="March"/>
    <s v="Q1"/>
    <s v="India | XYZ | PQR | TEST"/>
    <n v="7.357814246845043E-2"/>
    <n v="7.6183572866318805"/>
    <x v="0"/>
  </r>
  <r>
    <x v="12"/>
    <s v="West"/>
    <x v="4"/>
    <x v="0"/>
    <x v="2"/>
    <s v="AUD"/>
    <d v="2023-03-29T00:00:00"/>
    <d v="2023-04-14T00:00:00"/>
    <n v="36857.129999999997"/>
    <n v="1.1017999999999999"/>
    <n v="40609.19"/>
    <n v="977301"/>
    <n v="26114"/>
    <n v="193213.08"/>
    <n v="2023"/>
    <s v="March"/>
    <s v="Q1"/>
    <s v="UK | JKL | MNO | PQR"/>
    <n v="2.6720529294454832E-2"/>
    <n v="4.7578658919323429"/>
    <x v="0"/>
  </r>
  <r>
    <x v="3"/>
    <s v="North"/>
    <x v="1"/>
    <x v="0"/>
    <x v="2"/>
    <s v="SGD"/>
    <d v="2023-03-29T00:00:00"/>
    <d v="2023-04-06T00:00:00"/>
    <n v="45919"/>
    <n v="0.45910000000000001"/>
    <n v="21081.41"/>
    <n v="943320"/>
    <n v="45540"/>
    <n v="20931.91"/>
    <n v="2023"/>
    <s v="March"/>
    <s v="Q1"/>
    <s v="UK | JKL | MNO | PQR"/>
    <n v="4.8276300725098586E-2"/>
    <n v="0.99290844397979072"/>
    <x v="0"/>
  </r>
  <r>
    <x v="3"/>
    <s v="North"/>
    <x v="4"/>
    <x v="3"/>
    <x v="1"/>
    <s v="SGD"/>
    <d v="2023-03-30T00:00:00"/>
    <d v="2023-05-11T00:00:00"/>
    <n v="2187.91"/>
    <n v="1.1521999999999999"/>
    <n v="2520.91"/>
    <n v="110879"/>
    <n v="13439"/>
    <n v="13143.6"/>
    <n v="2023"/>
    <s v="March"/>
    <s v="Q1"/>
    <s v="Australia | ABC | BCD"/>
    <n v="0.12120419556453431"/>
    <n v="5.2138315132233997"/>
    <x v="0"/>
  </r>
  <r>
    <x v="42"/>
    <s v="South"/>
    <x v="0"/>
    <x v="1"/>
    <x v="0"/>
    <s v="INR"/>
    <d v="2023-03-30T00:00:00"/>
    <d v="2023-05-05T00:00:00"/>
    <n v="43975.39"/>
    <n v="0.45219999999999999"/>
    <n v="19885.669999999998"/>
    <n v="879749"/>
    <n v="19933"/>
    <n v="57954.27"/>
    <n v="2023"/>
    <s v="March"/>
    <s v="Q1"/>
    <s v="Australia | ABC | BCD"/>
    <n v="2.2657598928785369E-2"/>
    <n v="2.9143735162053881"/>
    <x v="0"/>
  </r>
  <r>
    <x v="22"/>
    <s v="North"/>
    <x v="0"/>
    <x v="0"/>
    <x v="1"/>
    <s v="AUD"/>
    <d v="2023-03-30T00:00:00"/>
    <d v="2023-04-21T00:00:00"/>
    <n v="39203.97"/>
    <n v="0.43020000000000003"/>
    <n v="16865.55"/>
    <n v="424337"/>
    <n v="26671"/>
    <n v="148589.64000000001"/>
    <n v="2023"/>
    <s v="March"/>
    <s v="Q1"/>
    <s v="USA | DEF | GHI"/>
    <n v="6.2853345336371796E-2"/>
    <n v="8.8102457376130641"/>
    <x v="0"/>
  </r>
  <r>
    <x v="43"/>
    <s v="East"/>
    <x v="3"/>
    <x v="4"/>
    <x v="2"/>
    <s v="USD"/>
    <d v="2023-03-30T00:00:00"/>
    <d v="2023-04-10T00:00:00"/>
    <n v="7860.64"/>
    <n v="0.15659999999999999"/>
    <n v="1230.98"/>
    <n v="775470"/>
    <n v="25267"/>
    <n v="91126.23"/>
    <n v="2023"/>
    <s v="March"/>
    <s v="Q1"/>
    <s v="India | XYZ | PQR | TEST"/>
    <n v="3.2582820740969992E-2"/>
    <n v="74.027384685372624"/>
    <x v="0"/>
  </r>
  <r>
    <x v="44"/>
    <s v="East"/>
    <x v="3"/>
    <x v="1"/>
    <x v="2"/>
    <s v="SGD"/>
    <d v="2023-03-31T00:00:00"/>
    <d v="2023-04-12T00:00:00"/>
    <n v="5367.83"/>
    <n v="0.89129999999999998"/>
    <n v="4784.3500000000004"/>
    <n v="992736"/>
    <n v="12431"/>
    <n v="187431.35"/>
    <n v="2023"/>
    <s v="March"/>
    <s v="Q1"/>
    <s v="Australia | ABC | BCD"/>
    <n v="1.2521959513909036E-2"/>
    <n v="39.175927764482111"/>
    <x v="0"/>
  </r>
  <r>
    <x v="11"/>
    <s v="East"/>
    <x v="2"/>
    <x v="3"/>
    <x v="1"/>
    <s v="AUD"/>
    <d v="2023-04-03T00:00:00"/>
    <d v="2023-05-28T00:00:00"/>
    <n v="20334.150000000001"/>
    <n v="0.32469999999999999"/>
    <n v="6602.5"/>
    <n v="139592"/>
    <n v="29904"/>
    <n v="95303.49"/>
    <n v="2023"/>
    <s v="April"/>
    <s v="Q2"/>
    <s v="Australia | ABC | BCD"/>
    <n v="0.21422431084875923"/>
    <n v="14.434455130632337"/>
    <x v="0"/>
  </r>
  <r>
    <x v="39"/>
    <s v="East"/>
    <x v="3"/>
    <x v="0"/>
    <x v="1"/>
    <s v="INR"/>
    <d v="2023-04-03T00:00:00"/>
    <d v="2023-04-18T00:00:00"/>
    <n v="40572.25"/>
    <n v="0.372"/>
    <n v="15092.88"/>
    <n v="748936"/>
    <n v="45770"/>
    <n v="152809.10999999999"/>
    <n v="2023"/>
    <s v="April"/>
    <s v="Q2"/>
    <s v="USA | DEF | GHI"/>
    <n v="6.1113366162128674E-2"/>
    <n v="10.124582584635935"/>
    <x v="0"/>
  </r>
  <r>
    <x v="28"/>
    <s v="East"/>
    <x v="1"/>
    <x v="2"/>
    <x v="0"/>
    <s v="AUD"/>
    <d v="2023-04-03T00:00:00"/>
    <d v="2023-04-17T00:00:00"/>
    <n v="1721.52"/>
    <n v="0.26850000000000002"/>
    <n v="462.23"/>
    <n v="450656"/>
    <n v="20519"/>
    <n v="197502.71"/>
    <n v="2023"/>
    <s v="April"/>
    <s v="Q2"/>
    <s v="Australia | ABC | BCD"/>
    <n v="4.5531403110132783E-2"/>
    <n v="427.2823269800748"/>
    <x v="0"/>
  </r>
  <r>
    <x v="3"/>
    <s v="North"/>
    <x v="2"/>
    <x v="5"/>
    <x v="1"/>
    <s v="AUD"/>
    <d v="2023-04-04T00:00:00"/>
    <d v="2023-06-01T00:00:00"/>
    <n v="5182.8500000000004"/>
    <n v="0.52390000000000003"/>
    <n v="2715.3"/>
    <n v="790758"/>
    <n v="48517"/>
    <n v="96298.48"/>
    <n v="2023"/>
    <s v="April"/>
    <s v="Q2"/>
    <s v="Australia | ABC | BCD"/>
    <n v="6.1355054264389357E-2"/>
    <n v="35.465134607594003"/>
    <x v="0"/>
  </r>
  <r>
    <x v="14"/>
    <s v="North"/>
    <x v="3"/>
    <x v="5"/>
    <x v="2"/>
    <s v="GBP"/>
    <d v="2023-04-04T00:00:00"/>
    <d v="2023-05-30T00:00:00"/>
    <n v="31131.26"/>
    <n v="0.18060000000000001"/>
    <n v="5622.31"/>
    <n v="508560"/>
    <n v="116"/>
    <n v="84217.78"/>
    <n v="2023"/>
    <s v="April"/>
    <s v="Q2"/>
    <s v="UK | JKL | MNO | PQR"/>
    <n v="2.28095013371087E-4"/>
    <n v="14.97921317038726"/>
    <x v="0"/>
  </r>
  <r>
    <x v="38"/>
    <s v="South"/>
    <x v="2"/>
    <x v="0"/>
    <x v="0"/>
    <s v="GBP"/>
    <d v="2023-04-04T00:00:00"/>
    <d v="2023-05-22T00:00:00"/>
    <n v="31313.599999999999"/>
    <n v="1.1176999999999999"/>
    <n v="34999.21"/>
    <n v="806456"/>
    <n v="41068"/>
    <n v="19712.82"/>
    <n v="2023"/>
    <s v="April"/>
    <s v="Q2"/>
    <s v="India | XYZ | PQR | TEST"/>
    <n v="5.0924042973206227E-2"/>
    <n v="0.56323614161576785"/>
    <x v="0"/>
  </r>
  <r>
    <x v="13"/>
    <s v="North"/>
    <x v="0"/>
    <x v="4"/>
    <x v="1"/>
    <s v="SGD"/>
    <d v="2023-04-05T00:00:00"/>
    <d v="2023-05-14T00:00:00"/>
    <n v="36504.65"/>
    <n v="0.23669999999999999"/>
    <n v="8640.65"/>
    <n v="291502"/>
    <n v="24818"/>
    <n v="170049.62"/>
    <n v="2023"/>
    <s v="April"/>
    <s v="Q2"/>
    <s v="India | XYZ | PQR | TEST"/>
    <n v="8.5138352395523878E-2"/>
    <n v="19.680188411751431"/>
    <x v="0"/>
  </r>
  <r>
    <x v="36"/>
    <s v="North"/>
    <x v="0"/>
    <x v="4"/>
    <x v="2"/>
    <s v="SGD"/>
    <d v="2023-04-06T00:00:00"/>
    <d v="2023-06-02T00:00:00"/>
    <n v="47647.98"/>
    <n v="0.28949999999999998"/>
    <n v="13794.09"/>
    <n v="335498"/>
    <n v="14822"/>
    <n v="202607.91"/>
    <n v="2023"/>
    <s v="April"/>
    <s v="Q2"/>
    <s v="Australia | ABC | BCD"/>
    <n v="4.417910091863439E-2"/>
    <n v="14.688022914161065"/>
    <x v="0"/>
  </r>
  <r>
    <x v="45"/>
    <s v="North"/>
    <x v="3"/>
    <x v="3"/>
    <x v="0"/>
    <s v="GBP"/>
    <d v="2023-04-06T00:00:00"/>
    <d v="2023-05-29T00:00:00"/>
    <n v="42586.09"/>
    <n v="0.2079"/>
    <n v="8853.65"/>
    <n v="519231"/>
    <n v="31646"/>
    <n v="57368.09"/>
    <n v="2023"/>
    <s v="April"/>
    <s v="Q2"/>
    <s v="USA | DEF | GHI"/>
    <n v="6.0947824763929737E-2"/>
    <n v="6.4795976800528594"/>
    <x v="0"/>
  </r>
  <r>
    <x v="36"/>
    <s v="West"/>
    <x v="4"/>
    <x v="5"/>
    <x v="1"/>
    <s v="AUD"/>
    <d v="2023-04-06T00:00:00"/>
    <d v="2023-04-25T00:00:00"/>
    <n v="49620.6"/>
    <n v="1.0964"/>
    <n v="54404.03"/>
    <n v="493863"/>
    <n v="7798"/>
    <n v="163688.87"/>
    <n v="2023"/>
    <s v="April"/>
    <s v="Q2"/>
    <s v="UK | JKL | MNO | PQR"/>
    <n v="1.578980405497071E-2"/>
    <n v="3.0087636890134792"/>
    <x v="1"/>
  </r>
  <r>
    <x v="6"/>
    <s v="North"/>
    <x v="2"/>
    <x v="3"/>
    <x v="0"/>
    <s v="INR"/>
    <d v="2023-04-06T00:00:00"/>
    <d v="2023-04-16T00:00:00"/>
    <n v="2256.37"/>
    <n v="2.3699999999999999E-2"/>
    <n v="53.48"/>
    <n v="817437"/>
    <n v="38981"/>
    <n v="42496.91"/>
    <n v="2023"/>
    <s v="April"/>
    <s v="Q2"/>
    <s v="UK | JKL | MNO | PQR"/>
    <n v="4.76868553784573E-2"/>
    <n v="794.63182498130152"/>
    <x v="0"/>
  </r>
  <r>
    <x v="28"/>
    <s v="North"/>
    <x v="1"/>
    <x v="0"/>
    <x v="2"/>
    <s v="USD"/>
    <d v="2023-04-06T00:00:00"/>
    <d v="2023-04-15T00:00:00"/>
    <n v="25218.01"/>
    <n v="0.44009999999999999"/>
    <n v="11098.45"/>
    <n v="889037"/>
    <n v="13729"/>
    <n v="100746.05"/>
    <n v="2023"/>
    <s v="April"/>
    <s v="Q2"/>
    <s v="India | XYZ | PQR | TEST"/>
    <n v="1.5442551884792197E-2"/>
    <n v="9.0774882979154743"/>
    <x v="0"/>
  </r>
  <r>
    <x v="46"/>
    <s v="South"/>
    <x v="4"/>
    <x v="1"/>
    <x v="0"/>
    <s v="SGD"/>
    <d v="2023-04-07T00:00:00"/>
    <d v="2023-04-14T00:00:00"/>
    <n v="23558.12"/>
    <n v="0.1958"/>
    <n v="4612.68"/>
    <n v="287860"/>
    <n v="24157"/>
    <n v="222958.21"/>
    <n v="2023"/>
    <s v="April"/>
    <s v="Q2"/>
    <s v="UK | JKL | MNO | PQR"/>
    <n v="8.3919266310011814E-2"/>
    <n v="48.335937025763762"/>
    <x v="0"/>
  </r>
  <r>
    <x v="47"/>
    <s v="East"/>
    <x v="1"/>
    <x v="5"/>
    <x v="1"/>
    <s v="USD"/>
    <d v="2023-04-08T00:00:00"/>
    <d v="2023-05-30T00:00:00"/>
    <n v="29821.59"/>
    <n v="0.47539999999999999"/>
    <n v="14177.18"/>
    <n v="881861"/>
    <n v="39794"/>
    <n v="215529.25"/>
    <n v="2023"/>
    <s v="April"/>
    <s v="Q2"/>
    <s v="USA | DEF | GHI"/>
    <n v="4.5125025372479338E-2"/>
    <n v="15.202547333108559"/>
    <x v="0"/>
  </r>
  <r>
    <x v="16"/>
    <s v="East"/>
    <x v="2"/>
    <x v="3"/>
    <x v="0"/>
    <s v="GBP"/>
    <d v="2023-04-09T00:00:00"/>
    <d v="2023-05-06T00:00:00"/>
    <n v="48733.78"/>
    <n v="0.2238"/>
    <n v="10906.62"/>
    <n v="65021"/>
    <n v="7790"/>
    <n v="245167.81"/>
    <n v="2023"/>
    <s v="April"/>
    <s v="Q2"/>
    <s v="India | XYZ | PQR | TEST"/>
    <n v="0.11980744682487196"/>
    <n v="22.478807366535186"/>
    <x v="0"/>
  </r>
  <r>
    <x v="31"/>
    <s v="South"/>
    <x v="2"/>
    <x v="1"/>
    <x v="2"/>
    <s v="GBP"/>
    <d v="2023-04-10T00:00:00"/>
    <d v="2023-05-14T00:00:00"/>
    <n v="16209.19"/>
    <n v="0.77690000000000003"/>
    <n v="12592.92"/>
    <n v="813726"/>
    <n v="30600"/>
    <n v="120283.74"/>
    <n v="2023"/>
    <s v="April"/>
    <s v="Q2"/>
    <s v="India | XYZ | PQR | TEST"/>
    <n v="3.7604795717477379E-2"/>
    <n v="9.5516957147349473"/>
    <x v="0"/>
  </r>
  <r>
    <x v="43"/>
    <s v="South"/>
    <x v="3"/>
    <x v="1"/>
    <x v="0"/>
    <s v="INR"/>
    <d v="2023-04-10T00:00:00"/>
    <d v="2023-04-19T00:00:00"/>
    <n v="38913.440000000002"/>
    <n v="0.50719999999999998"/>
    <n v="19736.900000000001"/>
    <n v="447090"/>
    <n v="42994"/>
    <n v="75643.360000000001"/>
    <n v="2023"/>
    <s v="April"/>
    <s v="Q2"/>
    <s v="India | XYZ | PQR | TEST"/>
    <n v="9.6164083294191322E-2"/>
    <n v="3.832585664415384"/>
    <x v="0"/>
  </r>
  <r>
    <x v="37"/>
    <s v="East"/>
    <x v="1"/>
    <x v="0"/>
    <x v="1"/>
    <s v="INR"/>
    <d v="2023-04-11T00:00:00"/>
    <d v="2023-06-06T00:00:00"/>
    <n v="49084.6"/>
    <n v="0.56869999999999998"/>
    <n v="27914.41"/>
    <n v="890521"/>
    <n v="21086"/>
    <n v="229010.97"/>
    <n v="2023"/>
    <s v="April"/>
    <s v="Q2"/>
    <s v="India | XYZ | PQR | TEST"/>
    <n v="2.3678273729648151E-2"/>
    <n v="8.2040412102566389"/>
    <x v="0"/>
  </r>
  <r>
    <x v="45"/>
    <s v="East"/>
    <x v="0"/>
    <x v="2"/>
    <x v="2"/>
    <s v="GBP"/>
    <d v="2023-04-11T00:00:00"/>
    <d v="2023-05-13T00:00:00"/>
    <n v="12375.06"/>
    <n v="0.10050000000000001"/>
    <n v="1243.69"/>
    <n v="644565"/>
    <n v="40330"/>
    <n v="238940.31"/>
    <n v="2023"/>
    <s v="April"/>
    <s v="Q2"/>
    <s v="UK | JKL | MNO | PQR"/>
    <n v="6.2569329702977974E-2"/>
    <n v="192.12208026115832"/>
    <x v="0"/>
  </r>
  <r>
    <x v="48"/>
    <s v="West"/>
    <x v="0"/>
    <x v="3"/>
    <x v="0"/>
    <s v="INR"/>
    <d v="2023-04-11T00:00:00"/>
    <d v="2023-05-01T00:00:00"/>
    <n v="37149.65"/>
    <n v="1.0451999999999999"/>
    <n v="38828.81"/>
    <n v="403774"/>
    <n v="14561"/>
    <n v="23014.78"/>
    <n v="2023"/>
    <s v="April"/>
    <s v="Q2"/>
    <s v="UK | JKL | MNO | PQR"/>
    <n v="3.6062252646282329E-2"/>
    <n v="0.59272431990576069"/>
    <x v="0"/>
  </r>
  <r>
    <x v="18"/>
    <s v="South"/>
    <x v="4"/>
    <x v="1"/>
    <x v="1"/>
    <s v="USD"/>
    <d v="2023-04-12T00:00:00"/>
    <d v="2023-05-09T00:00:00"/>
    <n v="14954.76"/>
    <n v="0.15110000000000001"/>
    <n v="2259.66"/>
    <n v="297150"/>
    <n v="31992"/>
    <n v="112534.6"/>
    <n v="2023"/>
    <s v="April"/>
    <s v="Q2"/>
    <s v="India | XYZ | PQR | TEST"/>
    <n v="0.10766279656739021"/>
    <n v="49.801563067010086"/>
    <x v="0"/>
  </r>
  <r>
    <x v="23"/>
    <s v="East"/>
    <x v="0"/>
    <x v="1"/>
    <x v="0"/>
    <s v="SGD"/>
    <d v="2023-04-12T00:00:00"/>
    <d v="2023-04-19T00:00:00"/>
    <n v="28979.599999999999"/>
    <n v="1.0052000000000001"/>
    <n v="29130.29"/>
    <n v="699880"/>
    <n v="32206"/>
    <n v="133826.23000000001"/>
    <n v="2023"/>
    <s v="April"/>
    <s v="Q2"/>
    <s v="Australia | ABC | BCD"/>
    <n v="4.6016459964565354E-2"/>
    <n v="4.5940575943459541"/>
    <x v="0"/>
  </r>
  <r>
    <x v="49"/>
    <s v="East"/>
    <x v="1"/>
    <x v="1"/>
    <x v="2"/>
    <s v="GBP"/>
    <d v="2023-04-13T00:00:00"/>
    <d v="2023-05-07T00:00:00"/>
    <n v="40390.74"/>
    <n v="0.40949999999999998"/>
    <n v="16540.009999999998"/>
    <n v="524496"/>
    <n v="48256"/>
    <n v="90941.36"/>
    <n v="2023"/>
    <s v="April"/>
    <s v="Q2"/>
    <s v="Australia | ABC | BCD"/>
    <n v="9.2004514810408472E-2"/>
    <n v="5.4982651159219378"/>
    <x v="0"/>
  </r>
  <r>
    <x v="9"/>
    <s v="North"/>
    <x v="3"/>
    <x v="3"/>
    <x v="1"/>
    <s v="USD"/>
    <d v="2023-04-13T00:00:00"/>
    <d v="2023-05-01T00:00:00"/>
    <n v="25908.83"/>
    <n v="0.94540000000000002"/>
    <n v="24494.21"/>
    <n v="849756"/>
    <n v="36182"/>
    <n v="155436.21"/>
    <n v="2023"/>
    <s v="April"/>
    <s v="Q2"/>
    <s v="Australia | ABC | BCD"/>
    <n v="4.2579281582007071E-2"/>
    <n v="6.3458347911608497"/>
    <x v="0"/>
  </r>
  <r>
    <x v="8"/>
    <s v="West"/>
    <x v="1"/>
    <x v="4"/>
    <x v="1"/>
    <s v="INR"/>
    <d v="2023-04-14T00:00:00"/>
    <d v="2023-05-27T00:00:00"/>
    <n v="2645.24"/>
    <n v="0.72140000000000004"/>
    <n v="1908.28"/>
    <n v="747449"/>
    <n v="3290"/>
    <n v="64959.87"/>
    <n v="2023"/>
    <s v="April"/>
    <s v="Q2"/>
    <s v="Australia | ABC | BCD"/>
    <n v="4.4016381050747278E-3"/>
    <n v="34.041057916029096"/>
    <x v="0"/>
  </r>
  <r>
    <x v="50"/>
    <s v="East"/>
    <x v="4"/>
    <x v="3"/>
    <x v="1"/>
    <s v="AUD"/>
    <d v="2023-04-14T00:00:00"/>
    <d v="2023-04-26T00:00:00"/>
    <n v="25436.9"/>
    <n v="7.1300000000000002E-2"/>
    <n v="1813.65"/>
    <n v="576795"/>
    <n v="21787"/>
    <n v="10522.91"/>
    <n v="2023"/>
    <s v="April"/>
    <s v="Q2"/>
    <s v="Australia | ABC | BCD"/>
    <n v="3.7772518832514153E-2"/>
    <n v="5.8020621398836596"/>
    <x v="0"/>
  </r>
  <r>
    <x v="43"/>
    <s v="West"/>
    <x v="3"/>
    <x v="1"/>
    <x v="1"/>
    <s v="AUD"/>
    <d v="2023-04-16T00:00:00"/>
    <d v="2023-05-23T00:00:00"/>
    <n v="44436.39"/>
    <n v="0.50419999999999998"/>
    <n v="22404.83"/>
    <n v="11269"/>
    <n v="14800"/>
    <n v="10880.21"/>
    <n v="2023"/>
    <s v="April"/>
    <s v="Q2"/>
    <s v="India | XYZ | PQR | TEST"/>
    <n v="1.3133374744875321"/>
    <n v="0.48561894912837983"/>
    <x v="0"/>
  </r>
  <r>
    <x v="6"/>
    <s v="West"/>
    <x v="4"/>
    <x v="5"/>
    <x v="0"/>
    <s v="INR"/>
    <d v="2023-04-17T00:00:00"/>
    <d v="2023-05-18T00:00:00"/>
    <n v="45650.11"/>
    <n v="0.58440000000000003"/>
    <n v="26677.919999999998"/>
    <n v="606580"/>
    <n v="44559"/>
    <n v="112349.89"/>
    <n v="2023"/>
    <s v="April"/>
    <s v="Q2"/>
    <s v="UK | JKL | MNO | PQR"/>
    <n v="7.3459395298229424E-2"/>
    <n v="4.2113436879636792"/>
    <x v="0"/>
  </r>
  <r>
    <x v="18"/>
    <s v="West"/>
    <x v="4"/>
    <x v="3"/>
    <x v="1"/>
    <s v="GBP"/>
    <d v="2023-04-19T00:00:00"/>
    <d v="2023-05-30T00:00:00"/>
    <n v="39197.69"/>
    <n v="0.94499999999999995"/>
    <n v="37041.82"/>
    <n v="919613"/>
    <n v="35203"/>
    <n v="220633.27"/>
    <n v="2023"/>
    <s v="April"/>
    <s v="Q2"/>
    <s v="UK | JKL | MNO | PQR"/>
    <n v="3.8280233098053201E-2"/>
    <n v="5.9563290896613612"/>
    <x v="0"/>
  </r>
  <r>
    <x v="51"/>
    <s v="South"/>
    <x v="1"/>
    <x v="2"/>
    <x v="2"/>
    <s v="INR"/>
    <d v="2023-04-20T00:00:00"/>
    <d v="2023-05-20T00:00:00"/>
    <n v="1450.24"/>
    <n v="1.0243"/>
    <n v="1485.48"/>
    <n v="341272"/>
    <n v="9583"/>
    <n v="204956.25"/>
    <n v="2023"/>
    <s v="April"/>
    <s v="Q2"/>
    <s v="USA | DEF | GHI"/>
    <n v="2.8080240980801238E-2"/>
    <n v="137.97307940867597"/>
    <x v="0"/>
  </r>
  <r>
    <x v="3"/>
    <s v="East"/>
    <x v="4"/>
    <x v="3"/>
    <x v="2"/>
    <s v="SGD"/>
    <d v="2023-04-21T00:00:00"/>
    <d v="2023-05-02T00:00:00"/>
    <n v="1602.14"/>
    <n v="0.85880000000000001"/>
    <n v="1375.92"/>
    <n v="631686"/>
    <n v="12788"/>
    <n v="226570.65"/>
    <n v="2023"/>
    <s v="April"/>
    <s v="Q2"/>
    <s v="UK | JKL | MNO | PQR"/>
    <n v="2.0244235268788605E-2"/>
    <n v="164.66847636490493"/>
    <x v="0"/>
  </r>
  <r>
    <x v="39"/>
    <s v="West"/>
    <x v="4"/>
    <x v="0"/>
    <x v="0"/>
    <s v="GBP"/>
    <d v="2023-04-22T00:00:00"/>
    <d v="2023-06-06T00:00:00"/>
    <n v="29057.97"/>
    <n v="0.95909999999999995"/>
    <n v="27869.5"/>
    <n v="863779"/>
    <n v="9452"/>
    <n v="70910.23"/>
    <n v="2023"/>
    <s v="April"/>
    <s v="Q2"/>
    <s v="Australia | ABC | BCD"/>
    <n v="1.0942613793574514E-2"/>
    <n v="2.5443667808895025"/>
    <x v="0"/>
  </r>
  <r>
    <x v="32"/>
    <s v="North"/>
    <x v="1"/>
    <x v="5"/>
    <x v="0"/>
    <s v="AUD"/>
    <d v="2023-04-22T00:00:00"/>
    <d v="2023-06-04T00:00:00"/>
    <n v="22293.62"/>
    <n v="0.877"/>
    <n v="19551.5"/>
    <n v="338914"/>
    <n v="28699"/>
    <n v="153521.17000000001"/>
    <n v="2023"/>
    <s v="April"/>
    <s v="Q2"/>
    <s v="Australia | ABC | BCD"/>
    <n v="8.4679299173241587E-2"/>
    <n v="7.8521428023425317"/>
    <x v="0"/>
  </r>
  <r>
    <x v="26"/>
    <s v="South"/>
    <x v="0"/>
    <x v="2"/>
    <x v="1"/>
    <s v="GBP"/>
    <d v="2023-04-22T00:00:00"/>
    <d v="2023-05-18T00:00:00"/>
    <n v="28906.240000000002"/>
    <n v="0.54730000000000001"/>
    <n v="15820.39"/>
    <n v="948206"/>
    <n v="20065"/>
    <n v="27844.17"/>
    <n v="2023"/>
    <s v="April"/>
    <s v="Q2"/>
    <s v="Australia | ABC | BCD"/>
    <n v="2.1161013535033527E-2"/>
    <n v="1.7600179262331712"/>
    <x v="0"/>
  </r>
  <r>
    <x v="25"/>
    <s v="East"/>
    <x v="0"/>
    <x v="0"/>
    <x v="0"/>
    <s v="USD"/>
    <d v="2023-04-22T00:00:00"/>
    <d v="2023-05-06T00:00:00"/>
    <n v="27490.98"/>
    <n v="0.5232"/>
    <n v="14383.28"/>
    <n v="653790"/>
    <n v="42261"/>
    <n v="31031.18"/>
    <n v="2023"/>
    <s v="April"/>
    <s v="Q2"/>
    <s v="USA | DEF | GHI"/>
    <n v="6.4640022025421004E-2"/>
    <n v="2.1574480925074111"/>
    <x v="0"/>
  </r>
  <r>
    <x v="42"/>
    <s v="East"/>
    <x v="4"/>
    <x v="1"/>
    <x v="2"/>
    <s v="USD"/>
    <d v="2023-04-23T00:00:00"/>
    <d v="2023-05-05T00:00:00"/>
    <n v="19109.71"/>
    <n v="0.35460000000000003"/>
    <n v="6776.3"/>
    <n v="558171"/>
    <n v="10146"/>
    <n v="33846.839999999997"/>
    <n v="2023"/>
    <s v="April"/>
    <s v="Q2"/>
    <s v="India | XYZ | PQR | TEST"/>
    <n v="1.8177225258926028E-2"/>
    <n v="4.9948851142954114"/>
    <x v="0"/>
  </r>
  <r>
    <x v="4"/>
    <s v="North"/>
    <x v="4"/>
    <x v="2"/>
    <x v="0"/>
    <s v="GBP"/>
    <d v="2023-04-24T00:00:00"/>
    <d v="2023-06-21T00:00:00"/>
    <n v="29133.49"/>
    <n v="0.59799999999999998"/>
    <n v="17421.830000000002"/>
    <n v="104458"/>
    <n v="33635"/>
    <n v="23386.81"/>
    <n v="2023"/>
    <s v="April"/>
    <s v="Q2"/>
    <s v="USA | DEF | GHI"/>
    <n v="0.32199544314461315"/>
    <n v="1.3423853866097877"/>
    <x v="0"/>
  </r>
  <r>
    <x v="47"/>
    <s v="West"/>
    <x v="0"/>
    <x v="0"/>
    <x v="2"/>
    <s v="SGD"/>
    <d v="2023-04-24T00:00:00"/>
    <d v="2023-06-17T00:00:00"/>
    <n v="15116.98"/>
    <n v="0.36840000000000001"/>
    <n v="5569.1"/>
    <n v="60068"/>
    <n v="15726"/>
    <n v="107857.26"/>
    <n v="2023"/>
    <s v="April"/>
    <s v="Q2"/>
    <s v="Australia | ABC | BCD"/>
    <n v="0.26180328960511423"/>
    <n v="19.367089834982313"/>
    <x v="0"/>
  </r>
  <r>
    <x v="50"/>
    <s v="East"/>
    <x v="0"/>
    <x v="1"/>
    <x v="1"/>
    <s v="USD"/>
    <d v="2023-04-26T00:00:00"/>
    <d v="2023-06-17T00:00:00"/>
    <n v="3672.36"/>
    <n v="1.1392"/>
    <n v="4183.55"/>
    <n v="981746"/>
    <n v="9778"/>
    <n v="217844.33"/>
    <n v="2023"/>
    <s v="April"/>
    <s v="Q2"/>
    <s v="USA | DEF | GHI"/>
    <n v="9.9598063042782969E-3"/>
    <n v="52.071644894885914"/>
    <x v="0"/>
  </r>
  <r>
    <x v="2"/>
    <s v="East"/>
    <x v="4"/>
    <x v="5"/>
    <x v="1"/>
    <s v="GBP"/>
    <d v="2023-04-27T00:00:00"/>
    <d v="2023-06-18T00:00:00"/>
    <n v="33417.339999999997"/>
    <n v="0.22370000000000001"/>
    <n v="7475.46"/>
    <n v="201059"/>
    <n v="25852"/>
    <n v="16088.39"/>
    <n v="2023"/>
    <s v="April"/>
    <s v="Q2"/>
    <s v="UK | JKL | MNO | PQR"/>
    <n v="0.12857917327749566"/>
    <n v="2.1521605359402631"/>
    <x v="0"/>
  </r>
  <r>
    <x v="21"/>
    <s v="West"/>
    <x v="3"/>
    <x v="3"/>
    <x v="2"/>
    <s v="USD"/>
    <d v="2023-04-27T00:00:00"/>
    <d v="2023-06-07T00:00:00"/>
    <n v="10790.2"/>
    <n v="1.1967000000000001"/>
    <n v="12912.63"/>
    <n v="198667"/>
    <n v="44776"/>
    <n v="193066.39"/>
    <n v="2023"/>
    <s v="April"/>
    <s v="Q2"/>
    <s v="UK | JKL | MNO | PQR"/>
    <n v="0.22538217217756346"/>
    <n v="14.95174801725133"/>
    <x v="0"/>
  </r>
  <r>
    <x v="33"/>
    <s v="East"/>
    <x v="1"/>
    <x v="4"/>
    <x v="1"/>
    <s v="AUD"/>
    <d v="2023-04-27T00:00:00"/>
    <d v="2023-05-03T00:00:00"/>
    <n v="37048.07"/>
    <n v="0.60389999999999999"/>
    <n v="22373.33"/>
    <n v="415785"/>
    <n v="36909"/>
    <n v="33851.440000000002"/>
    <n v="2023"/>
    <s v="April"/>
    <s v="Q2"/>
    <s v="UK | JKL | MNO | PQR"/>
    <n v="8.8769436126844403E-2"/>
    <n v="1.5130264471135946"/>
    <x v="0"/>
  </r>
  <r>
    <x v="18"/>
    <s v="South"/>
    <x v="1"/>
    <x v="3"/>
    <x v="2"/>
    <s v="SGD"/>
    <d v="2023-04-30T00:00:00"/>
    <d v="2023-05-13T00:00:00"/>
    <n v="3221.99"/>
    <n v="5.4300000000000001E-2"/>
    <n v="174.95"/>
    <n v="526554"/>
    <n v="7710"/>
    <n v="28812.04"/>
    <n v="2023"/>
    <s v="April"/>
    <s v="Q2"/>
    <s v="UK | JKL | MNO | PQR"/>
    <n v="1.4642372862042639E-2"/>
    <n v="164.68728208059446"/>
    <x v="0"/>
  </r>
  <r>
    <x v="34"/>
    <s v="East"/>
    <x v="0"/>
    <x v="4"/>
    <x v="1"/>
    <s v="USD"/>
    <d v="2023-05-01T00:00:00"/>
    <d v="2023-05-27T00:00:00"/>
    <n v="49693.24"/>
    <n v="0.58589999999999998"/>
    <n v="29115.27"/>
    <n v="653830"/>
    <n v="39421"/>
    <n v="138888.28"/>
    <n v="2023"/>
    <s v="May"/>
    <s v="Q2"/>
    <s v="Australia | ABC | BCD"/>
    <n v="6.0292430754171573E-2"/>
    <n v="4.7702899543778914"/>
    <x v="0"/>
  </r>
  <r>
    <x v="52"/>
    <s v="West"/>
    <x v="2"/>
    <x v="1"/>
    <x v="1"/>
    <s v="INR"/>
    <d v="2023-05-02T00:00:00"/>
    <d v="2023-05-30T00:00:00"/>
    <n v="46242.66"/>
    <n v="1.1046"/>
    <n v="51079.64"/>
    <n v="949090"/>
    <n v="2940"/>
    <n v="153104.06"/>
    <n v="2023"/>
    <s v="May"/>
    <s v="Q2"/>
    <s v="UK | JKL | MNO | PQR"/>
    <n v="3.0977041165748242E-3"/>
    <n v="2.9973598091137683"/>
    <x v="0"/>
  </r>
  <r>
    <x v="34"/>
    <s v="North"/>
    <x v="4"/>
    <x v="4"/>
    <x v="2"/>
    <s v="INR"/>
    <d v="2023-05-03T00:00:00"/>
    <d v="2023-05-17T00:00:00"/>
    <n v="20345.759999999998"/>
    <n v="0.83709999999999996"/>
    <n v="17031.439999999999"/>
    <n v="116663"/>
    <n v="48690"/>
    <n v="231696.13"/>
    <n v="2023"/>
    <s v="May"/>
    <s v="Q2"/>
    <s v="UK | JKL | MNO | PQR"/>
    <n v="0.41735597404489855"/>
    <n v="13.604024674366936"/>
    <x v="0"/>
  </r>
  <r>
    <x v="3"/>
    <s v="North"/>
    <x v="1"/>
    <x v="0"/>
    <x v="1"/>
    <s v="GBP"/>
    <d v="2023-05-04T00:00:00"/>
    <d v="2023-06-26T00:00:00"/>
    <n v="23002.95"/>
    <n v="1.1394"/>
    <n v="26209.56"/>
    <n v="185284"/>
    <n v="13986"/>
    <n v="203072.88"/>
    <n v="2023"/>
    <s v="May"/>
    <s v="Q2"/>
    <s v="India | XYZ | PQR | TEST"/>
    <n v="7.5484121672675458E-2"/>
    <n v="7.7480461327851362"/>
    <x v="0"/>
  </r>
  <r>
    <x v="17"/>
    <s v="North"/>
    <x v="4"/>
    <x v="1"/>
    <x v="1"/>
    <s v="AUD"/>
    <d v="2023-05-04T00:00:00"/>
    <d v="2023-06-22T00:00:00"/>
    <n v="26392.05"/>
    <n v="0.3856"/>
    <n v="10176.77"/>
    <n v="18827"/>
    <n v="874"/>
    <n v="170155.25"/>
    <n v="2023"/>
    <s v="May"/>
    <s v="Q2"/>
    <s v="India | XYZ | PQR | TEST"/>
    <n v="4.6422690816380729E-2"/>
    <n v="16.719966158221123"/>
    <x v="0"/>
  </r>
  <r>
    <x v="48"/>
    <s v="South"/>
    <x v="4"/>
    <x v="0"/>
    <x v="0"/>
    <s v="AUD"/>
    <d v="2023-05-04T00:00:00"/>
    <d v="2023-06-21T00:00:00"/>
    <n v="29222.38"/>
    <n v="0.1734"/>
    <n v="5067.16"/>
    <n v="887057"/>
    <n v="14074"/>
    <n v="192235.83"/>
    <n v="2023"/>
    <s v="May"/>
    <s v="Q2"/>
    <s v="India | XYZ | PQR | TEST"/>
    <n v="1.5865947735038449E-2"/>
    <n v="37.937588313769446"/>
    <x v="0"/>
  </r>
  <r>
    <x v="46"/>
    <s v="West"/>
    <x v="0"/>
    <x v="5"/>
    <x v="1"/>
    <s v="AUD"/>
    <d v="2023-05-04T00:00:00"/>
    <d v="2023-06-20T00:00:00"/>
    <n v="46872.91"/>
    <n v="0.22389999999999999"/>
    <n v="10494.84"/>
    <n v="29895"/>
    <n v="18119"/>
    <n v="197755.48"/>
    <n v="2023"/>
    <s v="May"/>
    <s v="Q2"/>
    <s v="UK | JKL | MNO | PQR"/>
    <n v="0.60608797457768859"/>
    <n v="18.843115283320184"/>
    <x v="0"/>
  </r>
  <r>
    <x v="53"/>
    <s v="West"/>
    <x v="0"/>
    <x v="1"/>
    <x v="0"/>
    <s v="GBP"/>
    <d v="2023-05-04T00:00:00"/>
    <d v="2023-06-14T00:00:00"/>
    <n v="20082.04"/>
    <n v="0.70079999999999998"/>
    <n v="14073.49"/>
    <n v="45739"/>
    <n v="42377"/>
    <n v="164353.47"/>
    <n v="2023"/>
    <s v="May"/>
    <s v="Q2"/>
    <s v="UK | JKL | MNO | PQR"/>
    <n v="0.92649598810642997"/>
    <n v="11.678231199226348"/>
    <x v="0"/>
  </r>
  <r>
    <x v="33"/>
    <s v="East"/>
    <x v="3"/>
    <x v="2"/>
    <x v="1"/>
    <s v="SGD"/>
    <d v="2023-05-04T00:00:00"/>
    <d v="2023-06-13T00:00:00"/>
    <n v="11980.69"/>
    <n v="0.31680000000000003"/>
    <n v="3795.48"/>
    <n v="366855"/>
    <n v="23381"/>
    <n v="193496.61"/>
    <n v="2023"/>
    <s v="May"/>
    <s v="Q2"/>
    <s v="Australia | ABC | BCD"/>
    <n v="6.3733627727576292E-2"/>
    <n v="50.980800847323657"/>
    <x v="0"/>
  </r>
  <r>
    <x v="6"/>
    <s v="South"/>
    <x v="0"/>
    <x v="0"/>
    <x v="2"/>
    <s v="GBP"/>
    <d v="2023-05-04T00:00:00"/>
    <d v="2023-05-17T00:00:00"/>
    <n v="20662.87"/>
    <n v="0.33589999999999998"/>
    <n v="6940.66"/>
    <n v="211512"/>
    <n v="9681"/>
    <n v="109444.23"/>
    <n v="2023"/>
    <s v="May"/>
    <s v="Q2"/>
    <s v="USA | DEF | GHI"/>
    <n v="4.5770452740270057E-2"/>
    <n v="15.768562355741384"/>
    <x v="0"/>
  </r>
  <r>
    <x v="54"/>
    <s v="North"/>
    <x v="4"/>
    <x v="5"/>
    <x v="2"/>
    <s v="USD"/>
    <d v="2023-05-05T00:00:00"/>
    <d v="2023-06-15T00:00:00"/>
    <n v="27229.9"/>
    <n v="1.19"/>
    <n v="32403.58"/>
    <n v="359636"/>
    <n v="44784"/>
    <n v="79192.88"/>
    <n v="2023"/>
    <s v="May"/>
    <s v="Q2"/>
    <s v="UK | JKL | MNO | PQR"/>
    <n v="0.12452590953074776"/>
    <n v="2.4439546494553999"/>
    <x v="0"/>
  </r>
  <r>
    <x v="49"/>
    <s v="East"/>
    <x v="2"/>
    <x v="2"/>
    <x v="2"/>
    <s v="SGD"/>
    <d v="2023-05-05T00:00:00"/>
    <d v="2023-05-29T00:00:00"/>
    <n v="20823.310000000001"/>
    <n v="1.1794"/>
    <n v="24559.01"/>
    <n v="870116"/>
    <n v="15496"/>
    <n v="211221.6"/>
    <n v="2023"/>
    <s v="May"/>
    <s v="Q2"/>
    <s v="Australia | ABC | BCD"/>
    <n v="1.7809119703579752E-2"/>
    <n v="8.6005746974328368"/>
    <x v="0"/>
  </r>
  <r>
    <x v="36"/>
    <s v="North"/>
    <x v="2"/>
    <x v="5"/>
    <x v="2"/>
    <s v="AUD"/>
    <d v="2023-05-05T00:00:00"/>
    <d v="2023-05-11T00:00:00"/>
    <n v="20823.55"/>
    <n v="0.60429999999999995"/>
    <n v="12583.67"/>
    <n v="162446"/>
    <n v="30118"/>
    <n v="232313.77"/>
    <n v="2023"/>
    <s v="May"/>
    <s v="Q2"/>
    <s v="UK | JKL | MNO | PQR"/>
    <n v="0.18540314935424695"/>
    <n v="18.461527519396167"/>
    <x v="0"/>
  </r>
  <r>
    <x v="48"/>
    <s v="East"/>
    <x v="1"/>
    <x v="1"/>
    <x v="2"/>
    <s v="SGD"/>
    <d v="2023-05-06T00:00:00"/>
    <d v="2023-05-25T00:00:00"/>
    <n v="42067.35"/>
    <n v="0.873"/>
    <n v="36724.800000000003"/>
    <n v="302047"/>
    <n v="46859"/>
    <n v="192663.18"/>
    <n v="2023"/>
    <s v="May"/>
    <s v="Q2"/>
    <s v="UK | JKL | MNO | PQR"/>
    <n v="0.15513810764549887"/>
    <n v="5.246132858449875"/>
    <x v="0"/>
  </r>
  <r>
    <x v="0"/>
    <s v="South"/>
    <x v="4"/>
    <x v="4"/>
    <x v="2"/>
    <s v="USD"/>
    <d v="2023-05-08T00:00:00"/>
    <d v="2023-07-06T00:00:00"/>
    <n v="8741.19"/>
    <n v="0.55330000000000001"/>
    <n v="4836.5"/>
    <n v="458580"/>
    <n v="13359"/>
    <n v="248945.05"/>
    <n v="2023"/>
    <s v="May"/>
    <s v="Q2"/>
    <s v="USA | DEF | GHI"/>
    <n v="2.9131231191940339E-2"/>
    <n v="51.472149281505217"/>
    <x v="0"/>
  </r>
  <r>
    <x v="11"/>
    <s v="North"/>
    <x v="1"/>
    <x v="3"/>
    <x v="2"/>
    <s v="GBP"/>
    <d v="2023-05-09T00:00:00"/>
    <d v="2023-06-30T00:00:00"/>
    <n v="11381.35"/>
    <n v="0.74670000000000003"/>
    <n v="8498.4500000000007"/>
    <n v="239540"/>
    <n v="25809"/>
    <n v="50004.97"/>
    <n v="2023"/>
    <s v="May"/>
    <s v="Q2"/>
    <s v="UK | JKL | MNO | PQR"/>
    <n v="0.10774400935125658"/>
    <n v="5.8840106137001449"/>
    <x v="0"/>
  </r>
  <r>
    <x v="24"/>
    <s v="North"/>
    <x v="0"/>
    <x v="3"/>
    <x v="2"/>
    <s v="INR"/>
    <d v="2023-05-11T00:00:00"/>
    <d v="2023-07-03T00:00:00"/>
    <n v="1667.6"/>
    <n v="0.62870000000000004"/>
    <n v="1048.42"/>
    <n v="137378"/>
    <n v="10991"/>
    <n v="53355.06"/>
    <n v="2023"/>
    <s v="May"/>
    <s v="Q2"/>
    <s v="UK | JKL | MNO | PQR"/>
    <n v="8.0005532181280842E-2"/>
    <n v="50.890921577230493"/>
    <x v="0"/>
  </r>
  <r>
    <x v="20"/>
    <s v="South"/>
    <x v="1"/>
    <x v="0"/>
    <x v="2"/>
    <s v="SGD"/>
    <d v="2023-05-11T00:00:00"/>
    <d v="2023-06-16T00:00:00"/>
    <n v="40044.22"/>
    <n v="0.36859999999999998"/>
    <n v="14760.3"/>
    <n v="715756"/>
    <n v="36062"/>
    <n v="246868.8"/>
    <n v="2023"/>
    <s v="May"/>
    <s v="Q2"/>
    <s v="India | XYZ | PQR | TEST"/>
    <n v="5.0383091444570496E-2"/>
    <n v="16.725188512428609"/>
    <x v="0"/>
  </r>
  <r>
    <x v="50"/>
    <s v="East"/>
    <x v="2"/>
    <x v="5"/>
    <x v="1"/>
    <s v="USD"/>
    <d v="2023-05-11T00:00:00"/>
    <d v="2023-06-10T00:00:00"/>
    <n v="35149.51"/>
    <n v="0.29730000000000001"/>
    <n v="10449.950000000001"/>
    <n v="317643"/>
    <n v="7900"/>
    <n v="87518.03"/>
    <n v="2023"/>
    <s v="May"/>
    <s v="Q2"/>
    <s v="Australia | ABC | BCD"/>
    <n v="2.4870688162496893E-2"/>
    <n v="8.3749711721108699"/>
    <x v="0"/>
  </r>
  <r>
    <x v="43"/>
    <s v="South"/>
    <x v="2"/>
    <x v="2"/>
    <x v="1"/>
    <s v="INR"/>
    <d v="2023-05-12T00:00:00"/>
    <d v="2023-06-28T00:00:00"/>
    <n v="24288.84"/>
    <n v="0.6643"/>
    <n v="16135.08"/>
    <n v="287932"/>
    <n v="34681"/>
    <n v="218746.1"/>
    <n v="2023"/>
    <s v="May"/>
    <s v="Q2"/>
    <s v="USA | DEF | GHI"/>
    <n v="0.12044857813650445"/>
    <n v="13.557174801736341"/>
    <x v="0"/>
  </r>
  <r>
    <x v="55"/>
    <s v="South"/>
    <x v="3"/>
    <x v="5"/>
    <x v="1"/>
    <s v="GBP"/>
    <d v="2023-05-12T00:00:00"/>
    <d v="2023-05-23T00:00:00"/>
    <n v="20301.28"/>
    <n v="0.95589999999999997"/>
    <n v="19405.990000000002"/>
    <n v="365556"/>
    <n v="36658"/>
    <n v="235042.4"/>
    <n v="2023"/>
    <s v="May"/>
    <s v="Q2"/>
    <s v="Australia | ABC | BCD"/>
    <n v="0.10028012123997418"/>
    <n v="12.111847939734071"/>
    <x v="0"/>
  </r>
  <r>
    <x v="8"/>
    <s v="South"/>
    <x v="2"/>
    <x v="1"/>
    <x v="0"/>
    <s v="SGD"/>
    <d v="2023-05-13T00:00:00"/>
    <d v="2023-07-02T00:00:00"/>
    <n v="26146.09"/>
    <n v="0.63970000000000005"/>
    <n v="16725.650000000001"/>
    <n v="738205"/>
    <n v="14035"/>
    <n v="116580.93"/>
    <n v="2023"/>
    <s v="May"/>
    <s v="Q2"/>
    <s v="UK | JKL | MNO | PQR"/>
    <n v="1.9012333972270576E-2"/>
    <n v="6.9701883035935817"/>
    <x v="0"/>
  </r>
  <r>
    <x v="56"/>
    <s v="West"/>
    <x v="3"/>
    <x v="4"/>
    <x v="0"/>
    <s v="USD"/>
    <d v="2023-05-14T00:00:00"/>
    <d v="2023-07-06T00:00:00"/>
    <n v="19156.47"/>
    <n v="0.6784"/>
    <n v="12995.75"/>
    <n v="344617"/>
    <n v="15942"/>
    <n v="119285.78"/>
    <n v="2023"/>
    <s v="May"/>
    <s v="Q2"/>
    <s v="USA | DEF | GHI"/>
    <n v="4.6260051013153732E-2"/>
    <n v="9.1788300021160758"/>
    <x v="0"/>
  </r>
  <r>
    <x v="33"/>
    <s v="West"/>
    <x v="3"/>
    <x v="0"/>
    <x v="2"/>
    <s v="GBP"/>
    <d v="2023-05-14T00:00:00"/>
    <d v="2023-06-02T00:00:00"/>
    <n v="45918.16"/>
    <n v="0.46879999999999999"/>
    <n v="21526.43"/>
    <n v="484409"/>
    <n v="40763"/>
    <n v="130798.69"/>
    <n v="2023"/>
    <s v="May"/>
    <s v="Q2"/>
    <s v="India | XYZ | PQR | TEST"/>
    <n v="8.4149964183159273E-2"/>
    <n v="6.0761905248571173"/>
    <x v="0"/>
  </r>
  <r>
    <x v="37"/>
    <s v="West"/>
    <x v="3"/>
    <x v="5"/>
    <x v="0"/>
    <s v="AUD"/>
    <d v="2023-05-15T00:00:00"/>
    <d v="2023-06-07T00:00:00"/>
    <n v="36426.76"/>
    <n v="0.47449999999999998"/>
    <n v="17284.5"/>
    <n v="447110"/>
    <n v="44212"/>
    <n v="164862.54999999999"/>
    <n v="2023"/>
    <s v="May"/>
    <s v="Q2"/>
    <s v="Australia | ABC | BCD"/>
    <n v="9.8883943548567471E-2"/>
    <n v="9.5381729295033111"/>
    <x v="0"/>
  </r>
  <r>
    <x v="1"/>
    <s v="South"/>
    <x v="0"/>
    <x v="2"/>
    <x v="2"/>
    <s v="GBP"/>
    <d v="2023-05-15T00:00:00"/>
    <d v="2023-05-27T00:00:00"/>
    <n v="47926.25"/>
    <n v="0.95330000000000004"/>
    <n v="45688.09"/>
    <n v="142250"/>
    <n v="10293"/>
    <n v="89309.53"/>
    <n v="2023"/>
    <s v="May"/>
    <s v="Q2"/>
    <s v="Australia | ABC | BCD"/>
    <n v="7.2358523725834803E-2"/>
    <n v="1.9547661108179397"/>
    <x v="0"/>
  </r>
  <r>
    <x v="52"/>
    <s v="South"/>
    <x v="1"/>
    <x v="1"/>
    <x v="0"/>
    <s v="AUD"/>
    <d v="2023-05-16T00:00:00"/>
    <d v="2023-06-29T00:00:00"/>
    <n v="14767.62"/>
    <n v="1.0308999999999999"/>
    <n v="15223.94"/>
    <n v="24892"/>
    <n v="48690"/>
    <n v="32329.599999999999"/>
    <n v="2023"/>
    <s v="May"/>
    <s v="Q2"/>
    <s v="India | XYZ | PQR | TEST"/>
    <n v="1.9560501365900691"/>
    <n v="2.1236026941777224"/>
    <x v="0"/>
  </r>
  <r>
    <x v="42"/>
    <s v="North"/>
    <x v="1"/>
    <x v="1"/>
    <x v="0"/>
    <s v="INR"/>
    <d v="2023-05-16T00:00:00"/>
    <d v="2023-06-22T00:00:00"/>
    <n v="21355.8"/>
    <n v="0.68110000000000004"/>
    <n v="14545.44"/>
    <n v="595941"/>
    <n v="30402"/>
    <n v="169828.09"/>
    <n v="2023"/>
    <s v="May"/>
    <s v="Q2"/>
    <s v="Australia | ABC | BCD"/>
    <n v="5.1015117268320184E-2"/>
    <n v="11.675692863192863"/>
    <x v="0"/>
  </r>
  <r>
    <x v="42"/>
    <s v="South"/>
    <x v="1"/>
    <x v="5"/>
    <x v="1"/>
    <s v="SGD"/>
    <d v="2023-05-16T00:00:00"/>
    <d v="2023-06-12T00:00:00"/>
    <n v="15493.73"/>
    <n v="0.78069999999999995"/>
    <n v="12095.96"/>
    <n v="105136"/>
    <n v="1143"/>
    <n v="122546.82"/>
    <n v="2023"/>
    <s v="May"/>
    <s v="Q2"/>
    <s v="Australia | ABC | BCD"/>
    <n v="1.0871632932582559E-2"/>
    <n v="10.131219018581412"/>
    <x v="0"/>
  </r>
  <r>
    <x v="7"/>
    <s v="West"/>
    <x v="2"/>
    <x v="3"/>
    <x v="1"/>
    <s v="INR"/>
    <d v="2023-05-16T00:00:00"/>
    <d v="2023-06-11T00:00:00"/>
    <n v="5044.71"/>
    <n v="0.69"/>
    <n v="3480.85"/>
    <n v="61706"/>
    <n v="36023"/>
    <n v="102801.87"/>
    <n v="2023"/>
    <s v="May"/>
    <s v="Q2"/>
    <s v="India | XYZ | PQR | TEST"/>
    <n v="0.58378439697922402"/>
    <n v="29.533553586049383"/>
    <x v="0"/>
  </r>
  <r>
    <x v="8"/>
    <s v="South"/>
    <x v="1"/>
    <x v="1"/>
    <x v="1"/>
    <s v="AUD"/>
    <d v="2023-05-16T00:00:00"/>
    <d v="2023-05-26T00:00:00"/>
    <n v="16548.55"/>
    <n v="0.64119999999999999"/>
    <n v="10610.93"/>
    <n v="158683"/>
    <n v="17165"/>
    <n v="33626.300000000003"/>
    <n v="2023"/>
    <s v="May"/>
    <s v="Q2"/>
    <s v="UK | JKL | MNO | PQR"/>
    <n v="0.10817163779358847"/>
    <n v="3.1690247697421436"/>
    <x v="0"/>
  </r>
  <r>
    <x v="51"/>
    <s v="South"/>
    <x v="3"/>
    <x v="2"/>
    <x v="0"/>
    <s v="GBP"/>
    <d v="2023-05-17T00:00:00"/>
    <d v="2023-07-01T00:00:00"/>
    <n v="29115.200000000001"/>
    <n v="0.2477"/>
    <n v="7211.84"/>
    <n v="274760"/>
    <n v="32284"/>
    <n v="112191.14"/>
    <n v="2023"/>
    <s v="May"/>
    <s v="Q2"/>
    <s v="India | XYZ | PQR | TEST"/>
    <n v="0.11749890813801135"/>
    <n v="15.556520943337622"/>
    <x v="0"/>
  </r>
  <r>
    <x v="1"/>
    <s v="East"/>
    <x v="2"/>
    <x v="1"/>
    <x v="2"/>
    <s v="USD"/>
    <d v="2023-05-17T00:00:00"/>
    <d v="2023-06-08T00:00:00"/>
    <n v="43795.76"/>
    <n v="7.1300000000000002E-2"/>
    <n v="3122.64"/>
    <n v="271103"/>
    <n v="13860"/>
    <n v="135975.76"/>
    <n v="2023"/>
    <s v="May"/>
    <s v="Q2"/>
    <s v="USA | DEF | GHI"/>
    <n v="5.1124480363551862E-2"/>
    <n v="43.545128481028875"/>
    <x v="0"/>
  </r>
  <r>
    <x v="4"/>
    <s v="West"/>
    <x v="4"/>
    <x v="2"/>
    <x v="0"/>
    <s v="USD"/>
    <d v="2023-05-18T00:00:00"/>
    <d v="2023-07-16T00:00:00"/>
    <n v="25706.42"/>
    <n v="0.3347"/>
    <n v="8603.94"/>
    <n v="858102"/>
    <n v="7482"/>
    <n v="86017.600000000006"/>
    <n v="2023"/>
    <s v="May"/>
    <s v="Q2"/>
    <s v="USA | DEF | GHI"/>
    <n v="8.7192431668962431E-3"/>
    <n v="9.9974662770777112"/>
    <x v="0"/>
  </r>
  <r>
    <x v="20"/>
    <s v="East"/>
    <x v="1"/>
    <x v="3"/>
    <x v="2"/>
    <s v="GBP"/>
    <d v="2023-05-18T00:00:00"/>
    <d v="2023-07-10T00:00:00"/>
    <n v="5117.38"/>
    <n v="0.53900000000000003"/>
    <n v="2758.27"/>
    <n v="378653"/>
    <n v="15184"/>
    <n v="148070.75"/>
    <n v="2023"/>
    <s v="May"/>
    <s v="Q2"/>
    <s v="UK | JKL | MNO | PQR"/>
    <n v="4.0100038821823676E-2"/>
    <n v="53.682471259158824"/>
    <x v="0"/>
  </r>
  <r>
    <x v="4"/>
    <s v="North"/>
    <x v="1"/>
    <x v="5"/>
    <x v="1"/>
    <s v="INR"/>
    <d v="2023-05-20T00:00:00"/>
    <d v="2023-06-08T00:00:00"/>
    <n v="44857.56"/>
    <n v="0.7712"/>
    <n v="34594.15"/>
    <n v="172293"/>
    <n v="19819"/>
    <n v="158918.67000000001"/>
    <n v="2023"/>
    <s v="May"/>
    <s v="Q2"/>
    <s v="Australia | ABC | BCD"/>
    <n v="0.11503079057187465"/>
    <n v="4.5938018422189879"/>
    <x v="0"/>
  </r>
  <r>
    <x v="52"/>
    <s v="East"/>
    <x v="3"/>
    <x v="2"/>
    <x v="1"/>
    <s v="INR"/>
    <d v="2023-05-20T00:00:00"/>
    <d v="2023-06-04T00:00:00"/>
    <n v="36885.25"/>
    <n v="0.52990000000000004"/>
    <n v="19545.490000000002"/>
    <n v="680318"/>
    <n v="32029"/>
    <n v="164049.17000000001"/>
    <n v="2023"/>
    <s v="May"/>
    <s v="Q2"/>
    <s v="UK | JKL | MNO | PQR"/>
    <n v="4.7079454020031809E-2"/>
    <n v="8.3931981239661937"/>
    <x v="0"/>
  </r>
  <r>
    <x v="20"/>
    <s v="East"/>
    <x v="0"/>
    <x v="5"/>
    <x v="1"/>
    <s v="SGD"/>
    <d v="2023-05-21T00:00:00"/>
    <d v="2023-07-18T00:00:00"/>
    <n v="31904.38"/>
    <n v="9.0899999999999995E-2"/>
    <n v="2900.11"/>
    <n v="168366"/>
    <n v="699"/>
    <n v="58586.32"/>
    <n v="2023"/>
    <s v="May"/>
    <s v="Q2"/>
    <s v="UK | JKL | MNO | PQR"/>
    <n v="4.1516695769929796E-3"/>
    <n v="20.201413049849833"/>
    <x v="0"/>
  </r>
  <r>
    <x v="49"/>
    <s v="West"/>
    <x v="2"/>
    <x v="5"/>
    <x v="0"/>
    <s v="GBP"/>
    <d v="2023-05-22T00:00:00"/>
    <d v="2023-07-17T00:00:00"/>
    <n v="47257.48"/>
    <n v="1.1067"/>
    <n v="52299.85"/>
    <n v="411798"/>
    <n v="27537"/>
    <n v="139588.12"/>
    <n v="2023"/>
    <s v="May"/>
    <s v="Q2"/>
    <s v="Australia | ABC | BCD"/>
    <n v="6.6870164498127729E-2"/>
    <n v="2.6689965649997083"/>
    <x v="0"/>
  </r>
  <r>
    <x v="25"/>
    <s v="East"/>
    <x v="0"/>
    <x v="1"/>
    <x v="0"/>
    <s v="SGD"/>
    <d v="2023-05-23T00:00:00"/>
    <d v="2023-07-10T00:00:00"/>
    <n v="27997.040000000001"/>
    <n v="0.37659999999999999"/>
    <n v="10543.69"/>
    <n v="431139"/>
    <n v="40569"/>
    <n v="211014.84"/>
    <n v="2023"/>
    <s v="May"/>
    <s v="Q2"/>
    <s v="India | XYZ | PQR | TEST"/>
    <n v="9.409726329559609E-2"/>
    <n v="20.013376721053064"/>
    <x v="0"/>
  </r>
  <r>
    <x v="51"/>
    <s v="East"/>
    <x v="2"/>
    <x v="1"/>
    <x v="1"/>
    <s v="AUD"/>
    <d v="2023-05-24T00:00:00"/>
    <d v="2023-07-15T00:00:00"/>
    <n v="43836.54"/>
    <n v="0.50760000000000005"/>
    <n v="22251.43"/>
    <n v="19708"/>
    <n v="19547"/>
    <n v="33807.9"/>
    <n v="2023"/>
    <s v="May"/>
    <s v="Q2"/>
    <s v="India | XYZ | PQR | TEST"/>
    <n v="0.9918307286381165"/>
    <n v="1.5193585311146296"/>
    <x v="0"/>
  </r>
  <r>
    <x v="54"/>
    <s v="North"/>
    <x v="0"/>
    <x v="2"/>
    <x v="0"/>
    <s v="USD"/>
    <d v="2023-05-24T00:00:00"/>
    <d v="2023-07-14T00:00:00"/>
    <n v="27780.77"/>
    <n v="0.22900000000000001"/>
    <n v="6361.8"/>
    <n v="942566"/>
    <n v="35629"/>
    <n v="247629.27"/>
    <n v="2023"/>
    <s v="May"/>
    <s v="Q2"/>
    <s v="UK | JKL | MNO | PQR"/>
    <n v="3.7800005516855056E-2"/>
    <n v="38.924403470715831"/>
    <x v="0"/>
  </r>
  <r>
    <x v="32"/>
    <s v="South"/>
    <x v="0"/>
    <x v="2"/>
    <x v="0"/>
    <s v="INR"/>
    <d v="2023-05-24T00:00:00"/>
    <d v="2023-07-04T00:00:00"/>
    <n v="25031.7"/>
    <n v="0.38240000000000002"/>
    <n v="9572.1200000000008"/>
    <n v="965025"/>
    <n v="23176"/>
    <n v="153512.17000000001"/>
    <n v="2023"/>
    <s v="May"/>
    <s v="Q2"/>
    <s v="Australia | ABC | BCD"/>
    <n v="2.4015958135799591E-2"/>
    <n v="16.037426400839102"/>
    <x v="0"/>
  </r>
  <r>
    <x v="57"/>
    <s v="East"/>
    <x v="3"/>
    <x v="1"/>
    <x v="0"/>
    <s v="SGD"/>
    <d v="2023-05-24T00:00:00"/>
    <d v="2023-06-30T00:00:00"/>
    <n v="49680.69"/>
    <n v="0.28870000000000001"/>
    <n v="14342.82"/>
    <n v="970911"/>
    <n v="48040"/>
    <n v="146147.03"/>
    <n v="2023"/>
    <s v="May"/>
    <s v="Q2"/>
    <s v="India | XYZ | PQR | TEST"/>
    <n v="4.9479303458298443E-2"/>
    <n v="10.18956035145111"/>
    <x v="0"/>
  </r>
  <r>
    <x v="13"/>
    <s v="East"/>
    <x v="1"/>
    <x v="3"/>
    <x v="0"/>
    <s v="AUD"/>
    <d v="2023-05-25T00:00:00"/>
    <d v="2023-06-17T00:00:00"/>
    <n v="26639.31"/>
    <n v="0.25330000000000003"/>
    <n v="6747.74"/>
    <n v="653825"/>
    <n v="46923"/>
    <n v="95957.06"/>
    <n v="2023"/>
    <s v="May"/>
    <s v="Q2"/>
    <s v="India | XYZ | PQR | TEST"/>
    <n v="7.1766910105915196E-2"/>
    <n v="14.220622015667468"/>
    <x v="0"/>
  </r>
  <r>
    <x v="39"/>
    <s v="South"/>
    <x v="1"/>
    <x v="0"/>
    <x v="0"/>
    <s v="SGD"/>
    <d v="2023-05-26T00:00:00"/>
    <d v="2023-07-20T00:00:00"/>
    <n v="29891.59"/>
    <n v="6.7900000000000002E-2"/>
    <n v="2029.64"/>
    <n v="947692"/>
    <n v="20099"/>
    <n v="222819.02"/>
    <n v="2023"/>
    <s v="May"/>
    <s v="Q2"/>
    <s v="USA | DEF | GHI"/>
    <n v="2.120836727544392E-2"/>
    <n v="109.78253286297077"/>
    <x v="0"/>
  </r>
  <r>
    <x v="2"/>
    <s v="South"/>
    <x v="4"/>
    <x v="4"/>
    <x v="0"/>
    <s v="USD"/>
    <d v="2023-05-26T00:00:00"/>
    <d v="2023-06-04T00:00:00"/>
    <n v="14421.36"/>
    <n v="0.1072"/>
    <n v="1545.97"/>
    <n v="926220"/>
    <n v="46775"/>
    <n v="115598.13"/>
    <n v="2023"/>
    <s v="May"/>
    <s v="Q2"/>
    <s v="UK | JKL | MNO | PQR"/>
    <n v="5.0500960894819806E-2"/>
    <n v="74.773850721553458"/>
    <x v="0"/>
  </r>
  <r>
    <x v="33"/>
    <s v="East"/>
    <x v="4"/>
    <x v="3"/>
    <x v="1"/>
    <s v="USD"/>
    <d v="2023-05-27T00:00:00"/>
    <d v="2023-07-25T00:00:00"/>
    <n v="30771.07"/>
    <n v="0.93979999999999997"/>
    <n v="28918.65"/>
    <n v="46489"/>
    <n v="8372"/>
    <n v="21472.17"/>
    <n v="2023"/>
    <s v="May"/>
    <s v="Q2"/>
    <s v="India | XYZ | PQR | TEST"/>
    <n v="0.18008561165006776"/>
    <n v="0.74250250271018869"/>
    <x v="0"/>
  </r>
  <r>
    <x v="8"/>
    <s v="South"/>
    <x v="1"/>
    <x v="5"/>
    <x v="0"/>
    <s v="AUD"/>
    <d v="2023-05-27T00:00:00"/>
    <d v="2023-07-11T00:00:00"/>
    <n v="14276.54"/>
    <n v="0.54600000000000004"/>
    <n v="7794.99"/>
    <n v="260875"/>
    <n v="11539"/>
    <n v="154581.81"/>
    <n v="2023"/>
    <s v="May"/>
    <s v="Q2"/>
    <s v="USA | DEF | GHI"/>
    <n v="4.4231911835170099E-2"/>
    <n v="19.830918320613627"/>
    <x v="0"/>
  </r>
  <r>
    <x v="52"/>
    <s v="East"/>
    <x v="0"/>
    <x v="0"/>
    <x v="2"/>
    <s v="AUD"/>
    <d v="2023-05-27T00:00:00"/>
    <d v="2023-06-21T00:00:00"/>
    <n v="43257.3"/>
    <n v="0.22459999999999999"/>
    <n v="9715.59"/>
    <n v="94736"/>
    <n v="32054"/>
    <n v="86494.21"/>
    <n v="2023"/>
    <s v="May"/>
    <s v="Q2"/>
    <s v="India | XYZ | PQR | TEST"/>
    <n v="0.33835078534031415"/>
    <n v="8.9026204275808265"/>
    <x v="0"/>
  </r>
  <r>
    <x v="58"/>
    <s v="West"/>
    <x v="1"/>
    <x v="2"/>
    <x v="1"/>
    <s v="GBP"/>
    <d v="2023-05-28T00:00:00"/>
    <d v="2023-07-18T00:00:00"/>
    <n v="44359.55"/>
    <n v="0.79290000000000005"/>
    <n v="35172.69"/>
    <n v="152371"/>
    <n v="5648"/>
    <n v="38618.97"/>
    <n v="2023"/>
    <s v="May"/>
    <s v="Q2"/>
    <s v="India | XYZ | PQR | TEST"/>
    <n v="3.7067420965931838E-2"/>
    <n v="1.0979817011436999"/>
    <x v="0"/>
  </r>
  <r>
    <x v="4"/>
    <s v="North"/>
    <x v="3"/>
    <x v="3"/>
    <x v="2"/>
    <s v="INR"/>
    <d v="2023-05-29T00:00:00"/>
    <d v="2023-06-16T00:00:00"/>
    <n v="11688.69"/>
    <n v="0.90059999999999996"/>
    <n v="10526.83"/>
    <n v="781037"/>
    <n v="42779"/>
    <n v="7237.47"/>
    <n v="2023"/>
    <s v="May"/>
    <s v="Q2"/>
    <s v="Australia | ABC | BCD"/>
    <n v="5.4772053052544248E-2"/>
    <n v="0.68752606435175645"/>
    <x v="0"/>
  </r>
  <r>
    <x v="28"/>
    <s v="West"/>
    <x v="1"/>
    <x v="2"/>
    <x v="2"/>
    <s v="SGD"/>
    <d v="2023-05-29T00:00:00"/>
    <d v="2023-06-08T00:00:00"/>
    <n v="16829.62"/>
    <n v="0.1618"/>
    <n v="2723.03"/>
    <n v="814819"/>
    <n v="25332"/>
    <n v="91389.15"/>
    <n v="2023"/>
    <s v="May"/>
    <s v="Q2"/>
    <s v="USA | DEF | GHI"/>
    <n v="3.1089113042283009E-2"/>
    <n v="33.561565608898903"/>
    <x v="0"/>
  </r>
  <r>
    <x v="59"/>
    <s v="South"/>
    <x v="2"/>
    <x v="5"/>
    <x v="0"/>
    <s v="USD"/>
    <d v="2023-05-30T00:00:00"/>
    <d v="2023-07-28T00:00:00"/>
    <n v="37563.699999999997"/>
    <n v="0.34010000000000001"/>
    <n v="12775.41"/>
    <n v="617913"/>
    <n v="22895"/>
    <n v="91289.8"/>
    <n v="2023"/>
    <s v="May"/>
    <s v="Q2"/>
    <s v="Australia | ABC | BCD"/>
    <n v="3.705214164453572E-2"/>
    <n v="7.145743267730742"/>
    <x v="0"/>
  </r>
  <r>
    <x v="42"/>
    <s v="North"/>
    <x v="4"/>
    <x v="2"/>
    <x v="1"/>
    <s v="GBP"/>
    <d v="2023-05-30T00:00:00"/>
    <d v="2023-07-21T00:00:00"/>
    <n v="33602.18"/>
    <n v="0.96350000000000002"/>
    <n v="32375.7"/>
    <n v="747114"/>
    <n v="2350"/>
    <n v="151725.68"/>
    <n v="2023"/>
    <s v="May"/>
    <s v="Q2"/>
    <s v="India | XYZ | PQR | TEST"/>
    <n v="3.1454369748124115E-3"/>
    <n v="4.6864061626466764"/>
    <x v="0"/>
  </r>
  <r>
    <x v="28"/>
    <s v="South"/>
    <x v="4"/>
    <x v="0"/>
    <x v="2"/>
    <s v="INR"/>
    <d v="2023-06-01T00:00:00"/>
    <d v="2023-07-06T00:00:00"/>
    <n v="5590.86"/>
    <n v="0.22600000000000001"/>
    <n v="1263.53"/>
    <n v="204015"/>
    <n v="11641"/>
    <n v="51270.68"/>
    <n v="2023"/>
    <s v="June"/>
    <s v="Q2"/>
    <s v="India | XYZ | PQR | TEST"/>
    <n v="5.7059529936524273E-2"/>
    <n v="40.577334926752826"/>
    <x v="0"/>
  </r>
  <r>
    <x v="46"/>
    <s v="West"/>
    <x v="4"/>
    <x v="4"/>
    <x v="1"/>
    <s v="USD"/>
    <d v="2023-06-01T00:00:00"/>
    <d v="2023-07-02T00:00:00"/>
    <n v="42957.01"/>
    <n v="0.79459999999999997"/>
    <n v="34133.64"/>
    <n v="158513"/>
    <n v="23509"/>
    <n v="126968.9"/>
    <n v="2023"/>
    <s v="June"/>
    <s v="Q2"/>
    <s v="India | XYZ | PQR | TEST"/>
    <n v="0.14830960236699828"/>
    <n v="3.7197585724815752"/>
    <x v="0"/>
  </r>
  <r>
    <x v="2"/>
    <s v="South"/>
    <x v="2"/>
    <x v="3"/>
    <x v="2"/>
    <s v="GBP"/>
    <d v="2023-06-02T00:00:00"/>
    <d v="2023-07-28T00:00:00"/>
    <n v="28579.14"/>
    <n v="0.37159999999999999"/>
    <n v="10620.01"/>
    <n v="270247"/>
    <n v="7862"/>
    <n v="141727.89000000001"/>
    <n v="2023"/>
    <s v="June"/>
    <s v="Q2"/>
    <s v="USA | DEF | GHI"/>
    <n v="2.9091904813004398E-2"/>
    <n v="13.34536313995938"/>
    <x v="0"/>
  </r>
  <r>
    <x v="56"/>
    <s v="West"/>
    <x v="4"/>
    <x v="1"/>
    <x v="1"/>
    <s v="USD"/>
    <d v="2023-06-03T00:00:00"/>
    <d v="2023-07-20T00:00:00"/>
    <n v="34670.879999999997"/>
    <n v="0.75349999999999995"/>
    <n v="26124.51"/>
    <n v="310947"/>
    <n v="22931"/>
    <n v="219473.53"/>
    <n v="2023"/>
    <s v="June"/>
    <s v="Q2"/>
    <s v="Australia | ABC | BCD"/>
    <n v="7.3745686563948198E-2"/>
    <n v="8.4010582399440228"/>
    <x v="0"/>
  </r>
  <r>
    <x v="30"/>
    <s v="South"/>
    <x v="0"/>
    <x v="2"/>
    <x v="2"/>
    <s v="AUD"/>
    <d v="2023-06-03T00:00:00"/>
    <d v="2023-07-11T00:00:00"/>
    <n v="38508.25"/>
    <n v="1.0806"/>
    <n v="41612.01"/>
    <n v="854554"/>
    <n v="39423"/>
    <n v="104004.11"/>
    <n v="2023"/>
    <s v="June"/>
    <s v="Q2"/>
    <s v="USA | DEF | GHI"/>
    <n v="4.6132836543974987E-2"/>
    <n v="2.4993772230661291"/>
    <x v="0"/>
  </r>
  <r>
    <x v="9"/>
    <s v="West"/>
    <x v="4"/>
    <x v="5"/>
    <x v="1"/>
    <s v="USD"/>
    <d v="2023-06-04T00:00:00"/>
    <d v="2023-07-08T00:00:00"/>
    <n v="46757.15"/>
    <n v="0.60429999999999995"/>
    <n v="28255.35"/>
    <n v="341777"/>
    <n v="7545"/>
    <n v="199044.12"/>
    <n v="2023"/>
    <s v="June"/>
    <s v="Q2"/>
    <s v="UK | JKL | MNO | PQR"/>
    <n v="2.2075797961828913E-2"/>
    <n v="7.0444754710169937"/>
    <x v="0"/>
  </r>
  <r>
    <x v="48"/>
    <s v="South"/>
    <x v="3"/>
    <x v="1"/>
    <x v="1"/>
    <s v="GBP"/>
    <d v="2023-06-06T00:00:00"/>
    <d v="2023-07-28T00:00:00"/>
    <n v="35427.31"/>
    <n v="1.157"/>
    <n v="40989.4"/>
    <n v="504392"/>
    <n v="1386"/>
    <n v="215650.13"/>
    <n v="2023"/>
    <s v="June"/>
    <s v="Q2"/>
    <s v="Australia | ABC | BCD"/>
    <n v="2.7478627733984679E-3"/>
    <n v="5.2611194601531128"/>
    <x v="0"/>
  </r>
  <r>
    <x v="13"/>
    <s v="West"/>
    <x v="2"/>
    <x v="1"/>
    <x v="1"/>
    <s v="USD"/>
    <d v="2023-06-06T00:00:00"/>
    <d v="2023-07-21T00:00:00"/>
    <n v="8839.1200000000008"/>
    <n v="0.81979999999999997"/>
    <n v="7246.31"/>
    <n v="635380"/>
    <n v="4263"/>
    <n v="99267.99"/>
    <n v="2023"/>
    <s v="June"/>
    <s v="Q2"/>
    <s v="Australia | ABC | BCD"/>
    <n v="6.7093707702477259E-3"/>
    <n v="13.699108925784296"/>
    <x v="0"/>
  </r>
  <r>
    <x v="55"/>
    <s v="East"/>
    <x v="2"/>
    <x v="4"/>
    <x v="2"/>
    <s v="SGD"/>
    <d v="2023-06-08T00:00:00"/>
    <d v="2023-07-25T00:00:00"/>
    <n v="24627.279999999999"/>
    <n v="1.0183"/>
    <n v="25077.96"/>
    <n v="377121"/>
    <n v="36555"/>
    <n v="95052.46"/>
    <n v="2023"/>
    <s v="June"/>
    <s v="Q2"/>
    <s v="Australia | ABC | BCD"/>
    <n v="9.6931753999379505E-2"/>
    <n v="3.7902787946068983"/>
    <x v="0"/>
  </r>
  <r>
    <x v="45"/>
    <s v="West"/>
    <x v="1"/>
    <x v="2"/>
    <x v="2"/>
    <s v="GBP"/>
    <d v="2023-06-08T00:00:00"/>
    <d v="2023-06-25T00:00:00"/>
    <n v="1204.8499999999999"/>
    <n v="1.0354000000000001"/>
    <n v="1247.5"/>
    <n v="775847"/>
    <n v="47636"/>
    <n v="96693.16"/>
    <n v="2023"/>
    <s v="June"/>
    <s v="Q2"/>
    <s v="UK | JKL | MNO | PQR"/>
    <n v="6.139870361037679E-2"/>
    <n v="77.509547094188378"/>
    <x v="0"/>
  </r>
  <r>
    <x v="29"/>
    <s v="North"/>
    <x v="1"/>
    <x v="3"/>
    <x v="2"/>
    <s v="USD"/>
    <d v="2023-06-09T00:00:00"/>
    <d v="2023-07-03T00:00:00"/>
    <n v="1517.24"/>
    <n v="0.63270000000000004"/>
    <n v="959.96"/>
    <n v="805128"/>
    <n v="9032"/>
    <n v="89251.8"/>
    <n v="2023"/>
    <s v="June"/>
    <s v="Q2"/>
    <s v="UK | JKL | MNO | PQR"/>
    <n v="1.1218092030087142E-2"/>
    <n v="92.974498937455721"/>
    <x v="0"/>
  </r>
  <r>
    <x v="33"/>
    <s v="South"/>
    <x v="1"/>
    <x v="1"/>
    <x v="2"/>
    <s v="AUD"/>
    <d v="2023-06-09T00:00:00"/>
    <d v="2023-06-20T00:00:00"/>
    <n v="9054.3700000000008"/>
    <n v="0.56459999999999999"/>
    <n v="5112.1000000000004"/>
    <n v="436259"/>
    <n v="8012"/>
    <n v="136301.51"/>
    <n v="2023"/>
    <s v="June"/>
    <s v="Q2"/>
    <s v="Australia | ABC | BCD"/>
    <n v="1.8365237164161656E-2"/>
    <n v="26.662528119559475"/>
    <x v="0"/>
  </r>
  <r>
    <x v="13"/>
    <s v="West"/>
    <x v="4"/>
    <x v="0"/>
    <x v="0"/>
    <s v="AUD"/>
    <d v="2023-06-10T00:00:00"/>
    <d v="2023-06-30T00:00:00"/>
    <n v="9516.86"/>
    <n v="9.9299999999999999E-2"/>
    <n v="945.02"/>
    <n v="12805"/>
    <n v="26872"/>
    <n v="115373.41"/>
    <n v="2023"/>
    <s v="June"/>
    <s v="Q2"/>
    <s v="USA | DEF | GHI"/>
    <n v="2.0985552518547443"/>
    <n v="122.08568072633383"/>
    <x v="0"/>
  </r>
  <r>
    <x v="13"/>
    <s v="South"/>
    <x v="4"/>
    <x v="5"/>
    <x v="1"/>
    <s v="SGD"/>
    <d v="2023-06-14T00:00:00"/>
    <d v="2023-07-12T00:00:00"/>
    <n v="3185.92"/>
    <n v="1.1171"/>
    <n v="3558.99"/>
    <n v="966167"/>
    <n v="38846"/>
    <n v="11256.15"/>
    <n v="2023"/>
    <s v="June"/>
    <s v="Q2"/>
    <s v="USA | DEF | GHI"/>
    <n v="4.0206299739072027E-2"/>
    <n v="3.1627371810541756"/>
    <x v="0"/>
  </r>
  <r>
    <x v="58"/>
    <s v="North"/>
    <x v="2"/>
    <x v="3"/>
    <x v="1"/>
    <s v="SGD"/>
    <d v="2023-06-14T00:00:00"/>
    <d v="2023-06-30T00:00:00"/>
    <n v="11818.61"/>
    <n v="1.0034000000000001"/>
    <n v="11858.79"/>
    <n v="213765"/>
    <n v="7611"/>
    <n v="49432.71"/>
    <n v="2023"/>
    <s v="June"/>
    <s v="Q2"/>
    <s v="Australia | ABC | BCD"/>
    <n v="3.5604518981124135E-2"/>
    <n v="4.1684446726858297"/>
    <x v="0"/>
  </r>
  <r>
    <x v="4"/>
    <s v="West"/>
    <x v="4"/>
    <x v="2"/>
    <x v="0"/>
    <s v="USD"/>
    <d v="2023-06-16T00:00:00"/>
    <d v="2023-08-15T00:00:00"/>
    <n v="8085.76"/>
    <n v="0.92530000000000001"/>
    <n v="7481.75"/>
    <n v="63802"/>
    <n v="27597"/>
    <n v="80475.240000000005"/>
    <n v="2023"/>
    <s v="June"/>
    <s v="Q2"/>
    <s v="India | XYZ | PQR | TEST"/>
    <n v="0.43254129964577914"/>
    <n v="10.756205433220838"/>
    <x v="0"/>
  </r>
  <r>
    <x v="12"/>
    <s v="South"/>
    <x v="0"/>
    <x v="4"/>
    <x v="2"/>
    <s v="USD"/>
    <d v="2023-06-16T00:00:00"/>
    <d v="2023-07-25T00:00:00"/>
    <n v="6216.76"/>
    <n v="0.26219999999999999"/>
    <n v="1630.03"/>
    <n v="21510"/>
    <n v="49679"/>
    <n v="227873.32"/>
    <n v="2023"/>
    <s v="June"/>
    <s v="Q2"/>
    <s v="Australia | ABC | BCD"/>
    <n v="2.3095769409576943"/>
    <n v="139.79700987098397"/>
    <x v="0"/>
  </r>
  <r>
    <x v="26"/>
    <s v="North"/>
    <x v="4"/>
    <x v="4"/>
    <x v="2"/>
    <s v="INR"/>
    <d v="2023-06-16T00:00:00"/>
    <d v="2023-07-19T00:00:00"/>
    <n v="4611.76"/>
    <n v="1.0165"/>
    <n v="4687.8500000000004"/>
    <n v="319234"/>
    <n v="1415"/>
    <n v="83085.64"/>
    <n v="2023"/>
    <s v="June"/>
    <s v="Q2"/>
    <s v="Australia | ABC | BCD"/>
    <n v="4.4324852615949427E-3"/>
    <n v="17.723613170216623"/>
    <x v="0"/>
  </r>
  <r>
    <x v="13"/>
    <s v="South"/>
    <x v="2"/>
    <x v="2"/>
    <x v="0"/>
    <s v="INR"/>
    <d v="2023-06-16T00:00:00"/>
    <d v="2023-07-14T00:00:00"/>
    <n v="18408.259999999998"/>
    <n v="0.8075"/>
    <n v="14864.67"/>
    <n v="745911"/>
    <n v="44896"/>
    <n v="163768.67000000001"/>
    <n v="2023"/>
    <s v="June"/>
    <s v="Q2"/>
    <s v="UK | JKL | MNO | PQR"/>
    <n v="6.0189486413258421E-2"/>
    <n v="11.017309499639078"/>
    <x v="0"/>
  </r>
  <r>
    <x v="37"/>
    <s v="South"/>
    <x v="4"/>
    <x v="2"/>
    <x v="0"/>
    <s v="USD"/>
    <d v="2023-06-17T00:00:00"/>
    <d v="2023-07-23T00:00:00"/>
    <n v="47697.79"/>
    <n v="0.63239999999999996"/>
    <n v="30164.080000000002"/>
    <n v="831021"/>
    <n v="47336"/>
    <n v="68515.509999999995"/>
    <n v="2023"/>
    <s v="June"/>
    <s v="Q2"/>
    <s v="USA | DEF | GHI"/>
    <n v="5.6961256093407991E-2"/>
    <n v="2.2714271411559706"/>
    <x v="0"/>
  </r>
  <r>
    <x v="31"/>
    <s v="South"/>
    <x v="3"/>
    <x v="0"/>
    <x v="0"/>
    <s v="GBP"/>
    <d v="2023-06-17T00:00:00"/>
    <d v="2023-07-04T00:00:00"/>
    <n v="12087.38"/>
    <n v="0.49619999999999997"/>
    <n v="5997.76"/>
    <n v="25743"/>
    <n v="17785"/>
    <n v="237798.52"/>
    <n v="2023"/>
    <s v="June"/>
    <s v="Q2"/>
    <s v="UK | JKL | MNO | PQR"/>
    <n v="0.69086742026958781"/>
    <n v="39.647888545056816"/>
    <x v="0"/>
  </r>
  <r>
    <x v="29"/>
    <s v="North"/>
    <x v="0"/>
    <x v="1"/>
    <x v="1"/>
    <s v="INR"/>
    <d v="2023-06-18T00:00:00"/>
    <d v="2023-07-26T00:00:00"/>
    <n v="36038.99"/>
    <n v="0.57389999999999997"/>
    <n v="20682.78"/>
    <n v="343120"/>
    <n v="27382"/>
    <n v="48910.32"/>
    <n v="2023"/>
    <s v="June"/>
    <s v="Q2"/>
    <s v="India | XYZ | PQR | TEST"/>
    <n v="7.9802984378643041E-2"/>
    <n v="2.3647846179285379"/>
    <x v="0"/>
  </r>
  <r>
    <x v="40"/>
    <s v="East"/>
    <x v="2"/>
    <x v="1"/>
    <x v="0"/>
    <s v="INR"/>
    <d v="2023-06-18T00:00:00"/>
    <d v="2023-06-26T00:00:00"/>
    <n v="40363.620000000003"/>
    <n v="0.77949999999999997"/>
    <n v="31463.439999999999"/>
    <n v="214189"/>
    <n v="17789"/>
    <n v="31558.22"/>
    <n v="2023"/>
    <s v="June"/>
    <s v="Q2"/>
    <s v="USA | DEF | GHI"/>
    <n v="8.3052817838451087E-2"/>
    <n v="1.0030123851683097"/>
    <x v="0"/>
  </r>
  <r>
    <x v="49"/>
    <s v="East"/>
    <x v="2"/>
    <x v="5"/>
    <x v="0"/>
    <s v="AUD"/>
    <d v="2023-06-19T00:00:00"/>
    <d v="2023-08-02T00:00:00"/>
    <n v="7822.51"/>
    <n v="0.25590000000000002"/>
    <n v="2001.78"/>
    <n v="226995"/>
    <n v="3990"/>
    <n v="144668.21"/>
    <n v="2023"/>
    <s v="June"/>
    <s v="Q2"/>
    <s v="USA | DEF | GHI"/>
    <n v="1.7577479680169168E-2"/>
    <n v="72.269784891446605"/>
    <x v="0"/>
  </r>
  <r>
    <x v="33"/>
    <s v="South"/>
    <x v="1"/>
    <x v="0"/>
    <x v="0"/>
    <s v="SGD"/>
    <d v="2023-06-21T00:00:00"/>
    <d v="2023-08-14T00:00:00"/>
    <n v="27360.77"/>
    <n v="1.8700000000000001E-2"/>
    <n v="511.65"/>
    <n v="78652"/>
    <n v="13913"/>
    <n v="169232.11"/>
    <n v="2023"/>
    <s v="June"/>
    <s v="Q2"/>
    <s v="UK | JKL | MNO | PQR"/>
    <n v="0.17689314957025887"/>
    <n v="330.75756865044463"/>
    <x v="0"/>
  </r>
  <r>
    <x v="43"/>
    <s v="South"/>
    <x v="4"/>
    <x v="4"/>
    <x v="0"/>
    <s v="AUD"/>
    <d v="2023-06-22T00:00:00"/>
    <d v="2023-08-02T00:00:00"/>
    <n v="22224.66"/>
    <n v="0.87209999999999999"/>
    <n v="19382.13"/>
    <n v="530226"/>
    <n v="2032"/>
    <n v="98768.71"/>
    <n v="2023"/>
    <s v="June"/>
    <s v="Q2"/>
    <s v="USA | DEF | GHI"/>
    <n v="3.8323281016019585E-3"/>
    <n v="5.0958645927975921"/>
    <x v="0"/>
  </r>
  <r>
    <x v="52"/>
    <s v="North"/>
    <x v="2"/>
    <x v="4"/>
    <x v="1"/>
    <s v="USD"/>
    <d v="2023-06-24T00:00:00"/>
    <d v="2023-08-03T00:00:00"/>
    <n v="10494.74"/>
    <n v="0.88919999999999999"/>
    <n v="9331.92"/>
    <n v="714827"/>
    <n v="44820"/>
    <n v="152728.26999999999"/>
    <n v="2023"/>
    <s v="June"/>
    <s v="Q2"/>
    <s v="India | XYZ | PQR | TEST"/>
    <n v="6.2700485572033518E-2"/>
    <n v="16.366221527831357"/>
    <x v="0"/>
  </r>
  <r>
    <x v="59"/>
    <s v="North"/>
    <x v="3"/>
    <x v="3"/>
    <x v="1"/>
    <s v="GBP"/>
    <d v="2023-06-25T00:00:00"/>
    <d v="2023-08-20T00:00:00"/>
    <n v="47433.1"/>
    <n v="0.5575"/>
    <n v="26443.95"/>
    <n v="733108"/>
    <n v="23814"/>
    <n v="26591.82"/>
    <n v="2023"/>
    <s v="June"/>
    <s v="Q2"/>
    <s v="Australia | ABC | BCD"/>
    <n v="3.248361769343671E-2"/>
    <n v="1.005591827242148"/>
    <x v="0"/>
  </r>
  <r>
    <x v="51"/>
    <s v="West"/>
    <x v="3"/>
    <x v="5"/>
    <x v="0"/>
    <s v="SGD"/>
    <d v="2023-06-25T00:00:00"/>
    <d v="2023-08-19T00:00:00"/>
    <n v="13740.37"/>
    <n v="0.58620000000000005"/>
    <n v="8054.6"/>
    <n v="312143"/>
    <n v="3201"/>
    <n v="41342.89"/>
    <n v="2023"/>
    <s v="June"/>
    <s v="Q2"/>
    <s v="USA | DEF | GHI"/>
    <n v="1.0254915215141778E-2"/>
    <n v="5.132829687383607"/>
    <x v="0"/>
  </r>
  <r>
    <x v="2"/>
    <s v="West"/>
    <x v="0"/>
    <x v="3"/>
    <x v="0"/>
    <s v="INR"/>
    <d v="2023-06-25T00:00:00"/>
    <d v="2023-07-20T00:00:00"/>
    <n v="43125.66"/>
    <n v="0.49890000000000001"/>
    <n v="21515.39"/>
    <n v="174663"/>
    <n v="7357"/>
    <n v="36638.730000000003"/>
    <n v="2023"/>
    <s v="June"/>
    <s v="Q2"/>
    <s v="India | XYZ | PQR | TEST"/>
    <n v="4.212111322947619E-2"/>
    <n v="1.7029080114280988"/>
    <x v="0"/>
  </r>
  <r>
    <x v="37"/>
    <s v="South"/>
    <x v="1"/>
    <x v="3"/>
    <x v="1"/>
    <s v="INR"/>
    <d v="2023-06-27T00:00:00"/>
    <d v="2023-08-14T00:00:00"/>
    <n v="30058"/>
    <n v="0.39979999999999999"/>
    <n v="12017.19"/>
    <n v="305485"/>
    <n v="13119"/>
    <n v="25677.74"/>
    <n v="2023"/>
    <s v="June"/>
    <s v="Q2"/>
    <s v="Australia | ABC | BCD"/>
    <n v="4.2944825441511042E-2"/>
    <n v="2.1367507711869416"/>
    <x v="0"/>
  </r>
  <r>
    <x v="47"/>
    <s v="East"/>
    <x v="3"/>
    <x v="4"/>
    <x v="1"/>
    <s v="GBP"/>
    <d v="2023-06-27T00:00:00"/>
    <d v="2023-07-14T00:00:00"/>
    <n v="34665.82"/>
    <n v="1.0659000000000001"/>
    <n v="36950.300000000003"/>
    <n v="304736"/>
    <n v="25844"/>
    <n v="30209.18"/>
    <n v="2023"/>
    <s v="June"/>
    <s v="Q2"/>
    <s v="UK | JKL | MNO | PQR"/>
    <n v="8.4807833665861601E-2"/>
    <n v="0.81756250964132893"/>
    <x v="0"/>
  </r>
  <r>
    <x v="12"/>
    <s v="North"/>
    <x v="3"/>
    <x v="1"/>
    <x v="0"/>
    <s v="USD"/>
    <d v="2023-06-28T00:00:00"/>
    <d v="2023-07-17T00:00:00"/>
    <n v="44383.73"/>
    <n v="0.86539999999999995"/>
    <n v="38409.68"/>
    <n v="366324"/>
    <n v="36440"/>
    <n v="65261.24"/>
    <n v="2023"/>
    <s v="June"/>
    <s v="Q2"/>
    <s v="India | XYZ | PQR | TEST"/>
    <n v="9.947478188707265E-2"/>
    <n v="1.6990831477898278"/>
    <x v="0"/>
  </r>
  <r>
    <x v="49"/>
    <s v="East"/>
    <x v="0"/>
    <x v="1"/>
    <x v="1"/>
    <s v="GBP"/>
    <d v="2023-06-29T00:00:00"/>
    <d v="2023-07-17T00:00:00"/>
    <n v="48526.25"/>
    <n v="0.53300000000000003"/>
    <n v="25864.49"/>
    <n v="276659"/>
    <n v="38732"/>
    <n v="18701.72"/>
    <n v="2023"/>
    <s v="June"/>
    <s v="Q2"/>
    <s v="UK | JKL | MNO | PQR"/>
    <n v="0.13999906021492162"/>
    <n v="0.72306548476308641"/>
    <x v="0"/>
  </r>
  <r>
    <x v="3"/>
    <s v="West"/>
    <x v="1"/>
    <x v="5"/>
    <x v="2"/>
    <s v="INR"/>
    <d v="2023-06-30T00:00:00"/>
    <d v="2023-08-03T00:00:00"/>
    <n v="47859.46"/>
    <n v="0.79610000000000003"/>
    <n v="38100.92"/>
    <n v="374462"/>
    <n v="45776"/>
    <n v="102531.88"/>
    <n v="2023"/>
    <s v="June"/>
    <s v="Q2"/>
    <s v="Australia | ABC | BCD"/>
    <n v="0.1222447137493257"/>
    <n v="2.6910604783296574"/>
    <x v="0"/>
  </r>
  <r>
    <x v="21"/>
    <s v="East"/>
    <x v="2"/>
    <x v="5"/>
    <x v="0"/>
    <s v="SGD"/>
    <d v="2023-06-30T00:00:00"/>
    <d v="2023-07-20T00:00:00"/>
    <n v="30033.46"/>
    <n v="0.96940000000000004"/>
    <n v="29114.44"/>
    <n v="741514"/>
    <n v="23613"/>
    <n v="228925.1"/>
    <n v="2023"/>
    <s v="June"/>
    <s v="Q2"/>
    <s v="India | XYZ | PQR | TEST"/>
    <n v="3.1844307727163616E-2"/>
    <n v="7.8629401767645204"/>
    <x v="0"/>
  </r>
  <r>
    <x v="56"/>
    <s v="South"/>
    <x v="4"/>
    <x v="4"/>
    <x v="0"/>
    <s v="SGD"/>
    <d v="2023-07-02T00:00:00"/>
    <d v="2023-07-31T00:00:00"/>
    <n v="19300.77"/>
    <n v="0.55469999999999997"/>
    <n v="10706.14"/>
    <n v="213586"/>
    <n v="41520"/>
    <n v="92854.6"/>
    <n v="2023"/>
    <s v="July"/>
    <s v="Q3"/>
    <s v="Australia | ABC | BCD"/>
    <n v="0.19439476370174075"/>
    <n v="8.6730231437287397"/>
    <x v="0"/>
  </r>
  <r>
    <x v="57"/>
    <s v="North"/>
    <x v="1"/>
    <x v="2"/>
    <x v="0"/>
    <s v="INR"/>
    <d v="2023-07-03T00:00:00"/>
    <d v="2023-08-16T00:00:00"/>
    <n v="36928.949999999997"/>
    <n v="0.55479999999999996"/>
    <n v="20488.18"/>
    <n v="965077"/>
    <n v="43293"/>
    <n v="49943.86"/>
    <n v="2023"/>
    <s v="July"/>
    <s v="Q3"/>
    <s v="India | XYZ | PQR | TEST"/>
    <n v="4.4859632961929463E-2"/>
    <n v="2.4376913908409628"/>
    <x v="0"/>
  </r>
  <r>
    <x v="30"/>
    <s v="South"/>
    <x v="0"/>
    <x v="0"/>
    <x v="0"/>
    <s v="GBP"/>
    <d v="2023-07-03T00:00:00"/>
    <d v="2023-08-06T00:00:00"/>
    <n v="29925.46"/>
    <n v="0.85799999999999998"/>
    <n v="25676.04"/>
    <n v="221741"/>
    <n v="29898"/>
    <n v="27094.02"/>
    <n v="2023"/>
    <s v="July"/>
    <s v="Q3"/>
    <s v="USA | DEF | GHI"/>
    <n v="0.13483298081996564"/>
    <n v="1.0552258058485655"/>
    <x v="0"/>
  </r>
  <r>
    <x v="29"/>
    <s v="East"/>
    <x v="2"/>
    <x v="3"/>
    <x v="1"/>
    <s v="SGD"/>
    <d v="2023-07-03T00:00:00"/>
    <d v="2023-07-28T00:00:00"/>
    <n v="35911.86"/>
    <n v="0.63529999999999998"/>
    <n v="22814.799999999999"/>
    <n v="516773"/>
    <n v="47000"/>
    <n v="239159.21"/>
    <n v="2023"/>
    <s v="July"/>
    <s v="Q3"/>
    <s v="Australia | ABC | BCD"/>
    <n v="9.0949024039568629E-2"/>
    <n v="10.482634517944492"/>
    <x v="0"/>
  </r>
  <r>
    <x v="36"/>
    <s v="North"/>
    <x v="4"/>
    <x v="0"/>
    <x v="1"/>
    <s v="SGD"/>
    <d v="2023-07-04T00:00:00"/>
    <d v="2023-07-22T00:00:00"/>
    <n v="17744.88"/>
    <n v="0.92169999999999996"/>
    <n v="16355.46"/>
    <n v="211332"/>
    <n v="14946"/>
    <n v="249994.27"/>
    <n v="2023"/>
    <s v="July"/>
    <s v="Q3"/>
    <s v="Australia | ABC | BCD"/>
    <n v="7.0722843677247169E-2"/>
    <n v="15.285065048613735"/>
    <x v="0"/>
  </r>
  <r>
    <x v="19"/>
    <s v="East"/>
    <x v="0"/>
    <x v="4"/>
    <x v="2"/>
    <s v="GBP"/>
    <d v="2023-07-05T00:00:00"/>
    <d v="2023-08-16T00:00:00"/>
    <n v="22358.36"/>
    <n v="0.97899999999999998"/>
    <n v="21888.83"/>
    <n v="105674"/>
    <n v="30902"/>
    <n v="90250.46"/>
    <n v="2023"/>
    <s v="July"/>
    <s v="Q3"/>
    <s v="UK | JKL | MNO | PQR"/>
    <n v="0.29242765486306943"/>
    <n v="4.1231285546098171"/>
    <x v="0"/>
  </r>
  <r>
    <x v="44"/>
    <s v="North"/>
    <x v="4"/>
    <x v="5"/>
    <x v="0"/>
    <s v="GBP"/>
    <d v="2023-07-06T00:00:00"/>
    <d v="2023-07-22T00:00:00"/>
    <n v="42127.25"/>
    <n v="0.83450000000000002"/>
    <n v="35155.19"/>
    <n v="708724"/>
    <n v="10158"/>
    <n v="44507.4"/>
    <n v="2023"/>
    <s v="July"/>
    <s v="Q3"/>
    <s v="USA | DEF | GHI"/>
    <n v="1.4332800921091991E-2"/>
    <n v="1.2660264387704916"/>
    <x v="0"/>
  </r>
  <r>
    <x v="17"/>
    <s v="West"/>
    <x v="3"/>
    <x v="3"/>
    <x v="1"/>
    <s v="SGD"/>
    <d v="2023-07-07T00:00:00"/>
    <d v="2023-08-04T00:00:00"/>
    <n v="34978.39"/>
    <n v="0.6179"/>
    <n v="21613.15"/>
    <n v="448555"/>
    <n v="39187"/>
    <n v="38777.49"/>
    <n v="2023"/>
    <s v="July"/>
    <s v="Q3"/>
    <s v="India | XYZ | PQR | TEST"/>
    <n v="8.7362753731426476E-2"/>
    <n v="1.7941618875545673"/>
    <x v="0"/>
  </r>
  <r>
    <x v="23"/>
    <s v="North"/>
    <x v="3"/>
    <x v="4"/>
    <x v="2"/>
    <s v="USD"/>
    <d v="2023-07-08T00:00:00"/>
    <d v="2023-09-05T00:00:00"/>
    <n v="2131.9499999999998"/>
    <n v="0.876"/>
    <n v="1867.59"/>
    <n v="704180"/>
    <n v="16591"/>
    <n v="235407.15"/>
    <n v="2023"/>
    <s v="July"/>
    <s v="Q3"/>
    <s v="Australia | ABC | BCD"/>
    <n v="2.3560737311482859E-2"/>
    <n v="126.04862416269096"/>
    <x v="0"/>
  </r>
  <r>
    <x v="2"/>
    <s v="West"/>
    <x v="4"/>
    <x v="3"/>
    <x v="1"/>
    <s v="AUD"/>
    <d v="2023-07-08T00:00:00"/>
    <d v="2023-08-02T00:00:00"/>
    <n v="42136.6"/>
    <n v="0.1832"/>
    <n v="7719.43"/>
    <n v="40915"/>
    <n v="20985"/>
    <n v="220632.32000000001"/>
    <n v="2023"/>
    <s v="July"/>
    <s v="Q3"/>
    <s v="India | XYZ | PQR | TEST"/>
    <n v="0.51289258218257361"/>
    <n v="28.581426348836636"/>
    <x v="0"/>
  </r>
  <r>
    <x v="20"/>
    <s v="East"/>
    <x v="3"/>
    <x v="1"/>
    <x v="1"/>
    <s v="USD"/>
    <d v="2023-07-09T00:00:00"/>
    <d v="2023-08-06T00:00:00"/>
    <n v="44389.14"/>
    <n v="0.4496"/>
    <n v="19957.36"/>
    <n v="477429"/>
    <n v="3024"/>
    <n v="69507.509999999995"/>
    <n v="2023"/>
    <s v="July"/>
    <s v="Q3"/>
    <s v="India | XYZ | PQR | TEST"/>
    <n v="6.3339260916282841E-3"/>
    <n v="3.4828008313724856"/>
    <x v="0"/>
  </r>
  <r>
    <x v="32"/>
    <s v="East"/>
    <x v="4"/>
    <x v="5"/>
    <x v="1"/>
    <s v="INR"/>
    <d v="2023-07-10T00:00:00"/>
    <d v="2023-07-30T00:00:00"/>
    <n v="7745.96"/>
    <n v="6.2399999999999997E-2"/>
    <n v="483.35"/>
    <n v="143882"/>
    <n v="20525"/>
    <n v="148207.96"/>
    <n v="2023"/>
    <s v="July"/>
    <s v="Q3"/>
    <s v="India | XYZ | PQR | TEST"/>
    <n v="0.14265161729750769"/>
    <n v="306.62658529016238"/>
    <x v="0"/>
  </r>
  <r>
    <x v="7"/>
    <s v="West"/>
    <x v="0"/>
    <x v="3"/>
    <x v="1"/>
    <s v="INR"/>
    <d v="2023-07-11T00:00:00"/>
    <d v="2023-08-16T00:00:00"/>
    <n v="34911.360000000001"/>
    <n v="0.4471"/>
    <n v="15608.87"/>
    <n v="846020"/>
    <n v="34131"/>
    <n v="70346.570000000007"/>
    <n v="2023"/>
    <s v="July"/>
    <s v="Q3"/>
    <s v="USA | DEF | GHI"/>
    <n v="4.0343017895558025E-2"/>
    <n v="4.5068329738155297"/>
    <x v="0"/>
  </r>
  <r>
    <x v="53"/>
    <s v="North"/>
    <x v="1"/>
    <x v="0"/>
    <x v="2"/>
    <s v="SGD"/>
    <d v="2023-07-11T00:00:00"/>
    <d v="2023-07-28T00:00:00"/>
    <n v="4405.0600000000004"/>
    <n v="1.1559999999999999"/>
    <n v="5092.25"/>
    <n v="307604"/>
    <n v="13593"/>
    <n v="62094.66"/>
    <n v="2023"/>
    <s v="July"/>
    <s v="Q3"/>
    <s v="Australia | ABC | BCD"/>
    <n v="4.4189932510630553E-2"/>
    <n v="12.193953556875645"/>
    <x v="0"/>
  </r>
  <r>
    <x v="35"/>
    <s v="South"/>
    <x v="3"/>
    <x v="5"/>
    <x v="2"/>
    <s v="USD"/>
    <d v="2023-07-11T00:00:00"/>
    <d v="2023-07-27T00:00:00"/>
    <n v="37018.89"/>
    <n v="0.152"/>
    <n v="5626.87"/>
    <n v="52608"/>
    <n v="28182"/>
    <n v="73382.5"/>
    <n v="2023"/>
    <s v="July"/>
    <s v="Q3"/>
    <s v="USA | DEF | GHI"/>
    <n v="0.53569799270072993"/>
    <n v="13.041442222763278"/>
    <x v="0"/>
  </r>
  <r>
    <x v="58"/>
    <s v="East"/>
    <x v="0"/>
    <x v="3"/>
    <x v="1"/>
    <s v="GBP"/>
    <d v="2023-07-11T00:00:00"/>
    <d v="2023-07-26T00:00:00"/>
    <n v="18748.919999999998"/>
    <n v="0.86360000000000003"/>
    <n v="16191.57"/>
    <n v="134078"/>
    <n v="43426"/>
    <n v="61434.85"/>
    <n v="2023"/>
    <s v="July"/>
    <s v="Q3"/>
    <s v="UK | JKL | MNO | PQR"/>
    <n v="0.32388609615298558"/>
    <n v="3.79424910617068"/>
    <x v="0"/>
  </r>
  <r>
    <x v="48"/>
    <s v="East"/>
    <x v="4"/>
    <x v="4"/>
    <x v="1"/>
    <s v="SGD"/>
    <d v="2023-07-12T00:00:00"/>
    <d v="2023-07-26T00:00:00"/>
    <n v="15685.75"/>
    <n v="1.0007999999999999"/>
    <n v="15698.3"/>
    <n v="150727"/>
    <n v="39562"/>
    <n v="140257.29999999999"/>
    <n v="2023"/>
    <s v="July"/>
    <s v="Q3"/>
    <s v="UK | JKL | MNO | PQR"/>
    <n v="0.2624745400624971"/>
    <n v="8.9345534229821055"/>
    <x v="0"/>
  </r>
  <r>
    <x v="1"/>
    <s v="West"/>
    <x v="0"/>
    <x v="3"/>
    <x v="2"/>
    <s v="SGD"/>
    <d v="2023-07-13T00:00:00"/>
    <d v="2023-09-10T00:00:00"/>
    <n v="4410.8500000000004"/>
    <n v="1.0108999999999999"/>
    <n v="4458.93"/>
    <n v="508783"/>
    <n v="44607"/>
    <n v="95023.14"/>
    <n v="2023"/>
    <s v="July"/>
    <s v="Q3"/>
    <s v="Australia | ABC | BCD"/>
    <n v="8.7673919922638927E-2"/>
    <n v="21.310749439888042"/>
    <x v="0"/>
  </r>
  <r>
    <x v="10"/>
    <s v="North"/>
    <x v="3"/>
    <x v="4"/>
    <x v="1"/>
    <s v="GBP"/>
    <d v="2023-07-14T00:00:00"/>
    <d v="2023-09-10T00:00:00"/>
    <n v="28350.34"/>
    <n v="1.0067999999999999"/>
    <n v="28543.119999999999"/>
    <n v="666493"/>
    <n v="2435"/>
    <n v="237549.72"/>
    <n v="2023"/>
    <s v="July"/>
    <s v="Q3"/>
    <s v="India | XYZ | PQR | TEST"/>
    <n v="3.6534517241741476E-3"/>
    <n v="8.3224861192469497"/>
    <x v="0"/>
  </r>
  <r>
    <x v="32"/>
    <s v="West"/>
    <x v="0"/>
    <x v="2"/>
    <x v="0"/>
    <s v="SGD"/>
    <d v="2023-07-15T00:00:00"/>
    <d v="2023-07-21T00:00:00"/>
    <n v="22610.89"/>
    <n v="0.50829999999999997"/>
    <n v="11493.12"/>
    <n v="443020"/>
    <n v="45352"/>
    <n v="54953.46"/>
    <n v="2023"/>
    <s v="July"/>
    <s v="Q3"/>
    <s v="India | XYZ | PQR | TEST"/>
    <n v="0.10237009615818699"/>
    <n v="4.7814222769796189"/>
    <x v="0"/>
  </r>
  <r>
    <x v="15"/>
    <s v="South"/>
    <x v="1"/>
    <x v="1"/>
    <x v="2"/>
    <s v="AUD"/>
    <d v="2023-07-16T00:00:00"/>
    <d v="2023-08-05T00:00:00"/>
    <n v="14671.31"/>
    <n v="0.36520000000000002"/>
    <n v="5357.96"/>
    <n v="997219"/>
    <n v="19604"/>
    <n v="193937.7"/>
    <n v="2023"/>
    <s v="July"/>
    <s v="Q3"/>
    <s v="USA | DEF | GHI"/>
    <n v="1.9658670763392994E-2"/>
    <n v="36.196182875572049"/>
    <x v="0"/>
  </r>
  <r>
    <x v="10"/>
    <s v="West"/>
    <x v="3"/>
    <x v="3"/>
    <x v="2"/>
    <s v="SGD"/>
    <d v="2023-07-17T00:00:00"/>
    <d v="2023-08-30T00:00:00"/>
    <n v="32577.279999999999"/>
    <n v="0.996"/>
    <n v="32446.97"/>
    <n v="850257"/>
    <n v="37970"/>
    <n v="110130.1"/>
    <n v="2023"/>
    <s v="July"/>
    <s v="Q3"/>
    <s v="India | XYZ | PQR | TEST"/>
    <n v="4.4657086033987374E-2"/>
    <n v="3.3941566808857653"/>
    <x v="0"/>
  </r>
  <r>
    <x v="9"/>
    <s v="North"/>
    <x v="4"/>
    <x v="4"/>
    <x v="1"/>
    <s v="USD"/>
    <d v="2023-07-19T00:00:00"/>
    <d v="2023-07-26T00:00:00"/>
    <n v="39414.01"/>
    <n v="0.61760000000000004"/>
    <n v="24342.09"/>
    <n v="742377"/>
    <n v="15282"/>
    <n v="155721.54999999999"/>
    <n v="2023"/>
    <s v="July"/>
    <s v="Q3"/>
    <s v="India | XYZ | PQR | TEST"/>
    <n v="2.0585228260034994E-2"/>
    <n v="6.3972136328474667"/>
    <x v="0"/>
  </r>
  <r>
    <x v="28"/>
    <s v="South"/>
    <x v="2"/>
    <x v="5"/>
    <x v="1"/>
    <s v="AUD"/>
    <d v="2023-07-20T00:00:00"/>
    <d v="2023-08-03T00:00:00"/>
    <n v="40201.839999999997"/>
    <n v="0.88890000000000002"/>
    <n v="35735.42"/>
    <n v="505962"/>
    <n v="738"/>
    <n v="48268.78"/>
    <n v="2023"/>
    <s v="July"/>
    <s v="Q3"/>
    <s v="UK | JKL | MNO | PQR"/>
    <n v="1.4586075634138531E-3"/>
    <n v="1.3507265340662009"/>
    <x v="0"/>
  </r>
  <r>
    <x v="53"/>
    <s v="South"/>
    <x v="1"/>
    <x v="1"/>
    <x v="2"/>
    <s v="USD"/>
    <d v="2023-07-24T00:00:00"/>
    <d v="2023-09-19T00:00:00"/>
    <n v="46004.14"/>
    <n v="0.42609999999999998"/>
    <n v="19602.36"/>
    <n v="870394"/>
    <n v="15015"/>
    <n v="59616.27"/>
    <n v="2023"/>
    <s v="July"/>
    <s v="Q3"/>
    <s v="USA | DEF | GHI"/>
    <n v="1.7250808254652489E-2"/>
    <n v="3.041280233604525"/>
    <x v="0"/>
  </r>
  <r>
    <x v="7"/>
    <s v="East"/>
    <x v="4"/>
    <x v="2"/>
    <x v="0"/>
    <s v="SGD"/>
    <d v="2023-07-24T00:00:00"/>
    <d v="2023-08-05T00:00:00"/>
    <n v="7650.69"/>
    <n v="9.8100000000000007E-2"/>
    <n v="750.53"/>
    <n v="191043"/>
    <n v="46851"/>
    <n v="114052.24"/>
    <n v="2023"/>
    <s v="July"/>
    <s v="Q3"/>
    <s v="USA | DEF | GHI"/>
    <n v="0.24523798307187386"/>
    <n v="151.96226666489017"/>
    <x v="0"/>
  </r>
  <r>
    <x v="35"/>
    <s v="North"/>
    <x v="4"/>
    <x v="5"/>
    <x v="2"/>
    <s v="INR"/>
    <d v="2023-07-26T00:00:00"/>
    <d v="2023-08-31T00:00:00"/>
    <n v="32136.77"/>
    <n v="1.1692"/>
    <n v="37574.31"/>
    <n v="88979"/>
    <n v="35216"/>
    <n v="57449.63"/>
    <n v="2023"/>
    <s v="July"/>
    <s v="Q3"/>
    <s v="Australia | ABC | BCD"/>
    <n v="0.39577877926252264"/>
    <n v="1.5289603455126655"/>
    <x v="0"/>
  </r>
  <r>
    <x v="24"/>
    <s v="North"/>
    <x v="0"/>
    <x v="3"/>
    <x v="0"/>
    <s v="GBP"/>
    <d v="2023-07-26T00:00:00"/>
    <d v="2023-08-18T00:00:00"/>
    <n v="33442.57"/>
    <n v="0.59340000000000004"/>
    <n v="19844.82"/>
    <n v="284375"/>
    <n v="35649"/>
    <n v="89185.83"/>
    <n v="2023"/>
    <s v="July"/>
    <s v="Q3"/>
    <s v="UK | JKL | MNO | PQR"/>
    <n v="0.12535912087912088"/>
    <n v="4.494161700635229"/>
    <x v="0"/>
  </r>
  <r>
    <x v="50"/>
    <s v="West"/>
    <x v="4"/>
    <x v="0"/>
    <x v="1"/>
    <s v="INR"/>
    <d v="2023-07-26T00:00:00"/>
    <d v="2023-08-02T00:00:00"/>
    <n v="39764.35"/>
    <n v="1.0641"/>
    <n v="42313.24"/>
    <n v="340926"/>
    <n v="20421"/>
    <n v="131268.98000000001"/>
    <n v="2023"/>
    <s v="July"/>
    <s v="Q3"/>
    <s v="USA | DEF | GHI"/>
    <n v="5.9898629028000208E-2"/>
    <n v="3.1023145474088021"/>
    <x v="0"/>
  </r>
  <r>
    <x v="46"/>
    <s v="East"/>
    <x v="2"/>
    <x v="3"/>
    <x v="2"/>
    <s v="GBP"/>
    <d v="2023-07-26T00:00:00"/>
    <d v="2023-07-31T00:00:00"/>
    <n v="49563.17"/>
    <n v="0.54039999999999999"/>
    <n v="26783.94"/>
    <n v="874637"/>
    <n v="26264"/>
    <n v="153187.91"/>
    <n v="2023"/>
    <s v="July"/>
    <s v="Q3"/>
    <s v="Australia | ABC | BCD"/>
    <n v="3.0028457520091194E-2"/>
    <n v="5.7193941593357813"/>
    <x v="0"/>
  </r>
  <r>
    <x v="49"/>
    <s v="North"/>
    <x v="2"/>
    <x v="3"/>
    <x v="0"/>
    <s v="INR"/>
    <d v="2023-07-27T00:00:00"/>
    <d v="2023-08-01T00:00:00"/>
    <n v="31505.46"/>
    <n v="0.31119999999999998"/>
    <n v="9804.5"/>
    <n v="490921"/>
    <n v="32712"/>
    <n v="214575.71"/>
    <n v="2023"/>
    <s v="July"/>
    <s v="Q3"/>
    <s v="UK | JKL | MNO | PQR"/>
    <n v="6.6633939065552303E-2"/>
    <n v="21.885431179560406"/>
    <x v="0"/>
  </r>
  <r>
    <x v="42"/>
    <s v="West"/>
    <x v="4"/>
    <x v="0"/>
    <x v="0"/>
    <s v="GBP"/>
    <d v="2023-07-29T00:00:00"/>
    <d v="2023-09-14T00:00:00"/>
    <n v="36093.4"/>
    <n v="0.29399999999999998"/>
    <n v="10611.46"/>
    <n v="425011"/>
    <n v="8677"/>
    <n v="169564.1"/>
    <n v="2023"/>
    <s v="July"/>
    <s v="Q3"/>
    <s v="Australia | ABC | BCD"/>
    <n v="2.0415942175614279E-2"/>
    <n v="15.979337433303241"/>
    <x v="0"/>
  </r>
  <r>
    <x v="57"/>
    <s v="South"/>
    <x v="3"/>
    <x v="0"/>
    <x v="2"/>
    <s v="SGD"/>
    <d v="2023-07-31T00:00:00"/>
    <d v="2023-09-08T00:00:00"/>
    <n v="18165.59"/>
    <n v="0.38900000000000001"/>
    <n v="7066.41"/>
    <n v="158433"/>
    <n v="46260"/>
    <n v="201980.7"/>
    <n v="2023"/>
    <s v="July"/>
    <s v="Q3"/>
    <s v="USA | DEF | GHI"/>
    <n v="0.29198462441536799"/>
    <n v="28.583212692159105"/>
    <x v="0"/>
  </r>
  <r>
    <x v="45"/>
    <s v="West"/>
    <x v="1"/>
    <x v="2"/>
    <x v="2"/>
    <s v="USD"/>
    <d v="2023-07-31T00:00:00"/>
    <d v="2023-08-15T00:00:00"/>
    <n v="32271.34"/>
    <n v="1.1727000000000001"/>
    <n v="37844.6"/>
    <n v="506574"/>
    <n v="7669"/>
    <n v="80546.58"/>
    <n v="2023"/>
    <s v="July"/>
    <s v="Q3"/>
    <s v="UK | JKL | MNO | PQR"/>
    <n v="1.5138953045359612E-2"/>
    <n v="2.1283506761862987"/>
    <x v="0"/>
  </r>
  <r>
    <x v="43"/>
    <s v="West"/>
    <x v="2"/>
    <x v="4"/>
    <x v="2"/>
    <s v="AUD"/>
    <d v="2023-08-01T00:00:00"/>
    <d v="2023-08-20T00:00:00"/>
    <n v="44849.35"/>
    <n v="0.54800000000000004"/>
    <n v="24577.439999999999"/>
    <n v="255770"/>
    <n v="26045"/>
    <n v="58555.46"/>
    <n v="2023"/>
    <s v="August"/>
    <s v="Q3"/>
    <s v="Australia | ABC | BCD"/>
    <n v="0.10182976893302577"/>
    <n v="2.3824881680109891"/>
    <x v="0"/>
  </r>
  <r>
    <x v="32"/>
    <s v="West"/>
    <x v="2"/>
    <x v="1"/>
    <x v="2"/>
    <s v="SGD"/>
    <d v="2023-08-03T00:00:00"/>
    <d v="2023-09-23T00:00:00"/>
    <n v="4988.9799999999996"/>
    <n v="0.57010000000000005"/>
    <n v="2844.22"/>
    <n v="705732"/>
    <n v="40397"/>
    <n v="20893.900000000001"/>
    <n v="2023"/>
    <s v="August"/>
    <s v="Q3"/>
    <s v="UK | JKL | MNO | PQR"/>
    <n v="5.7241275725062775E-2"/>
    <n v="7.3460913712722657"/>
    <x v="0"/>
  </r>
  <r>
    <x v="57"/>
    <s v="South"/>
    <x v="3"/>
    <x v="2"/>
    <x v="1"/>
    <s v="USD"/>
    <d v="2023-08-04T00:00:00"/>
    <d v="2023-09-15T00:00:00"/>
    <n v="8901.07"/>
    <n v="1.0017"/>
    <n v="8916.2000000000007"/>
    <n v="33536"/>
    <n v="16069"/>
    <n v="15570.36"/>
    <n v="2023"/>
    <s v="August"/>
    <s v="Q3"/>
    <s v="India | XYZ | PQR | TEST"/>
    <n v="0.47915672709923662"/>
    <n v="1.7462999932706758"/>
    <x v="0"/>
  </r>
  <r>
    <x v="9"/>
    <s v="East"/>
    <x v="2"/>
    <x v="5"/>
    <x v="1"/>
    <s v="USD"/>
    <d v="2023-08-05T00:00:00"/>
    <d v="2023-10-04T00:00:00"/>
    <n v="34922.1"/>
    <n v="0.6845"/>
    <n v="23904.18"/>
    <n v="294263"/>
    <n v="3151"/>
    <n v="231419.02"/>
    <n v="2023"/>
    <s v="August"/>
    <s v="Q3"/>
    <s v="India | XYZ | PQR | TEST"/>
    <n v="1.0708108053000208E-2"/>
    <n v="9.6811110023435223"/>
    <x v="0"/>
  </r>
  <r>
    <x v="27"/>
    <s v="West"/>
    <x v="0"/>
    <x v="3"/>
    <x v="2"/>
    <s v="INR"/>
    <d v="2023-08-05T00:00:00"/>
    <d v="2023-10-04T00:00:00"/>
    <n v="3385.43"/>
    <n v="0.77590000000000003"/>
    <n v="2626.76"/>
    <n v="348869"/>
    <n v="3739"/>
    <n v="187231"/>
    <n v="2023"/>
    <s v="August"/>
    <s v="Q3"/>
    <s v="India | XYZ | PQR | TEST"/>
    <n v="1.0717489946082914E-2"/>
    <n v="71.278304831808001"/>
    <x v="0"/>
  </r>
  <r>
    <x v="47"/>
    <s v="North"/>
    <x v="1"/>
    <x v="2"/>
    <x v="2"/>
    <s v="SGD"/>
    <d v="2023-08-05T00:00:00"/>
    <d v="2023-09-25T00:00:00"/>
    <n v="2073.75"/>
    <n v="0.61050000000000004"/>
    <n v="1266.02"/>
    <n v="139144"/>
    <n v="24124"/>
    <n v="179221.97"/>
    <n v="2023"/>
    <s v="August"/>
    <s v="Q3"/>
    <s v="Australia | ABC | BCD"/>
    <n v="0.17337434600126489"/>
    <n v="141.56330073774507"/>
    <x v="0"/>
  </r>
  <r>
    <x v="29"/>
    <s v="South"/>
    <x v="3"/>
    <x v="1"/>
    <x v="1"/>
    <s v="USD"/>
    <d v="2023-08-06T00:00:00"/>
    <d v="2023-09-24T00:00:00"/>
    <n v="37322.949999999997"/>
    <n v="0.14599999999999999"/>
    <n v="5449.15"/>
    <n v="486660"/>
    <n v="2608"/>
    <n v="138544.9"/>
    <n v="2023"/>
    <s v="August"/>
    <s v="Q3"/>
    <s v="UK | JKL | MNO | PQR"/>
    <n v="5.358977520240003E-3"/>
    <n v="25.425047943257205"/>
    <x v="0"/>
  </r>
  <r>
    <x v="1"/>
    <s v="East"/>
    <x v="0"/>
    <x v="3"/>
    <x v="1"/>
    <s v="INR"/>
    <d v="2023-08-07T00:00:00"/>
    <d v="2023-09-11T00:00:00"/>
    <n v="4819"/>
    <n v="0.71650000000000003"/>
    <n v="3452.81"/>
    <n v="554676"/>
    <n v="44663"/>
    <n v="114041.38"/>
    <n v="2023"/>
    <s v="August"/>
    <s v="Q3"/>
    <s v="UK | JKL | MNO | PQR"/>
    <n v="8.0520880658258159E-2"/>
    <n v="33.028570932081408"/>
    <x v="0"/>
  </r>
  <r>
    <x v="51"/>
    <s v="South"/>
    <x v="2"/>
    <x v="4"/>
    <x v="0"/>
    <s v="SGD"/>
    <d v="2023-08-07T00:00:00"/>
    <d v="2023-09-10T00:00:00"/>
    <n v="28805.99"/>
    <n v="0.39269999999999999"/>
    <n v="11312.11"/>
    <n v="253949"/>
    <n v="36907"/>
    <n v="21227.61"/>
    <n v="2023"/>
    <s v="August"/>
    <s v="Q3"/>
    <s v="USA | DEF | GHI"/>
    <n v="0.1453323305073066"/>
    <n v="1.8765385060788835"/>
    <x v="0"/>
  </r>
  <r>
    <x v="16"/>
    <s v="North"/>
    <x v="1"/>
    <x v="5"/>
    <x v="2"/>
    <s v="USD"/>
    <d v="2023-08-07T00:00:00"/>
    <d v="2023-08-12T00:00:00"/>
    <n v="37163.26"/>
    <n v="0.68689999999999996"/>
    <n v="25527.439999999999"/>
    <n v="238026"/>
    <n v="20076"/>
    <n v="232631.71"/>
    <n v="2023"/>
    <s v="August"/>
    <s v="Q3"/>
    <s v="USA | DEF | GHI"/>
    <n v="8.4343727155856918E-2"/>
    <n v="9.1130058478249296"/>
    <x v="0"/>
  </r>
  <r>
    <x v="47"/>
    <s v="West"/>
    <x v="1"/>
    <x v="4"/>
    <x v="0"/>
    <s v="USD"/>
    <d v="2023-08-08T00:00:00"/>
    <d v="2023-09-16T00:00:00"/>
    <n v="7483.28"/>
    <n v="1.1233"/>
    <n v="8405.9699999999993"/>
    <n v="608782"/>
    <n v="37862"/>
    <n v="120804.4"/>
    <n v="2023"/>
    <s v="August"/>
    <s v="Q3"/>
    <s v="UK | JKL | MNO | PQR"/>
    <n v="6.2193034616660807E-2"/>
    <n v="14.371262329035199"/>
    <x v="0"/>
  </r>
  <r>
    <x v="16"/>
    <s v="North"/>
    <x v="0"/>
    <x v="4"/>
    <x v="1"/>
    <s v="SGD"/>
    <d v="2023-08-09T00:00:00"/>
    <d v="2023-09-07T00:00:00"/>
    <n v="41705.61"/>
    <n v="4.8800000000000003E-2"/>
    <n v="2035.23"/>
    <n v="771538"/>
    <n v="9935"/>
    <n v="98366.97"/>
    <n v="2023"/>
    <s v="August"/>
    <s v="Q3"/>
    <s v="UK | JKL | MNO | PQR"/>
    <n v="1.2876877094841732E-2"/>
    <n v="48.33211479783612"/>
    <x v="0"/>
  </r>
  <r>
    <x v="37"/>
    <s v="East"/>
    <x v="0"/>
    <x v="1"/>
    <x v="2"/>
    <s v="SGD"/>
    <d v="2023-08-10T00:00:00"/>
    <d v="2023-09-06T00:00:00"/>
    <n v="11278.39"/>
    <n v="0.23749999999999999"/>
    <n v="2678.62"/>
    <n v="722641"/>
    <n v="37903"/>
    <n v="239000.59"/>
    <n v="2023"/>
    <s v="August"/>
    <s v="Q3"/>
    <s v="Australia | ABC | BCD"/>
    <n v="5.2450663607517427E-2"/>
    <n v="89.225268981789128"/>
    <x v="0"/>
  </r>
  <r>
    <x v="55"/>
    <s v="South"/>
    <x v="3"/>
    <x v="3"/>
    <x v="1"/>
    <s v="AUD"/>
    <d v="2023-08-11T00:00:00"/>
    <d v="2023-10-07T00:00:00"/>
    <n v="7806.92"/>
    <n v="0.70109999999999995"/>
    <n v="5473.43"/>
    <n v="801662"/>
    <n v="41789"/>
    <n v="203410.65"/>
    <n v="2023"/>
    <s v="August"/>
    <s v="Q3"/>
    <s v="UK | JKL | MNO | PQR"/>
    <n v="5.2127954175201018E-2"/>
    <n v="37.163287006502316"/>
    <x v="0"/>
  </r>
  <r>
    <x v="49"/>
    <s v="West"/>
    <x v="3"/>
    <x v="3"/>
    <x v="1"/>
    <s v="AUD"/>
    <d v="2023-08-12T00:00:00"/>
    <d v="2023-08-31T00:00:00"/>
    <n v="25762.41"/>
    <n v="4.1599999999999998E-2"/>
    <n v="1071.72"/>
    <n v="218496"/>
    <n v="47025"/>
    <n v="164221.69"/>
    <n v="2023"/>
    <s v="August"/>
    <s v="Q3"/>
    <s v="Australia | ABC | BCD"/>
    <n v="0.21522133128295254"/>
    <n v="153.23189825700743"/>
    <x v="0"/>
  </r>
  <r>
    <x v="33"/>
    <s v="South"/>
    <x v="4"/>
    <x v="1"/>
    <x v="2"/>
    <s v="USD"/>
    <d v="2023-08-14T00:00:00"/>
    <d v="2023-09-13T00:00:00"/>
    <n v="49237.84"/>
    <n v="7.5200000000000003E-2"/>
    <n v="3702.69"/>
    <n v="224353"/>
    <n v="19853"/>
    <n v="236604.4"/>
    <n v="2023"/>
    <s v="August"/>
    <s v="Q3"/>
    <s v="Australia | ABC | BCD"/>
    <n v="8.8490013505502493E-2"/>
    <n v="63.900677615463351"/>
    <x v="0"/>
  </r>
  <r>
    <x v="9"/>
    <s v="East"/>
    <x v="4"/>
    <x v="2"/>
    <x v="1"/>
    <s v="SGD"/>
    <d v="2023-08-14T00:00:00"/>
    <d v="2023-09-04T00:00:00"/>
    <n v="4881.28"/>
    <n v="0.75409999999999999"/>
    <n v="3680.97"/>
    <n v="551704"/>
    <n v="40287"/>
    <n v="202855.86"/>
    <n v="2023"/>
    <s v="August"/>
    <s v="Q3"/>
    <s v="USA | DEF | GHI"/>
    <n v="7.3022852834128446E-2"/>
    <n v="55.109348894449013"/>
    <x v="0"/>
  </r>
  <r>
    <x v="49"/>
    <s v="North"/>
    <x v="2"/>
    <x v="1"/>
    <x v="2"/>
    <s v="INR"/>
    <d v="2023-08-16T00:00:00"/>
    <d v="2023-10-08T00:00:00"/>
    <n v="29256.59"/>
    <n v="7.4399999999999994E-2"/>
    <n v="2176.69"/>
    <n v="848095"/>
    <n v="27833"/>
    <n v="122188.42"/>
    <n v="2023"/>
    <s v="August"/>
    <s v="Q3"/>
    <s v="UK | JKL | MNO | PQR"/>
    <n v="3.2818257388618023E-2"/>
    <n v="56.134966393928394"/>
    <x v="0"/>
  </r>
  <r>
    <x v="37"/>
    <s v="West"/>
    <x v="1"/>
    <x v="2"/>
    <x v="1"/>
    <s v="SGD"/>
    <d v="2023-08-16T00:00:00"/>
    <d v="2023-09-22T00:00:00"/>
    <n v="37595.800000000003"/>
    <n v="0.67400000000000004"/>
    <n v="25339.57"/>
    <n v="731068"/>
    <n v="37798"/>
    <n v="59152.78"/>
    <n v="2023"/>
    <s v="August"/>
    <s v="Q3"/>
    <s v="India | XYZ | PQR | TEST"/>
    <n v="5.1702440812619349E-2"/>
    <n v="2.3344034646207494"/>
    <x v="0"/>
  </r>
  <r>
    <x v="48"/>
    <s v="East"/>
    <x v="1"/>
    <x v="0"/>
    <x v="2"/>
    <s v="USD"/>
    <d v="2023-08-16T00:00:00"/>
    <d v="2023-09-12T00:00:00"/>
    <n v="11943.07"/>
    <n v="1.0469999999999999"/>
    <n v="12504.39"/>
    <n v="450897"/>
    <n v="21813"/>
    <n v="96062.2"/>
    <n v="2023"/>
    <s v="August"/>
    <s v="Q3"/>
    <s v="Australia | ABC | BCD"/>
    <n v="4.8376902041929751E-2"/>
    <n v="7.6822779839720292"/>
    <x v="0"/>
  </r>
  <r>
    <x v="3"/>
    <s v="North"/>
    <x v="1"/>
    <x v="2"/>
    <x v="0"/>
    <s v="USD"/>
    <d v="2023-08-16T00:00:00"/>
    <d v="2023-08-29T00:00:00"/>
    <n v="42983.95"/>
    <n v="0.1794"/>
    <n v="7711.32"/>
    <n v="247580"/>
    <n v="20247"/>
    <n v="35709.32"/>
    <n v="2023"/>
    <s v="August"/>
    <s v="Q3"/>
    <s v="Australia | ABC | BCD"/>
    <n v="8.177962678730108E-2"/>
    <n v="4.6307661982643697"/>
    <x v="0"/>
  </r>
  <r>
    <x v="57"/>
    <s v="North"/>
    <x v="4"/>
    <x v="1"/>
    <x v="0"/>
    <s v="USD"/>
    <d v="2023-08-18T00:00:00"/>
    <d v="2023-09-28T00:00:00"/>
    <n v="48784.34"/>
    <n v="0.48280000000000001"/>
    <n v="23553.08"/>
    <n v="253390"/>
    <n v="29400"/>
    <n v="95606.3"/>
    <n v="2023"/>
    <s v="August"/>
    <s v="Q3"/>
    <s v="Australia | ABC | BCD"/>
    <n v="0.11602667824302458"/>
    <n v="4.0591846161945693"/>
    <x v="0"/>
  </r>
  <r>
    <x v="43"/>
    <s v="East"/>
    <x v="4"/>
    <x v="1"/>
    <x v="0"/>
    <s v="GBP"/>
    <d v="2023-08-22T00:00:00"/>
    <d v="2023-09-22T00:00:00"/>
    <n v="17607.650000000001"/>
    <n v="0.54969999999999997"/>
    <n v="9678.93"/>
    <n v="446196"/>
    <n v="47915"/>
    <n v="28296.03"/>
    <n v="2023"/>
    <s v="August"/>
    <s v="Q3"/>
    <s v="Australia | ABC | BCD"/>
    <n v="0.10738554357277967"/>
    <n v="2.923466746840818"/>
    <x v="0"/>
  </r>
  <r>
    <x v="17"/>
    <s v="North"/>
    <x v="2"/>
    <x v="1"/>
    <x v="0"/>
    <s v="USD"/>
    <d v="2023-08-22T00:00:00"/>
    <d v="2023-09-18T00:00:00"/>
    <n v="28098.85"/>
    <n v="0.45679999999999998"/>
    <n v="12835.55"/>
    <n v="204760"/>
    <n v="44644"/>
    <n v="148539.4"/>
    <n v="2023"/>
    <s v="August"/>
    <s v="Q3"/>
    <s v="Australia | ABC | BCD"/>
    <n v="0.21803086540339911"/>
    <n v="11.572499814967026"/>
    <x v="0"/>
  </r>
  <r>
    <x v="56"/>
    <s v="West"/>
    <x v="1"/>
    <x v="0"/>
    <x v="2"/>
    <s v="SGD"/>
    <d v="2023-08-26T00:00:00"/>
    <d v="2023-10-15T00:00:00"/>
    <n v="3974.53"/>
    <n v="3.2599999999999997E-2"/>
    <n v="129.57"/>
    <n v="614402"/>
    <n v="20799"/>
    <n v="140547.64000000001"/>
    <n v="2023"/>
    <s v="August"/>
    <s v="Q3"/>
    <s v="USA | DEF | GHI"/>
    <n v="3.3852428865791449E-2"/>
    <n v="1084.7236242957476"/>
    <x v="0"/>
  </r>
  <r>
    <x v="16"/>
    <s v="North"/>
    <x v="3"/>
    <x v="2"/>
    <x v="0"/>
    <s v="SGD"/>
    <d v="2023-08-27T00:00:00"/>
    <d v="2023-09-26T00:00:00"/>
    <n v="17610.900000000001"/>
    <n v="6.4500000000000002E-2"/>
    <n v="1135.9000000000001"/>
    <n v="713011"/>
    <n v="29138"/>
    <n v="185298.63"/>
    <n v="2023"/>
    <s v="August"/>
    <s v="Q3"/>
    <s v="USA | DEF | GHI"/>
    <n v="4.0866129695053793E-2"/>
    <n v="163.12935117527951"/>
    <x v="0"/>
  </r>
  <r>
    <x v="19"/>
    <s v="North"/>
    <x v="4"/>
    <x v="4"/>
    <x v="2"/>
    <s v="GBP"/>
    <d v="2023-08-28T00:00:00"/>
    <d v="2023-10-05T00:00:00"/>
    <n v="29763.18"/>
    <n v="0.66759999999999997"/>
    <n v="19869.900000000001"/>
    <n v="501507"/>
    <n v="47450"/>
    <n v="204527.44"/>
    <n v="2023"/>
    <s v="August"/>
    <s v="Q3"/>
    <s v="India | XYZ | PQR | TEST"/>
    <n v="9.4614830899668406E-2"/>
    <n v="10.293330112381039"/>
    <x v="0"/>
  </r>
  <r>
    <x v="8"/>
    <s v="East"/>
    <x v="4"/>
    <x v="5"/>
    <x v="2"/>
    <s v="AUD"/>
    <d v="2023-08-29T00:00:00"/>
    <d v="2023-10-17T00:00:00"/>
    <n v="22573.59"/>
    <n v="0.9194"/>
    <n v="20754.16"/>
    <n v="129787"/>
    <n v="1495"/>
    <n v="127232.34"/>
    <n v="2023"/>
    <s v="August"/>
    <s v="Q3"/>
    <s v="Australia | ABC | BCD"/>
    <n v="1.1518873230755006E-2"/>
    <n v="6.1304499917125046"/>
    <x v="0"/>
  </r>
  <r>
    <x v="59"/>
    <s v="South"/>
    <x v="4"/>
    <x v="1"/>
    <x v="2"/>
    <s v="SGD"/>
    <d v="2023-08-30T00:00:00"/>
    <d v="2023-10-25T00:00:00"/>
    <n v="37542.15"/>
    <n v="0.70209999999999995"/>
    <n v="26358.34"/>
    <n v="759361"/>
    <n v="41239"/>
    <n v="168052.53"/>
    <n v="2023"/>
    <s v="August"/>
    <s v="Q3"/>
    <s v="India | XYZ | PQR | TEST"/>
    <n v="5.4307503282365041E-2"/>
    <n v="6.3756871639109294"/>
    <x v="0"/>
  </r>
  <r>
    <x v="46"/>
    <s v="West"/>
    <x v="3"/>
    <x v="5"/>
    <x v="0"/>
    <s v="AUD"/>
    <d v="2023-08-30T00:00:00"/>
    <d v="2023-10-06T00:00:00"/>
    <n v="4830.0600000000004"/>
    <n v="0.87270000000000003"/>
    <n v="4215.1899999999996"/>
    <n v="336592"/>
    <n v="10858"/>
    <n v="181810.07"/>
    <n v="2023"/>
    <s v="August"/>
    <s v="Q3"/>
    <s v="USA | DEF | GHI"/>
    <n v="3.2258639539858344E-2"/>
    <n v="43.132117413449933"/>
    <x v="0"/>
  </r>
  <r>
    <x v="5"/>
    <s v="East"/>
    <x v="3"/>
    <x v="4"/>
    <x v="0"/>
    <s v="AUD"/>
    <d v="2023-08-30T00:00:00"/>
    <d v="2023-09-28T00:00:00"/>
    <n v="49731.74"/>
    <n v="0.45610000000000001"/>
    <n v="22682.65"/>
    <n v="39556"/>
    <n v="20985"/>
    <n v="233052.35"/>
    <n v="2023"/>
    <s v="August"/>
    <s v="Q3"/>
    <s v="UK | JKL | MNO | PQR"/>
    <n v="0.5305137020932349"/>
    <n v="10.274476306780732"/>
    <x v="0"/>
  </r>
  <r>
    <x v="58"/>
    <s v="North"/>
    <x v="0"/>
    <x v="2"/>
    <x v="0"/>
    <s v="USD"/>
    <d v="2023-09-01T00:00:00"/>
    <d v="2023-09-20T00:00:00"/>
    <n v="5507.55"/>
    <n v="2.1999999999999999E-2"/>
    <n v="121.17"/>
    <n v="443130"/>
    <n v="49086"/>
    <n v="189379.42"/>
    <n v="2023"/>
    <s v="September"/>
    <s v="Q3"/>
    <s v="Australia | ABC | BCD"/>
    <n v="0.11077110554464829"/>
    <n v="1562.923330857473"/>
    <x v="0"/>
  </r>
  <r>
    <x v="23"/>
    <s v="South"/>
    <x v="3"/>
    <x v="1"/>
    <x v="2"/>
    <s v="AUD"/>
    <d v="2023-09-02T00:00:00"/>
    <d v="2023-10-11T00:00:00"/>
    <n v="6564.33"/>
    <n v="0.57940000000000003"/>
    <n v="3803.37"/>
    <n v="994767"/>
    <n v="49401"/>
    <n v="147129.25"/>
    <n v="2023"/>
    <s v="September"/>
    <s v="Q3"/>
    <s v="UK | JKL | MNO | PQR"/>
    <n v="4.9660875360762871E-2"/>
    <n v="38.683917157678586"/>
    <x v="0"/>
  </r>
  <r>
    <x v="50"/>
    <s v="North"/>
    <x v="1"/>
    <x v="5"/>
    <x v="0"/>
    <s v="SGD"/>
    <d v="2023-09-06T00:00:00"/>
    <d v="2023-10-25T00:00:00"/>
    <n v="32790.53"/>
    <n v="2.7099999999999999E-2"/>
    <n v="888.62"/>
    <n v="673393"/>
    <n v="3374"/>
    <n v="226642.28"/>
    <n v="2023"/>
    <s v="September"/>
    <s v="Q3"/>
    <s v="Australia | ABC | BCD"/>
    <n v="5.010447094044637E-3"/>
    <n v="255.0497175395557"/>
    <x v="0"/>
  </r>
  <r>
    <x v="23"/>
    <s v="South"/>
    <x v="2"/>
    <x v="3"/>
    <x v="1"/>
    <s v="AUD"/>
    <d v="2023-09-06T00:00:00"/>
    <d v="2023-09-24T00:00:00"/>
    <n v="27426.28"/>
    <n v="1.0889"/>
    <n v="29864.48"/>
    <n v="707309"/>
    <n v="16375"/>
    <n v="201355.69"/>
    <n v="2023"/>
    <s v="September"/>
    <s v="Q3"/>
    <s v="India | XYZ | PQR | TEST"/>
    <n v="2.3151126311131344E-2"/>
    <n v="6.7423136113536888"/>
    <x v="0"/>
  </r>
  <r>
    <x v="15"/>
    <s v="South"/>
    <x v="1"/>
    <x v="2"/>
    <x v="0"/>
    <s v="GBP"/>
    <d v="2023-09-06T00:00:00"/>
    <d v="2023-09-24T00:00:00"/>
    <n v="41563.269999999997"/>
    <n v="7.6499999999999999E-2"/>
    <n v="3179.59"/>
    <n v="154495"/>
    <n v="7783"/>
    <n v="240702.74"/>
    <n v="2023"/>
    <s v="September"/>
    <s v="Q3"/>
    <s v="USA | DEF | GHI"/>
    <n v="5.0377034855496938E-2"/>
    <n v="75.702445912837817"/>
    <x v="0"/>
  </r>
  <r>
    <x v="2"/>
    <s v="East"/>
    <x v="1"/>
    <x v="0"/>
    <x v="1"/>
    <s v="INR"/>
    <d v="2023-09-06T00:00:00"/>
    <d v="2023-09-14T00:00:00"/>
    <n v="33821.86"/>
    <n v="0.64190000000000003"/>
    <n v="21710.25"/>
    <n v="678933"/>
    <n v="15359"/>
    <n v="17860.32"/>
    <n v="2023"/>
    <s v="September"/>
    <s v="Q3"/>
    <s v="Australia | ABC | BCD"/>
    <n v="2.2622261695925815E-2"/>
    <n v="0.82266763395170484"/>
    <x v="0"/>
  </r>
  <r>
    <x v="11"/>
    <s v="North"/>
    <x v="3"/>
    <x v="3"/>
    <x v="1"/>
    <s v="GBP"/>
    <d v="2023-09-07T00:00:00"/>
    <d v="2023-10-03T00:00:00"/>
    <n v="12910.59"/>
    <n v="0.92349999999999999"/>
    <n v="11922.93"/>
    <n v="389547"/>
    <n v="15231"/>
    <n v="116676.19"/>
    <n v="2023"/>
    <s v="September"/>
    <s v="Q3"/>
    <s v="USA | DEF | GHI"/>
    <n v="3.9099261449837885E-2"/>
    <n v="9.7858655548594182"/>
    <x v="0"/>
  </r>
  <r>
    <x v="15"/>
    <s v="North"/>
    <x v="3"/>
    <x v="1"/>
    <x v="2"/>
    <s v="AUD"/>
    <d v="2023-09-07T00:00:00"/>
    <d v="2023-09-25T00:00:00"/>
    <n v="9351.2199999999993"/>
    <n v="1.1335999999999999"/>
    <n v="10600.54"/>
    <n v="743907"/>
    <n v="5961"/>
    <n v="30840.07"/>
    <n v="2023"/>
    <s v="September"/>
    <s v="Q3"/>
    <s v="India | XYZ | PQR | TEST"/>
    <n v="8.0130984114949854E-3"/>
    <n v="2.9092923568044644"/>
    <x v="0"/>
  </r>
  <r>
    <x v="53"/>
    <s v="South"/>
    <x v="0"/>
    <x v="0"/>
    <x v="1"/>
    <s v="INR"/>
    <d v="2023-09-08T00:00:00"/>
    <d v="2023-09-18T00:00:00"/>
    <n v="46306.76"/>
    <n v="0.14799999999999999"/>
    <n v="6853.4"/>
    <n v="652039"/>
    <n v="40000"/>
    <n v="18482.009999999998"/>
    <n v="2023"/>
    <s v="September"/>
    <s v="Q3"/>
    <s v="Australia | ABC | BCD"/>
    <n v="6.1346023780786116E-2"/>
    <n v="2.6967651092888199"/>
    <x v="0"/>
  </r>
  <r>
    <x v="0"/>
    <s v="South"/>
    <x v="0"/>
    <x v="5"/>
    <x v="2"/>
    <s v="USD"/>
    <d v="2023-09-09T00:00:00"/>
    <d v="2023-10-26T00:00:00"/>
    <n v="49168.08"/>
    <n v="0.41649999999999998"/>
    <n v="20478.509999999998"/>
    <n v="492134"/>
    <n v="39389"/>
    <n v="85472.02"/>
    <n v="2023"/>
    <s v="September"/>
    <s v="Q3"/>
    <s v="Australia | ABC | BCD"/>
    <n v="8.0037144354992748E-2"/>
    <n v="4.1737421326063275"/>
    <x v="0"/>
  </r>
  <r>
    <x v="37"/>
    <s v="East"/>
    <x v="1"/>
    <x v="3"/>
    <x v="2"/>
    <s v="SGD"/>
    <d v="2023-09-11T00:00:00"/>
    <d v="2023-10-31T00:00:00"/>
    <n v="22450.16"/>
    <n v="0.53290000000000004"/>
    <n v="11963.69"/>
    <n v="558141"/>
    <n v="40064"/>
    <n v="43892.82"/>
    <n v="2023"/>
    <s v="September"/>
    <s v="Q3"/>
    <s v="Australia | ABC | BCD"/>
    <n v="7.1781144907827957E-2"/>
    <n v="3.6688362871321472"/>
    <x v="0"/>
  </r>
  <r>
    <x v="7"/>
    <s v="West"/>
    <x v="1"/>
    <x v="2"/>
    <x v="1"/>
    <s v="USD"/>
    <d v="2023-09-11T00:00:00"/>
    <d v="2023-10-24T00:00:00"/>
    <n v="29338.75"/>
    <n v="0.79849999999999999"/>
    <n v="23426.99"/>
    <n v="179268"/>
    <n v="908"/>
    <n v="33599.01"/>
    <n v="2023"/>
    <s v="September"/>
    <s v="Q3"/>
    <s v="India | XYZ | PQR | TEST"/>
    <n v="5.0650422830622313E-3"/>
    <n v="1.4342008939261937"/>
    <x v="0"/>
  </r>
  <r>
    <x v="8"/>
    <s v="West"/>
    <x v="2"/>
    <x v="0"/>
    <x v="0"/>
    <s v="INR"/>
    <d v="2023-09-11T00:00:00"/>
    <d v="2023-10-15T00:00:00"/>
    <n v="17961.830000000002"/>
    <n v="0.33800000000000002"/>
    <n v="6071.1"/>
    <n v="992946"/>
    <n v="47615"/>
    <n v="192545.03"/>
    <n v="2023"/>
    <s v="September"/>
    <s v="Q3"/>
    <s v="Australia | ABC | BCD"/>
    <n v="4.7953262312351329E-2"/>
    <n v="31.715015400833455"/>
    <x v="0"/>
  </r>
  <r>
    <x v="0"/>
    <s v="North"/>
    <x v="1"/>
    <x v="0"/>
    <x v="0"/>
    <s v="GBP"/>
    <d v="2023-09-11T00:00:00"/>
    <d v="2023-10-06T00:00:00"/>
    <n v="22278.19"/>
    <n v="0.2747"/>
    <n v="6119.82"/>
    <n v="982532"/>
    <n v="38882"/>
    <n v="236831.83"/>
    <n v="2023"/>
    <s v="September"/>
    <s v="Q3"/>
    <s v="Australia | ABC | BCD"/>
    <n v="3.957326580711875E-2"/>
    <n v="38.699149648192268"/>
    <x v="0"/>
  </r>
  <r>
    <x v="44"/>
    <s v="South"/>
    <x v="1"/>
    <x v="2"/>
    <x v="2"/>
    <s v="AUD"/>
    <d v="2023-09-11T00:00:00"/>
    <d v="2023-09-28T00:00:00"/>
    <n v="42122.21"/>
    <n v="0.74939999999999996"/>
    <n v="31566.38"/>
    <n v="260132"/>
    <n v="8372"/>
    <n v="121022.46"/>
    <n v="2023"/>
    <s v="September"/>
    <s v="Q3"/>
    <s v="India | XYZ | PQR | TEST"/>
    <n v="3.2183660603078437E-2"/>
    <n v="3.8339036658622243"/>
    <x v="0"/>
  </r>
  <r>
    <x v="46"/>
    <s v="North"/>
    <x v="1"/>
    <x v="5"/>
    <x v="0"/>
    <s v="USD"/>
    <d v="2023-09-12T00:00:00"/>
    <d v="2023-09-29T00:00:00"/>
    <n v="10320.24"/>
    <n v="0.54390000000000005"/>
    <n v="5613.18"/>
    <n v="452374"/>
    <n v="12125"/>
    <n v="73243.56"/>
    <n v="2023"/>
    <s v="September"/>
    <s v="Q3"/>
    <s v="Australia | ABC | BCD"/>
    <n v="2.6803043499405359E-2"/>
    <n v="13.048496574134447"/>
    <x v="0"/>
  </r>
  <r>
    <x v="37"/>
    <s v="East"/>
    <x v="4"/>
    <x v="2"/>
    <x v="1"/>
    <s v="USD"/>
    <d v="2023-09-13T00:00:00"/>
    <d v="2023-11-06T00:00:00"/>
    <n v="27597.42"/>
    <n v="0.41170000000000001"/>
    <n v="11361.86"/>
    <n v="423769"/>
    <n v="2630"/>
    <n v="155809.07999999999"/>
    <n v="2023"/>
    <s v="September"/>
    <s v="Q3"/>
    <s v="Australia | ABC | BCD"/>
    <n v="6.2062114029105483E-3"/>
    <n v="13.713342709732384"/>
    <x v="0"/>
  </r>
  <r>
    <x v="36"/>
    <s v="East"/>
    <x v="1"/>
    <x v="3"/>
    <x v="2"/>
    <s v="USD"/>
    <d v="2023-09-13T00:00:00"/>
    <d v="2023-09-27T00:00:00"/>
    <n v="35858.35"/>
    <n v="0.99590000000000001"/>
    <n v="35711.33"/>
    <n v="808462"/>
    <n v="44417"/>
    <n v="101211.68"/>
    <n v="2023"/>
    <s v="September"/>
    <s v="Q3"/>
    <s v="Australia | ABC | BCD"/>
    <n v="5.4940120871481903E-2"/>
    <n v="2.8341615952136197"/>
    <x v="0"/>
  </r>
  <r>
    <x v="42"/>
    <s v="South"/>
    <x v="1"/>
    <x v="2"/>
    <x v="0"/>
    <s v="USD"/>
    <d v="2023-09-14T00:00:00"/>
    <d v="2023-09-24T00:00:00"/>
    <n v="19220.34"/>
    <n v="1.0854999999999999"/>
    <n v="20863.68"/>
    <n v="183565"/>
    <n v="3493"/>
    <n v="102103.67999999999"/>
    <n v="2023"/>
    <s v="September"/>
    <s v="Q3"/>
    <s v="Australia | ABC | BCD"/>
    <n v="1.9028681938277996E-2"/>
    <n v="4.8938480651543728"/>
    <x v="0"/>
  </r>
  <r>
    <x v="55"/>
    <s v="South"/>
    <x v="3"/>
    <x v="4"/>
    <x v="1"/>
    <s v="GBP"/>
    <d v="2023-09-15T00:00:00"/>
    <d v="2023-10-04T00:00:00"/>
    <n v="6912.14"/>
    <n v="0.2392"/>
    <n v="1653.38"/>
    <n v="135362"/>
    <n v="48785"/>
    <n v="136286.67000000001"/>
    <n v="2023"/>
    <s v="September"/>
    <s v="Q3"/>
    <s v="USA | DEF | GHI"/>
    <n v="0.36040395384228957"/>
    <n v="82.429127000447565"/>
    <x v="0"/>
  </r>
  <r>
    <x v="44"/>
    <s v="West"/>
    <x v="0"/>
    <x v="1"/>
    <x v="2"/>
    <s v="GBP"/>
    <d v="2023-09-22T00:00:00"/>
    <d v="2023-10-27T00:00:00"/>
    <n v="48945.7"/>
    <n v="0.91810000000000003"/>
    <n v="44937.05"/>
    <n v="473518"/>
    <n v="42717"/>
    <n v="231419.39"/>
    <n v="2023"/>
    <s v="September"/>
    <s v="Q3"/>
    <s v="UK | JKL | MNO | PQR"/>
    <n v="9.0211987717467967E-2"/>
    <n v="5.1498571891123248"/>
    <x v="0"/>
  </r>
  <r>
    <x v="16"/>
    <s v="North"/>
    <x v="3"/>
    <x v="0"/>
    <x v="1"/>
    <s v="USD"/>
    <d v="2023-09-23T00:00:00"/>
    <d v="2023-11-22T00:00:00"/>
    <n v="25251.52"/>
    <n v="0.28060000000000002"/>
    <n v="7085.58"/>
    <n v="192971"/>
    <n v="9727"/>
    <n v="218453.6"/>
    <n v="2023"/>
    <s v="September"/>
    <s v="Q3"/>
    <s v="India | XYZ | PQR | TEST"/>
    <n v="5.040653776992398E-2"/>
    <n v="30.830729453340446"/>
    <x v="0"/>
  </r>
  <r>
    <x v="25"/>
    <s v="East"/>
    <x v="2"/>
    <x v="2"/>
    <x v="0"/>
    <s v="GBP"/>
    <d v="2023-09-23T00:00:00"/>
    <d v="2023-11-07T00:00:00"/>
    <n v="25867.47"/>
    <n v="0.1573"/>
    <n v="4068.95"/>
    <n v="803310"/>
    <n v="42761"/>
    <n v="235629.04"/>
    <n v="2023"/>
    <s v="September"/>
    <s v="Q3"/>
    <s v="USA | DEF | GHI"/>
    <n v="5.323100670973846E-2"/>
    <n v="57.909052704014556"/>
    <x v="0"/>
  </r>
  <r>
    <x v="9"/>
    <s v="North"/>
    <x v="2"/>
    <x v="5"/>
    <x v="2"/>
    <s v="SGD"/>
    <d v="2023-09-23T00:00:00"/>
    <d v="2023-11-03T00:00:00"/>
    <n v="42918.47"/>
    <n v="1.0584"/>
    <n v="45424.91"/>
    <n v="774305"/>
    <n v="18078"/>
    <n v="52003.63"/>
    <n v="2023"/>
    <s v="September"/>
    <s v="Q3"/>
    <s v="UK | JKL | MNO | PQR"/>
    <n v="2.3347388948799244E-2"/>
    <n v="1.1448262638274902"/>
    <x v="0"/>
  </r>
  <r>
    <x v="25"/>
    <s v="East"/>
    <x v="3"/>
    <x v="0"/>
    <x v="0"/>
    <s v="INR"/>
    <d v="2023-09-25T00:00:00"/>
    <d v="2023-11-23T00:00:00"/>
    <n v="16435.439999999999"/>
    <n v="0.96299999999999997"/>
    <n v="15827.33"/>
    <n v="744764"/>
    <n v="48292"/>
    <n v="84931.63"/>
    <n v="2023"/>
    <s v="September"/>
    <s v="Q3"/>
    <s v="Australia | ABC | BCD"/>
    <n v="6.4842017068494184E-2"/>
    <n v="5.3661375607888386"/>
    <x v="0"/>
  </r>
  <r>
    <x v="34"/>
    <s v="West"/>
    <x v="2"/>
    <x v="2"/>
    <x v="2"/>
    <s v="USD"/>
    <d v="2023-09-25T00:00:00"/>
    <d v="2023-11-10T00:00:00"/>
    <n v="18618.05"/>
    <n v="0.29120000000000001"/>
    <n v="5421.58"/>
    <n v="710224"/>
    <n v="7847"/>
    <n v="119021.77"/>
    <n v="2023"/>
    <s v="September"/>
    <s v="Q3"/>
    <s v="USA | DEF | GHI"/>
    <n v="1.104862691207281E-2"/>
    <n v="21.953336481247167"/>
    <x v="0"/>
  </r>
  <r>
    <x v="6"/>
    <s v="West"/>
    <x v="2"/>
    <x v="0"/>
    <x v="2"/>
    <s v="AUD"/>
    <d v="2023-09-26T00:00:00"/>
    <d v="2023-11-12T00:00:00"/>
    <n v="43269.19"/>
    <n v="0.63800000000000001"/>
    <n v="27605.74"/>
    <n v="680153"/>
    <n v="20639"/>
    <n v="151257.85"/>
    <n v="2023"/>
    <s v="September"/>
    <s v="Q3"/>
    <s v="UK | JKL | MNO | PQR"/>
    <n v="3.0344643043550494E-2"/>
    <n v="5.4792173656638079"/>
    <x v="0"/>
  </r>
  <r>
    <x v="23"/>
    <s v="North"/>
    <x v="3"/>
    <x v="0"/>
    <x v="2"/>
    <s v="GBP"/>
    <d v="2023-09-27T00:00:00"/>
    <d v="2023-11-14T00:00:00"/>
    <n v="3091.1"/>
    <n v="1.1731"/>
    <n v="3626.17"/>
    <n v="69830"/>
    <n v="48664"/>
    <n v="198694.71"/>
    <n v="2023"/>
    <s v="September"/>
    <s v="Q3"/>
    <s v="India | XYZ | PQR | TEST"/>
    <n v="0.69689245310038661"/>
    <n v="54.794648347981479"/>
    <x v="0"/>
  </r>
  <r>
    <x v="37"/>
    <s v="East"/>
    <x v="1"/>
    <x v="2"/>
    <x v="0"/>
    <s v="USD"/>
    <d v="2023-09-28T00:00:00"/>
    <d v="2023-11-01T00:00:00"/>
    <n v="3453.93"/>
    <n v="0.97770000000000001"/>
    <n v="3376.91"/>
    <n v="926602"/>
    <n v="2685"/>
    <n v="213800.93"/>
    <n v="2023"/>
    <s v="September"/>
    <s v="Q3"/>
    <s v="Australia | ABC | BCD"/>
    <n v="2.8976842268848978E-3"/>
    <n v="63.312593465623898"/>
    <x v="0"/>
  </r>
  <r>
    <x v="50"/>
    <s v="East"/>
    <x v="1"/>
    <x v="0"/>
    <x v="2"/>
    <s v="AUD"/>
    <d v="2023-09-30T00:00:00"/>
    <d v="2023-11-26T00:00:00"/>
    <n v="7969.58"/>
    <n v="8.1000000000000003E-2"/>
    <n v="645.54"/>
    <n v="841131"/>
    <n v="20259"/>
    <n v="150785.79"/>
    <n v="2023"/>
    <s v="September"/>
    <s v="Q3"/>
    <s v="UK | JKL | MNO | PQR"/>
    <n v="2.4085427834665468E-2"/>
    <n v="233.58086253369274"/>
    <x v="0"/>
  </r>
  <r>
    <x v="55"/>
    <s v="West"/>
    <x v="3"/>
    <x v="4"/>
    <x v="2"/>
    <s v="GBP"/>
    <d v="2023-09-30T00:00:00"/>
    <d v="2023-10-28T00:00:00"/>
    <n v="36044.79"/>
    <n v="0.50390000000000001"/>
    <n v="18162.97"/>
    <n v="670016"/>
    <n v="43681"/>
    <n v="65135.56"/>
    <n v="2023"/>
    <s v="September"/>
    <s v="Q3"/>
    <s v="UK | JKL | MNO | PQR"/>
    <n v="6.5193965517241381E-2"/>
    <n v="3.5861734066620157"/>
    <x v="0"/>
  </r>
  <r>
    <x v="4"/>
    <s v="West"/>
    <x v="2"/>
    <x v="4"/>
    <x v="2"/>
    <s v="USD"/>
    <d v="2023-10-02T00:00:00"/>
    <d v="2023-11-25T00:00:00"/>
    <n v="27612.2"/>
    <n v="1.1892"/>
    <n v="32836.43"/>
    <n v="578373"/>
    <n v="49696"/>
    <n v="15194.58"/>
    <n v="2023"/>
    <s v="October"/>
    <s v="Q4"/>
    <s v="India | XYZ | PQR | TEST"/>
    <n v="8.5923789665146882E-2"/>
    <n v="0.46273544353024976"/>
    <x v="0"/>
  </r>
  <r>
    <x v="37"/>
    <s v="North"/>
    <x v="0"/>
    <x v="0"/>
    <x v="2"/>
    <s v="GBP"/>
    <d v="2023-10-02T00:00:00"/>
    <d v="2023-10-16T00:00:00"/>
    <n v="19620"/>
    <n v="0.94279999999999997"/>
    <n v="18497.740000000002"/>
    <n v="171771"/>
    <n v="48574"/>
    <n v="100457.38"/>
    <n v="2023"/>
    <s v="October"/>
    <s v="Q4"/>
    <s v="USA | DEF | GHI"/>
    <n v="0.28278347334532605"/>
    <n v="5.4307920859521213"/>
    <x v="0"/>
  </r>
  <r>
    <x v="50"/>
    <s v="West"/>
    <x v="1"/>
    <x v="5"/>
    <x v="2"/>
    <s v="USD"/>
    <d v="2023-10-03T00:00:00"/>
    <d v="2023-11-23T00:00:00"/>
    <n v="21421.86"/>
    <n v="0.7782"/>
    <n v="16670.490000000002"/>
    <n v="207064"/>
    <n v="29048"/>
    <n v="56790.67"/>
    <n v="2023"/>
    <s v="October"/>
    <s v="Q4"/>
    <s v="India | XYZ | PQR | TEST"/>
    <n v="0.14028512923540548"/>
    <n v="3.4066587124913541"/>
    <x v="0"/>
  </r>
  <r>
    <x v="28"/>
    <s v="North"/>
    <x v="3"/>
    <x v="4"/>
    <x v="2"/>
    <s v="GBP"/>
    <d v="2023-10-03T00:00:00"/>
    <d v="2023-10-31T00:00:00"/>
    <n v="1991.41"/>
    <n v="0.98270000000000002"/>
    <n v="1956.96"/>
    <n v="327776"/>
    <n v="20478"/>
    <n v="73684.929999999993"/>
    <n v="2023"/>
    <s v="October"/>
    <s v="Q4"/>
    <s v="USA | DEF | GHI"/>
    <n v="6.2475593087962508E-2"/>
    <n v="37.652752227945378"/>
    <x v="0"/>
  </r>
  <r>
    <x v="24"/>
    <s v="South"/>
    <x v="2"/>
    <x v="3"/>
    <x v="1"/>
    <s v="GBP"/>
    <d v="2023-10-04T00:00:00"/>
    <d v="2023-11-22T00:00:00"/>
    <n v="9346.59"/>
    <n v="0.1739"/>
    <n v="1625.37"/>
    <n v="493072"/>
    <n v="7957"/>
    <n v="35940.730000000003"/>
    <n v="2023"/>
    <s v="October"/>
    <s v="Q4"/>
    <s v="Australia | ABC | BCD"/>
    <n v="1.6137602621929453E-2"/>
    <n v="22.112337498538796"/>
    <x v="0"/>
  </r>
  <r>
    <x v="52"/>
    <s v="South"/>
    <x v="2"/>
    <x v="0"/>
    <x v="2"/>
    <s v="USD"/>
    <d v="2023-10-05T00:00:00"/>
    <d v="2023-12-01T00:00:00"/>
    <n v="4816.47"/>
    <n v="0.4536"/>
    <n v="2184.75"/>
    <n v="536428"/>
    <n v="44227"/>
    <n v="225975.55"/>
    <n v="2023"/>
    <s v="October"/>
    <s v="Q4"/>
    <s v="UK | JKL | MNO | PQR"/>
    <n v="8.2447224977070549E-2"/>
    <n v="103.43313880306671"/>
    <x v="0"/>
  </r>
  <r>
    <x v="11"/>
    <s v="East"/>
    <x v="2"/>
    <x v="1"/>
    <x v="0"/>
    <s v="USD"/>
    <d v="2023-10-06T00:00:00"/>
    <d v="2023-11-12T00:00:00"/>
    <n v="27459.1"/>
    <n v="0.53090000000000004"/>
    <n v="14578.04"/>
    <n v="637086"/>
    <n v="2712"/>
    <n v="222908.61"/>
    <n v="2023"/>
    <s v="October"/>
    <s v="Q4"/>
    <s v="India | XYZ | PQR | TEST"/>
    <n v="4.2568821163861707E-3"/>
    <n v="15.290711920120946"/>
    <x v="0"/>
  </r>
  <r>
    <x v="23"/>
    <s v="South"/>
    <x v="3"/>
    <x v="0"/>
    <x v="2"/>
    <s v="GBP"/>
    <d v="2023-10-06T00:00:00"/>
    <d v="2023-11-01T00:00:00"/>
    <n v="16665.77"/>
    <n v="0.65280000000000005"/>
    <n v="10879.41"/>
    <n v="155095"/>
    <n v="9984"/>
    <n v="61659.06"/>
    <n v="2023"/>
    <s v="October"/>
    <s v="Q4"/>
    <s v="USA | DEF | GHI"/>
    <n v="6.4373448531545183E-2"/>
    <n v="5.6675003515815652"/>
    <x v="0"/>
  </r>
  <r>
    <x v="35"/>
    <s v="West"/>
    <x v="4"/>
    <x v="0"/>
    <x v="0"/>
    <s v="GBP"/>
    <d v="2023-10-06T00:00:00"/>
    <d v="2023-10-29T00:00:00"/>
    <n v="30636.66"/>
    <n v="0.86399999999999999"/>
    <n v="26470.07"/>
    <n v="223487"/>
    <n v="45155"/>
    <n v="160388.29999999999"/>
    <n v="2023"/>
    <s v="October"/>
    <s v="Q4"/>
    <s v="USA | DEF | GHI"/>
    <n v="0.20204754638972289"/>
    <n v="6.0592321818567152"/>
    <x v="0"/>
  </r>
  <r>
    <x v="16"/>
    <s v="West"/>
    <x v="4"/>
    <x v="5"/>
    <x v="0"/>
    <s v="USD"/>
    <d v="2023-10-08T00:00:00"/>
    <d v="2023-11-26T00:00:00"/>
    <n v="37522.61"/>
    <n v="0.95530000000000004"/>
    <n v="35845.35"/>
    <n v="199893"/>
    <n v="25263"/>
    <n v="123626.91"/>
    <n v="2023"/>
    <s v="October"/>
    <s v="Q4"/>
    <s v="USA | DEF | GHI"/>
    <n v="0.12638261469886389"/>
    <n v="3.44889671882127"/>
    <x v="0"/>
  </r>
  <r>
    <x v="14"/>
    <s v="South"/>
    <x v="1"/>
    <x v="3"/>
    <x v="1"/>
    <s v="USD"/>
    <d v="2023-10-08T00:00:00"/>
    <d v="2023-11-22T00:00:00"/>
    <n v="27349.14"/>
    <n v="0.80330000000000001"/>
    <n v="21969.56"/>
    <n v="79986"/>
    <n v="45847"/>
    <n v="183001.75"/>
    <n v="2023"/>
    <s v="October"/>
    <s v="Q4"/>
    <s v="USA | DEF | GHI"/>
    <n v="0.57318780786637658"/>
    <n v="8.3297867594981412"/>
    <x v="0"/>
  </r>
  <r>
    <x v="20"/>
    <s v="West"/>
    <x v="1"/>
    <x v="5"/>
    <x v="2"/>
    <s v="INR"/>
    <d v="2023-10-08T00:00:00"/>
    <d v="2023-11-12T00:00:00"/>
    <n v="10762.64"/>
    <n v="0.11940000000000001"/>
    <n v="1285.06"/>
    <n v="752479"/>
    <n v="36242"/>
    <n v="164721.51"/>
    <n v="2023"/>
    <s v="October"/>
    <s v="Q4"/>
    <s v="USA | DEF | GHI"/>
    <n v="4.8163470342693949E-2"/>
    <n v="128.18196037539104"/>
    <x v="0"/>
  </r>
  <r>
    <x v="51"/>
    <s v="West"/>
    <x v="0"/>
    <x v="4"/>
    <x v="2"/>
    <s v="SGD"/>
    <d v="2023-10-08T00:00:00"/>
    <d v="2023-11-11T00:00:00"/>
    <n v="10930.67"/>
    <n v="0.32450000000000001"/>
    <n v="3547"/>
    <n v="697919"/>
    <n v="37861"/>
    <n v="120493.09"/>
    <n v="2023"/>
    <s v="October"/>
    <s v="Q4"/>
    <s v="USA | DEF | GHI"/>
    <n v="5.4248415647087989E-2"/>
    <n v="33.970422892585283"/>
    <x v="0"/>
  </r>
  <r>
    <x v="55"/>
    <s v="West"/>
    <x v="0"/>
    <x v="0"/>
    <x v="1"/>
    <s v="AUD"/>
    <d v="2023-10-08T00:00:00"/>
    <d v="2023-10-15T00:00:00"/>
    <n v="48740.45"/>
    <n v="0.66849999999999998"/>
    <n v="32582.99"/>
    <n v="741295"/>
    <n v="8375"/>
    <n v="161278.07"/>
    <n v="2023"/>
    <s v="October"/>
    <s v="Q4"/>
    <s v="UK | JKL | MNO | PQR"/>
    <n v="1.1297796423825873E-2"/>
    <n v="4.9497627443030856"/>
    <x v="0"/>
  </r>
  <r>
    <x v="56"/>
    <s v="North"/>
    <x v="0"/>
    <x v="5"/>
    <x v="1"/>
    <s v="SGD"/>
    <d v="2023-10-11T00:00:00"/>
    <d v="2023-11-19T00:00:00"/>
    <n v="16638.34"/>
    <n v="0.53490000000000004"/>
    <n v="8899.85"/>
    <n v="133365"/>
    <n v="17968"/>
    <n v="41583.58"/>
    <n v="2023"/>
    <s v="October"/>
    <s v="Q4"/>
    <s v="Australia | ABC | BCD"/>
    <n v="0.13472800209950136"/>
    <n v="4.6723911077152982"/>
    <x v="0"/>
  </r>
  <r>
    <x v="44"/>
    <s v="West"/>
    <x v="2"/>
    <x v="2"/>
    <x v="1"/>
    <s v="AUD"/>
    <d v="2023-10-11T00:00:00"/>
    <d v="2023-10-19T00:00:00"/>
    <n v="4105.09"/>
    <n v="0.42080000000000001"/>
    <n v="1727.42"/>
    <n v="519845"/>
    <n v="32963"/>
    <n v="134037.24"/>
    <n v="2023"/>
    <s v="October"/>
    <s v="Q4"/>
    <s v="UK | JKL | MNO | PQR"/>
    <n v="6.340928546008906E-2"/>
    <n v="77.593891468201122"/>
    <x v="0"/>
  </r>
  <r>
    <x v="14"/>
    <s v="West"/>
    <x v="2"/>
    <x v="0"/>
    <x v="0"/>
    <s v="INR"/>
    <d v="2023-10-11T00:00:00"/>
    <d v="2023-10-16T00:00:00"/>
    <n v="49105.93"/>
    <n v="0.43569999999999998"/>
    <n v="21395.45"/>
    <n v="907412"/>
    <n v="33078"/>
    <n v="56641.13"/>
    <n v="2023"/>
    <s v="October"/>
    <s v="Q4"/>
    <s v="USA | DEF | GHI"/>
    <n v="3.6453121625017085E-2"/>
    <n v="2.6473446457073817"/>
    <x v="0"/>
  </r>
  <r>
    <x v="45"/>
    <s v="North"/>
    <x v="4"/>
    <x v="2"/>
    <x v="2"/>
    <s v="INR"/>
    <d v="2023-10-12T00:00:00"/>
    <d v="2023-10-22T00:00:00"/>
    <n v="16185.44"/>
    <n v="0.61850000000000005"/>
    <n v="10010.69"/>
    <n v="223068"/>
    <n v="10282"/>
    <n v="136415.59"/>
    <n v="2023"/>
    <s v="October"/>
    <s v="Q4"/>
    <s v="Australia | ABC | BCD"/>
    <n v="4.6093567880646259E-2"/>
    <n v="13.626991745823714"/>
    <x v="0"/>
  </r>
  <r>
    <x v="27"/>
    <s v="South"/>
    <x v="0"/>
    <x v="1"/>
    <x v="1"/>
    <s v="INR"/>
    <d v="2023-10-14T00:00:00"/>
    <d v="2023-10-24T00:00:00"/>
    <n v="10974.19"/>
    <n v="0.17319999999999999"/>
    <n v="1900.73"/>
    <n v="556302"/>
    <n v="15208"/>
    <n v="79710.100000000006"/>
    <n v="2023"/>
    <s v="October"/>
    <s v="Q4"/>
    <s v="Australia | ABC | BCD"/>
    <n v="2.7337669107786778E-2"/>
    <n v="41.936571738226895"/>
    <x v="0"/>
  </r>
  <r>
    <x v="50"/>
    <s v="West"/>
    <x v="0"/>
    <x v="1"/>
    <x v="1"/>
    <s v="SGD"/>
    <d v="2023-10-15T00:00:00"/>
    <d v="2023-11-20T00:00:00"/>
    <n v="45320.87"/>
    <n v="0.85129999999999995"/>
    <n v="38581.660000000003"/>
    <n v="229242"/>
    <n v="567"/>
    <n v="53041.26"/>
    <n v="2023"/>
    <s v="October"/>
    <s v="Q4"/>
    <s v="UK | JKL | MNO | PQR"/>
    <n v="2.4733687544167297E-3"/>
    <n v="1.3747791048907694"/>
    <x v="0"/>
  </r>
  <r>
    <x v="31"/>
    <s v="East"/>
    <x v="2"/>
    <x v="4"/>
    <x v="1"/>
    <s v="SGD"/>
    <d v="2023-10-15T00:00:00"/>
    <d v="2023-10-28T00:00:00"/>
    <n v="6444.35"/>
    <n v="0.56399999999999995"/>
    <n v="3634.61"/>
    <n v="448539"/>
    <n v="11319"/>
    <n v="191283.20000000001"/>
    <n v="2023"/>
    <s v="October"/>
    <s v="Q4"/>
    <s v="India | XYZ | PQR | TEST"/>
    <n v="2.5235263823212697E-2"/>
    <n v="52.628259978374572"/>
    <x v="0"/>
  </r>
  <r>
    <x v="15"/>
    <s v="North"/>
    <x v="4"/>
    <x v="5"/>
    <x v="1"/>
    <s v="USD"/>
    <d v="2023-10-17T00:00:00"/>
    <d v="2023-12-10T00:00:00"/>
    <n v="18082.16"/>
    <n v="0.69389999999999996"/>
    <n v="12547.21"/>
    <n v="542623"/>
    <n v="6845"/>
    <n v="104393.07"/>
    <n v="2023"/>
    <s v="October"/>
    <s v="Q4"/>
    <s v="USA | DEF | GHI"/>
    <n v="1.261465142465395E-2"/>
    <n v="8.3200225388751772"/>
    <x v="0"/>
  </r>
  <r>
    <x v="14"/>
    <s v="South"/>
    <x v="4"/>
    <x v="2"/>
    <x v="2"/>
    <s v="INR"/>
    <d v="2023-10-17T00:00:00"/>
    <d v="2023-11-07T00:00:00"/>
    <n v="31033.65"/>
    <n v="0.9163"/>
    <n v="28436.13"/>
    <n v="286570"/>
    <n v="33980"/>
    <n v="81687.53"/>
    <n v="2023"/>
    <s v="October"/>
    <s v="Q4"/>
    <s v="UK | JKL | MNO | PQR"/>
    <n v="0.11857486826953274"/>
    <n v="2.8726669205690083"/>
    <x v="0"/>
  </r>
  <r>
    <x v="53"/>
    <s v="East"/>
    <x v="2"/>
    <x v="4"/>
    <x v="1"/>
    <s v="SGD"/>
    <d v="2023-10-19T00:00:00"/>
    <d v="2023-12-02T00:00:00"/>
    <n v="4420.6400000000003"/>
    <n v="0.24030000000000001"/>
    <n v="1062.28"/>
    <n v="519462"/>
    <n v="29633"/>
    <n v="85444.79"/>
    <n v="2023"/>
    <s v="October"/>
    <s v="Q4"/>
    <s v="USA | DEF | GHI"/>
    <n v="5.7045558674166733E-2"/>
    <n v="80.435280716948441"/>
    <x v="0"/>
  </r>
  <r>
    <x v="31"/>
    <s v="South"/>
    <x v="4"/>
    <x v="0"/>
    <x v="1"/>
    <s v="AUD"/>
    <d v="2023-10-19T00:00:00"/>
    <d v="2023-12-01T00:00:00"/>
    <n v="1798.82"/>
    <n v="0.17080000000000001"/>
    <n v="307.24"/>
    <n v="943572"/>
    <n v="19881"/>
    <n v="6609.36"/>
    <n v="2023"/>
    <s v="October"/>
    <s v="Q4"/>
    <s v="India | XYZ | PQR | TEST"/>
    <n v="2.1069934249850569E-2"/>
    <n v="21.512042702773076"/>
    <x v="0"/>
  </r>
  <r>
    <x v="11"/>
    <s v="South"/>
    <x v="1"/>
    <x v="5"/>
    <x v="2"/>
    <s v="SGD"/>
    <d v="2023-10-20T00:00:00"/>
    <d v="2023-11-14T00:00:00"/>
    <n v="19819.32"/>
    <n v="0.91120000000000001"/>
    <n v="18059.36"/>
    <n v="160152"/>
    <n v="2848"/>
    <n v="204426.86"/>
    <n v="2023"/>
    <s v="October"/>
    <s v="Q4"/>
    <s v="USA | DEF | GHI"/>
    <n v="1.7783106049253209E-2"/>
    <n v="11.319717863755969"/>
    <x v="0"/>
  </r>
  <r>
    <x v="46"/>
    <s v="South"/>
    <x v="4"/>
    <x v="5"/>
    <x v="0"/>
    <s v="SGD"/>
    <d v="2023-10-22T00:00:00"/>
    <d v="2023-11-24T00:00:00"/>
    <n v="44161.48"/>
    <n v="0.58679999999999999"/>
    <n v="25913.96"/>
    <n v="40271"/>
    <n v="41389"/>
    <n v="154173.56"/>
    <n v="2023"/>
    <s v="October"/>
    <s v="Q4"/>
    <s v="UK | JKL | MNO | PQR"/>
    <n v="1.0277619130391598"/>
    <n v="5.9494403788537147"/>
    <x v="0"/>
  </r>
  <r>
    <x v="33"/>
    <s v="South"/>
    <x v="4"/>
    <x v="0"/>
    <x v="2"/>
    <s v="USD"/>
    <d v="2023-10-22T00:00:00"/>
    <d v="2023-11-03T00:00:00"/>
    <n v="29100.36"/>
    <n v="0.65639999999999998"/>
    <n v="19101.48"/>
    <n v="949272"/>
    <n v="25956"/>
    <n v="205502.48"/>
    <n v="2023"/>
    <s v="October"/>
    <s v="Q4"/>
    <s v="USA | DEF | GHI"/>
    <n v="2.7343058680757464E-2"/>
    <n v="10.758458506880096"/>
    <x v="0"/>
  </r>
  <r>
    <x v="30"/>
    <s v="East"/>
    <x v="4"/>
    <x v="0"/>
    <x v="2"/>
    <s v="SGD"/>
    <d v="2023-10-23T00:00:00"/>
    <d v="2023-12-09T00:00:00"/>
    <n v="47314.48"/>
    <n v="0.97809999999999997"/>
    <n v="46278.29"/>
    <n v="586818"/>
    <n v="2504"/>
    <n v="116432.35"/>
    <n v="2023"/>
    <s v="October"/>
    <s v="Q4"/>
    <s v="Australia | ABC | BCD"/>
    <n v="4.2670811052149052E-3"/>
    <n v="2.5159172908074177"/>
    <x v="0"/>
  </r>
  <r>
    <x v="36"/>
    <s v="East"/>
    <x v="2"/>
    <x v="5"/>
    <x v="1"/>
    <s v="INR"/>
    <d v="2023-10-23T00:00:00"/>
    <d v="2023-11-04T00:00:00"/>
    <n v="48504.02"/>
    <n v="0.60370000000000001"/>
    <n v="29281.88"/>
    <n v="728826"/>
    <n v="9742"/>
    <n v="119247.78"/>
    <n v="2023"/>
    <s v="October"/>
    <s v="Q4"/>
    <s v="USA | DEF | GHI"/>
    <n v="1.3366702066062407E-2"/>
    <n v="4.0724086021799142"/>
    <x v="0"/>
  </r>
  <r>
    <x v="41"/>
    <s v="West"/>
    <x v="4"/>
    <x v="2"/>
    <x v="0"/>
    <s v="GBP"/>
    <d v="2023-10-24T00:00:00"/>
    <d v="2023-12-16T00:00:00"/>
    <n v="49053.8"/>
    <n v="0.69269999999999998"/>
    <n v="33979.57"/>
    <n v="164228"/>
    <n v="37143"/>
    <n v="183493.23"/>
    <n v="2023"/>
    <s v="October"/>
    <s v="Q4"/>
    <s v="Australia | ABC | BCD"/>
    <n v="0.22616727963562852"/>
    <n v="5.4001045334005111"/>
    <x v="0"/>
  </r>
  <r>
    <x v="3"/>
    <s v="West"/>
    <x v="0"/>
    <x v="1"/>
    <x v="1"/>
    <s v="INR"/>
    <d v="2023-10-24T00:00:00"/>
    <d v="2023-12-04T00:00:00"/>
    <n v="14099.81"/>
    <n v="1.0309999999999999"/>
    <n v="14536.9"/>
    <n v="953881"/>
    <n v="44618"/>
    <n v="204719.32"/>
    <n v="2023"/>
    <s v="October"/>
    <s v="Q4"/>
    <s v="India | XYZ | PQR | TEST"/>
    <n v="4.6775226679218899E-2"/>
    <n v="14.082735658909398"/>
    <x v="0"/>
  </r>
  <r>
    <x v="19"/>
    <s v="East"/>
    <x v="3"/>
    <x v="2"/>
    <x v="1"/>
    <s v="INR"/>
    <d v="2023-10-25T00:00:00"/>
    <d v="2023-12-11T00:00:00"/>
    <n v="4300.78"/>
    <n v="0.12690000000000001"/>
    <n v="545.77"/>
    <n v="770835"/>
    <n v="38149"/>
    <n v="124361.65"/>
    <n v="2023"/>
    <s v="October"/>
    <s v="Q4"/>
    <s v="Australia | ABC | BCD"/>
    <n v="4.9490487588134943E-2"/>
    <n v="227.86457665316891"/>
    <x v="0"/>
  </r>
  <r>
    <x v="3"/>
    <s v="East"/>
    <x v="3"/>
    <x v="5"/>
    <x v="2"/>
    <s v="AUD"/>
    <d v="2023-10-25T00:00:00"/>
    <d v="2023-11-28T00:00:00"/>
    <n v="22430.42"/>
    <n v="1.0895999999999999"/>
    <n v="24440.19"/>
    <n v="510811"/>
    <n v="19786"/>
    <n v="41408.6"/>
    <n v="2023"/>
    <s v="October"/>
    <s v="Q4"/>
    <s v="Australia | ABC | BCD"/>
    <n v="3.8734483008392537E-2"/>
    <n v="1.694283064084199"/>
    <x v="0"/>
  </r>
  <r>
    <x v="33"/>
    <s v="East"/>
    <x v="4"/>
    <x v="2"/>
    <x v="2"/>
    <s v="GBP"/>
    <d v="2023-10-25T00:00:00"/>
    <d v="2023-11-16T00:00:00"/>
    <n v="25866.880000000001"/>
    <n v="1.0689"/>
    <n v="27649.11"/>
    <n v="830854"/>
    <n v="26904"/>
    <n v="19896.8"/>
    <n v="2023"/>
    <s v="October"/>
    <s v="Q4"/>
    <s v="UK | JKL | MNO | PQR"/>
    <n v="3.2381140368825327E-2"/>
    <n v="0.71961809982310454"/>
    <x v="0"/>
  </r>
  <r>
    <x v="43"/>
    <s v="East"/>
    <x v="2"/>
    <x v="0"/>
    <x v="1"/>
    <s v="SGD"/>
    <d v="2023-10-26T00:00:00"/>
    <d v="2023-11-28T00:00:00"/>
    <n v="20503.95"/>
    <n v="0.37240000000000001"/>
    <n v="7635.67"/>
    <n v="877823"/>
    <n v="18837"/>
    <n v="118030.06"/>
    <n v="2023"/>
    <s v="October"/>
    <s v="Q4"/>
    <s v="India | XYZ | PQR | TEST"/>
    <n v="2.1458767883730547E-2"/>
    <n v="15.457721457318087"/>
    <x v="0"/>
  </r>
  <r>
    <x v="33"/>
    <s v="West"/>
    <x v="2"/>
    <x v="5"/>
    <x v="0"/>
    <s v="SGD"/>
    <d v="2023-10-27T00:00:00"/>
    <d v="2023-11-03T00:00:00"/>
    <n v="14467.79"/>
    <n v="0.64980000000000004"/>
    <n v="9401.17"/>
    <n v="186379"/>
    <n v="30071"/>
    <n v="143584.35999999999"/>
    <n v="2023"/>
    <s v="October"/>
    <s v="Q4"/>
    <s v="Australia | ABC | BCD"/>
    <n v="0.16134328438289722"/>
    <n v="15.273030909982479"/>
    <x v="0"/>
  </r>
  <r>
    <x v="44"/>
    <s v="South"/>
    <x v="3"/>
    <x v="2"/>
    <x v="1"/>
    <s v="AUD"/>
    <d v="2023-11-01T00:00:00"/>
    <d v="2023-12-31T00:00:00"/>
    <n v="49966.32"/>
    <n v="0.54520000000000002"/>
    <n v="27241.64"/>
    <n v="375509"/>
    <n v="5800"/>
    <n v="112572.13"/>
    <n v="2023"/>
    <s v="November"/>
    <s v="Q4"/>
    <s v="UK | JKL | MNO | PQR"/>
    <n v="1.5445701700891323E-2"/>
    <n v="4.1323551005005577"/>
    <x v="0"/>
  </r>
  <r>
    <x v="11"/>
    <s v="South"/>
    <x v="1"/>
    <x v="4"/>
    <x v="2"/>
    <s v="GBP"/>
    <d v="2023-11-02T00:00:00"/>
    <d v="2023-12-25T00:00:00"/>
    <n v="20109.349999999999"/>
    <n v="1.0710999999999999"/>
    <n v="21539.119999999999"/>
    <n v="886325"/>
    <n v="27560"/>
    <n v="136864.04"/>
    <n v="2023"/>
    <s v="November"/>
    <s v="Q4"/>
    <s v="UK | JKL | MNO | PQR"/>
    <n v="3.1094688742842637E-2"/>
    <n v="6.3542075999390883"/>
    <x v="0"/>
  </r>
  <r>
    <x v="37"/>
    <s v="South"/>
    <x v="0"/>
    <x v="4"/>
    <x v="0"/>
    <s v="INR"/>
    <d v="2023-11-04T00:00:00"/>
    <d v="2024-01-02T00:00:00"/>
    <n v="8717.76"/>
    <n v="0.85440000000000005"/>
    <n v="7448.45"/>
    <n v="744233"/>
    <n v="41892"/>
    <n v="47652.3"/>
    <n v="2023"/>
    <s v="November"/>
    <s v="Q4"/>
    <s v="UK | JKL | MNO | PQR"/>
    <n v="5.6288823527040593E-2"/>
    <n v="6.3976129261792725"/>
    <x v="0"/>
  </r>
  <r>
    <x v="54"/>
    <s v="South"/>
    <x v="4"/>
    <x v="3"/>
    <x v="1"/>
    <s v="USD"/>
    <d v="2023-11-04T00:00:00"/>
    <d v="2023-11-25T00:00:00"/>
    <n v="28544.78"/>
    <n v="0.68569999999999998"/>
    <n v="19573.16"/>
    <n v="427754"/>
    <n v="6586"/>
    <n v="174183.08"/>
    <n v="2023"/>
    <s v="November"/>
    <s v="Q4"/>
    <s v="UK | JKL | MNO | PQR"/>
    <n v="1.5396699972414052E-2"/>
    <n v="8.8990781253512452"/>
    <x v="0"/>
  </r>
  <r>
    <x v="14"/>
    <s v="South"/>
    <x v="3"/>
    <x v="2"/>
    <x v="2"/>
    <s v="USD"/>
    <d v="2023-11-05T00:00:00"/>
    <d v="2023-12-22T00:00:00"/>
    <n v="1503.35"/>
    <n v="0.12479999999999999"/>
    <n v="187.62"/>
    <n v="139806"/>
    <n v="39539"/>
    <n v="55323.29"/>
    <n v="2023"/>
    <s v="November"/>
    <s v="Q4"/>
    <s v="Australia | ABC | BCD"/>
    <n v="0.28281332703889678"/>
    <n v="294.86883061507302"/>
    <x v="0"/>
  </r>
  <r>
    <x v="15"/>
    <s v="West"/>
    <x v="1"/>
    <x v="1"/>
    <x v="0"/>
    <s v="SGD"/>
    <d v="2023-11-05T00:00:00"/>
    <d v="2023-12-10T00:00:00"/>
    <n v="37561.379999999997"/>
    <n v="0.90539999999999998"/>
    <n v="34008.07"/>
    <n v="568388"/>
    <n v="15413"/>
    <n v="98051.19"/>
    <n v="2023"/>
    <s v="November"/>
    <s v="Q4"/>
    <s v="UK | JKL | MNO | PQR"/>
    <n v="2.7117039768608766E-2"/>
    <n v="2.8831741995355809"/>
    <x v="0"/>
  </r>
  <r>
    <x v="17"/>
    <s v="West"/>
    <x v="0"/>
    <x v="4"/>
    <x v="1"/>
    <s v="GBP"/>
    <d v="2023-11-05T00:00:00"/>
    <d v="2023-11-29T00:00:00"/>
    <n v="5194.3"/>
    <n v="0.68430000000000002"/>
    <n v="3554.46"/>
    <n v="668840"/>
    <n v="30322"/>
    <n v="138728.51999999999"/>
    <n v="2023"/>
    <s v="November"/>
    <s v="Q4"/>
    <s v="USA | DEF | GHI"/>
    <n v="4.5335207224448296E-2"/>
    <n v="39.029422190712509"/>
    <x v="0"/>
  </r>
  <r>
    <x v="52"/>
    <s v="East"/>
    <x v="3"/>
    <x v="5"/>
    <x v="2"/>
    <s v="AUD"/>
    <d v="2023-11-06T00:00:00"/>
    <d v="2023-12-06T00:00:00"/>
    <n v="33891.839999999997"/>
    <n v="0.16739999999999999"/>
    <n v="5673.49"/>
    <n v="945566"/>
    <n v="36771"/>
    <n v="15075.62"/>
    <n v="2023"/>
    <s v="November"/>
    <s v="Q4"/>
    <s v="UK | JKL | MNO | PQR"/>
    <n v="3.888781957050063E-2"/>
    <n v="2.657203943251861"/>
    <x v="0"/>
  </r>
  <r>
    <x v="8"/>
    <s v="South"/>
    <x v="4"/>
    <x v="0"/>
    <x v="1"/>
    <s v="INR"/>
    <d v="2023-11-07T00:00:00"/>
    <d v="2024-01-05T00:00:00"/>
    <n v="11796.48"/>
    <n v="0.8528"/>
    <n v="10060.040000000001"/>
    <n v="588972"/>
    <n v="7905"/>
    <n v="46921.73"/>
    <n v="2023"/>
    <s v="November"/>
    <s v="Q4"/>
    <s v="USA | DEF | GHI"/>
    <n v="1.3421690674599132E-2"/>
    <n v="4.6641693273585396"/>
    <x v="0"/>
  </r>
  <r>
    <x v="46"/>
    <s v="North"/>
    <x v="3"/>
    <x v="5"/>
    <x v="0"/>
    <s v="USD"/>
    <d v="2023-11-09T00:00:00"/>
    <d v="2023-12-10T00:00:00"/>
    <n v="38758.339999999997"/>
    <n v="1.0158"/>
    <n v="39370.720000000001"/>
    <n v="675506"/>
    <n v="5308"/>
    <n v="23789.84"/>
    <n v="2023"/>
    <s v="November"/>
    <s v="Q4"/>
    <s v="USA | DEF | GHI"/>
    <n v="7.8578132540643598E-3"/>
    <n v="0.60425209394189383"/>
    <x v="0"/>
  </r>
  <r>
    <x v="11"/>
    <s v="East"/>
    <x v="4"/>
    <x v="2"/>
    <x v="2"/>
    <s v="AUD"/>
    <d v="2023-11-10T00:00:00"/>
    <d v="2023-12-27T00:00:00"/>
    <n v="29496.22"/>
    <n v="0.57320000000000004"/>
    <n v="16907.23"/>
    <n v="566711"/>
    <n v="22628"/>
    <n v="109248.43"/>
    <n v="2023"/>
    <s v="November"/>
    <s v="Q4"/>
    <s v="USA | DEF | GHI"/>
    <n v="3.9928640876919629E-2"/>
    <n v="6.4616397836901722"/>
    <x v="0"/>
  </r>
  <r>
    <x v="57"/>
    <s v="West"/>
    <x v="2"/>
    <x v="0"/>
    <x v="0"/>
    <s v="SGD"/>
    <d v="2023-11-11T00:00:00"/>
    <d v="2024-01-01T00:00:00"/>
    <n v="34736.42"/>
    <n v="0.1615"/>
    <n v="5609.93"/>
    <n v="774234"/>
    <n v="217"/>
    <n v="237453.09"/>
    <n v="2023"/>
    <s v="November"/>
    <s v="Q4"/>
    <s v="USA | DEF | GHI"/>
    <n v="2.8027702219225715E-4"/>
    <n v="42.327282158600909"/>
    <x v="0"/>
  </r>
  <r>
    <x v="21"/>
    <s v="West"/>
    <x v="0"/>
    <x v="3"/>
    <x v="0"/>
    <s v="AUD"/>
    <d v="2023-11-11T00:00:00"/>
    <d v="2023-12-22T00:00:00"/>
    <n v="33378.050000000003"/>
    <n v="1.0047999999999999"/>
    <n v="33538.26"/>
    <n v="898765"/>
    <n v="11816"/>
    <n v="113733.13"/>
    <n v="2023"/>
    <s v="November"/>
    <s v="Q4"/>
    <s v="UK | JKL | MNO | PQR"/>
    <n v="1.314692939756221E-2"/>
    <n v="3.3911458137661286"/>
    <x v="0"/>
  </r>
  <r>
    <x v="44"/>
    <s v="West"/>
    <x v="2"/>
    <x v="4"/>
    <x v="0"/>
    <s v="GBP"/>
    <d v="2023-11-12T00:00:00"/>
    <d v="2023-12-28T00:00:00"/>
    <n v="49388.58"/>
    <n v="9.4799999999999995E-2"/>
    <n v="4682.04"/>
    <n v="937989"/>
    <n v="2644"/>
    <n v="248155.75"/>
    <n v="2023"/>
    <s v="November"/>
    <s v="Q4"/>
    <s v="USA | DEF | GHI"/>
    <n v="2.8187963824735686E-3"/>
    <n v="53.001629631528139"/>
    <x v="0"/>
  </r>
  <r>
    <x v="5"/>
    <s v="South"/>
    <x v="0"/>
    <x v="0"/>
    <x v="1"/>
    <s v="AUD"/>
    <d v="2023-11-13T00:00:00"/>
    <d v="2023-12-02T00:00:00"/>
    <n v="13122.43"/>
    <n v="0.34820000000000001"/>
    <n v="4569.2299999999996"/>
    <n v="666912"/>
    <n v="8384"/>
    <n v="37162.89"/>
    <n v="2023"/>
    <s v="November"/>
    <s v="Q4"/>
    <s v="USA | DEF | GHI"/>
    <n v="1.2571373734465716E-2"/>
    <n v="8.133293793483805"/>
    <x v="0"/>
  </r>
  <r>
    <x v="42"/>
    <s v="South"/>
    <x v="2"/>
    <x v="2"/>
    <x v="1"/>
    <s v="GBP"/>
    <d v="2023-11-14T00:00:00"/>
    <d v="2023-12-16T00:00:00"/>
    <n v="41076.910000000003"/>
    <n v="0.80110000000000003"/>
    <n v="32906.71"/>
    <n v="176494"/>
    <n v="39664"/>
    <n v="145897.39000000001"/>
    <n v="2023"/>
    <s v="November"/>
    <s v="Q4"/>
    <s v="USA | DEF | GHI"/>
    <n v="0.22473285210828697"/>
    <n v="4.4336668721971906"/>
    <x v="0"/>
  </r>
  <r>
    <x v="37"/>
    <s v="South"/>
    <x v="2"/>
    <x v="2"/>
    <x v="1"/>
    <s v="SGD"/>
    <d v="2023-11-15T00:00:00"/>
    <d v="2023-11-23T00:00:00"/>
    <n v="29912.93"/>
    <n v="0.2359"/>
    <n v="7056.46"/>
    <n v="417000"/>
    <n v="27867"/>
    <n v="83312.53"/>
    <n v="2023"/>
    <s v="November"/>
    <s v="Q4"/>
    <s v="India | XYZ | PQR | TEST"/>
    <n v="6.68273381294964E-2"/>
    <n v="11.806561647058157"/>
    <x v="0"/>
  </r>
  <r>
    <x v="28"/>
    <s v="South"/>
    <x v="4"/>
    <x v="3"/>
    <x v="2"/>
    <s v="GBP"/>
    <d v="2023-11-18T00:00:00"/>
    <d v="2023-12-04T00:00:00"/>
    <n v="48264.160000000003"/>
    <n v="1.1628000000000001"/>
    <n v="56121.57"/>
    <n v="315605"/>
    <n v="48260"/>
    <n v="175264.65"/>
    <n v="2023"/>
    <s v="November"/>
    <s v="Q4"/>
    <s v="USA | DEF | GHI"/>
    <n v="0.15291265981210692"/>
    <n v="3.1229463110173148"/>
    <x v="1"/>
  </r>
  <r>
    <x v="24"/>
    <s v="East"/>
    <x v="3"/>
    <x v="3"/>
    <x v="2"/>
    <s v="INR"/>
    <d v="2023-11-19T00:00:00"/>
    <d v="2024-01-17T00:00:00"/>
    <n v="19440.490000000002"/>
    <n v="0.55700000000000005"/>
    <n v="10828.35"/>
    <n v="44455"/>
    <n v="11691"/>
    <n v="141383.29999999999"/>
    <n v="2023"/>
    <s v="November"/>
    <s v="Q4"/>
    <s v="USA | DEF | GHI"/>
    <n v="0.26298504105274995"/>
    <n v="13.056772269089933"/>
    <x v="0"/>
  </r>
  <r>
    <x v="20"/>
    <s v="North"/>
    <x v="0"/>
    <x v="4"/>
    <x v="1"/>
    <s v="AUD"/>
    <d v="2023-11-20T00:00:00"/>
    <d v="2023-12-26T00:00:00"/>
    <n v="43471.86"/>
    <n v="0.64259999999999995"/>
    <n v="27935.02"/>
    <n v="205472"/>
    <n v="13133"/>
    <n v="127659.45"/>
    <n v="2023"/>
    <s v="November"/>
    <s v="Q4"/>
    <s v="USA | DEF | GHI"/>
    <n v="6.3916251362716087E-2"/>
    <n v="4.5698714373571239"/>
    <x v="0"/>
  </r>
  <r>
    <x v="25"/>
    <s v="East"/>
    <x v="2"/>
    <x v="5"/>
    <x v="2"/>
    <s v="GBP"/>
    <d v="2023-11-21T00:00:00"/>
    <d v="2024-01-06T00:00:00"/>
    <n v="15276.46"/>
    <n v="0.32829999999999998"/>
    <n v="5015.26"/>
    <n v="685958"/>
    <n v="26016"/>
    <n v="71455.78"/>
    <n v="2023"/>
    <s v="November"/>
    <s v="Q4"/>
    <s v="India | XYZ | PQR | TEST"/>
    <n v="3.79265202825829E-2"/>
    <n v="14.247672104736344"/>
    <x v="0"/>
  </r>
  <r>
    <x v="21"/>
    <s v="West"/>
    <x v="4"/>
    <x v="2"/>
    <x v="0"/>
    <s v="AUD"/>
    <d v="2023-11-21T00:00:00"/>
    <d v="2023-12-31T00:00:00"/>
    <n v="39639.53"/>
    <n v="0.91049999999999998"/>
    <n v="36091.79"/>
    <n v="854654"/>
    <n v="28851"/>
    <n v="184631.26"/>
    <n v="2023"/>
    <s v="November"/>
    <s v="Q4"/>
    <s v="Australia | ABC | BCD"/>
    <n v="3.3757520587278593E-2"/>
    <n v="5.1156027451118389"/>
    <x v="0"/>
  </r>
  <r>
    <x v="36"/>
    <s v="West"/>
    <x v="4"/>
    <x v="3"/>
    <x v="2"/>
    <s v="USD"/>
    <d v="2023-11-22T00:00:00"/>
    <d v="2024-01-04T00:00:00"/>
    <n v="30648.81"/>
    <n v="1.1326000000000001"/>
    <n v="34712.839999999997"/>
    <n v="962575"/>
    <n v="43797"/>
    <n v="93460.89"/>
    <n v="2023"/>
    <s v="November"/>
    <s v="Q4"/>
    <s v="USA | DEF | GHI"/>
    <n v="4.549983118198582E-2"/>
    <n v="2.692401140327326"/>
    <x v="0"/>
  </r>
  <r>
    <x v="9"/>
    <s v="West"/>
    <x v="2"/>
    <x v="4"/>
    <x v="1"/>
    <s v="AUD"/>
    <d v="2023-11-25T00:00:00"/>
    <d v="2024-01-15T00:00:00"/>
    <n v="4103.75"/>
    <n v="1.1609"/>
    <n v="4764.04"/>
    <n v="868835"/>
    <n v="25494"/>
    <n v="51518.02"/>
    <n v="2023"/>
    <s v="November"/>
    <s v="Q4"/>
    <s v="USA | DEF | GHI"/>
    <n v="2.9342740566390628E-2"/>
    <n v="10.813935231442221"/>
    <x v="0"/>
  </r>
  <r>
    <x v="43"/>
    <s v="South"/>
    <x v="1"/>
    <x v="1"/>
    <x v="2"/>
    <s v="USD"/>
    <d v="2023-11-25T00:00:00"/>
    <d v="2023-12-06T00:00:00"/>
    <n v="4923.38"/>
    <n v="0.79649999999999999"/>
    <n v="3921.47"/>
    <n v="331384"/>
    <n v="29323"/>
    <n v="152642.29999999999"/>
    <n v="2023"/>
    <s v="November"/>
    <s v="Q4"/>
    <s v="USA | DEF | GHI"/>
    <n v="8.8486468869951471E-2"/>
    <n v="38.924765457851265"/>
    <x v="0"/>
  </r>
  <r>
    <x v="51"/>
    <s v="East"/>
    <x v="3"/>
    <x v="2"/>
    <x v="2"/>
    <s v="USD"/>
    <d v="2023-11-25T00:00:00"/>
    <d v="2023-12-01T00:00:00"/>
    <n v="8455.32"/>
    <n v="1.1639999999999999"/>
    <n v="9841.99"/>
    <n v="33205"/>
    <n v="12285"/>
    <n v="243221.49"/>
    <n v="2023"/>
    <s v="November"/>
    <s v="Q4"/>
    <s v="India | XYZ | PQR | TEST"/>
    <n v="0.36997440144556543"/>
    <n v="24.712633319074698"/>
    <x v="0"/>
  </r>
  <r>
    <x v="20"/>
    <s v="West"/>
    <x v="4"/>
    <x v="0"/>
    <x v="2"/>
    <s v="AUD"/>
    <d v="2023-11-27T00:00:00"/>
    <d v="2024-01-25T00:00:00"/>
    <n v="13029.26"/>
    <n v="1.1222000000000001"/>
    <n v="14621.44"/>
    <n v="302477"/>
    <n v="29643"/>
    <n v="64746.54"/>
    <n v="2023"/>
    <s v="November"/>
    <s v="Q4"/>
    <s v="India | XYZ | PQR | TEST"/>
    <n v="9.800083973326898E-2"/>
    <n v="4.4281917512912541"/>
    <x v="0"/>
  </r>
  <r>
    <x v="28"/>
    <s v="East"/>
    <x v="3"/>
    <x v="5"/>
    <x v="2"/>
    <s v="AUD"/>
    <d v="2023-11-27T00:00:00"/>
    <d v="2024-01-07T00:00:00"/>
    <n v="5788.56"/>
    <n v="0.59109999999999996"/>
    <n v="3421.62"/>
    <n v="734423"/>
    <n v="44344"/>
    <n v="55447.54"/>
    <n v="2023"/>
    <s v="November"/>
    <s v="Q4"/>
    <s v="UK | JKL | MNO | PQR"/>
    <n v="6.0379372650366345E-2"/>
    <n v="16.205054915507858"/>
    <x v="0"/>
  </r>
  <r>
    <x v="40"/>
    <s v="East"/>
    <x v="1"/>
    <x v="4"/>
    <x v="0"/>
    <s v="AUD"/>
    <d v="2023-11-27T00:00:00"/>
    <d v="2023-12-25T00:00:00"/>
    <n v="44978.96"/>
    <n v="0.98609999999999998"/>
    <n v="44353.75"/>
    <n v="805284"/>
    <n v="28105"/>
    <n v="211610.86"/>
    <n v="2023"/>
    <s v="November"/>
    <s v="Q4"/>
    <s v="USA | DEF | GHI"/>
    <n v="3.49007306738989E-2"/>
    <n v="4.7709801313304956"/>
    <x v="0"/>
  </r>
  <r>
    <x v="26"/>
    <s v="West"/>
    <x v="4"/>
    <x v="3"/>
    <x v="1"/>
    <s v="USD"/>
    <d v="2023-11-30T00:00:00"/>
    <d v="2024-01-09T00:00:00"/>
    <n v="5785.04"/>
    <n v="0.53979999999999995"/>
    <n v="3122.76"/>
    <n v="332998"/>
    <n v="26694"/>
    <n v="22053.87"/>
    <n v="2023"/>
    <s v="November"/>
    <s v="Q4"/>
    <s v="Australia | ABC | BCD"/>
    <n v="8.0162643619481194E-2"/>
    <n v="7.0623006571110167"/>
    <x v="0"/>
  </r>
  <r>
    <x v="46"/>
    <s v="West"/>
    <x v="3"/>
    <x v="3"/>
    <x v="2"/>
    <s v="INR"/>
    <d v="2023-12-01T00:00:00"/>
    <d v="2024-01-17T00:00:00"/>
    <n v="37685.129999999997"/>
    <n v="0.58689999999999998"/>
    <n v="22117.4"/>
    <n v="81551"/>
    <n v="5509"/>
    <n v="139364.99"/>
    <n v="2023"/>
    <s v="December"/>
    <s v="Q4"/>
    <s v="India | XYZ | PQR | TEST"/>
    <n v="6.755281970791284E-2"/>
    <n v="6.3011470606852518"/>
    <x v="0"/>
  </r>
  <r>
    <x v="17"/>
    <s v="West"/>
    <x v="4"/>
    <x v="1"/>
    <x v="1"/>
    <s v="AUD"/>
    <d v="2023-12-01T00:00:00"/>
    <d v="2023-12-25T00:00:00"/>
    <n v="25518.38"/>
    <n v="0.14960000000000001"/>
    <n v="3817.55"/>
    <n v="597354"/>
    <n v="25871"/>
    <n v="97440.84"/>
    <n v="2023"/>
    <s v="December"/>
    <s v="Q4"/>
    <s v="Australia | ABC | BCD"/>
    <n v="4.3309327467464853E-2"/>
    <n v="25.524443687705464"/>
    <x v="0"/>
  </r>
  <r>
    <x v="41"/>
    <s v="North"/>
    <x v="4"/>
    <x v="4"/>
    <x v="0"/>
    <s v="USD"/>
    <d v="2023-12-03T00:00:00"/>
    <d v="2023-12-09T00:00:00"/>
    <n v="14929.78"/>
    <n v="1.1778"/>
    <n v="17584.29"/>
    <n v="137916"/>
    <n v="25932"/>
    <n v="96521.79"/>
    <n v="2023"/>
    <s v="December"/>
    <s v="Q4"/>
    <s v="UK | JKL | MNO | PQR"/>
    <n v="0.18802749499695467"/>
    <n v="5.4890922522319636"/>
    <x v="0"/>
  </r>
  <r>
    <x v="49"/>
    <s v="East"/>
    <x v="4"/>
    <x v="1"/>
    <x v="0"/>
    <s v="USD"/>
    <d v="2023-12-06T00:00:00"/>
    <d v="2023-12-24T00:00:00"/>
    <n v="48745.52"/>
    <n v="0.497"/>
    <n v="24226.52"/>
    <n v="591028"/>
    <n v="47419"/>
    <n v="231765.53"/>
    <n v="2023"/>
    <s v="December"/>
    <s v="Q4"/>
    <s v="Australia | ABC | BCD"/>
    <n v="8.0231393436520776E-2"/>
    <n v="9.5666042832400198"/>
    <x v="0"/>
  </r>
  <r>
    <x v="21"/>
    <s v="East"/>
    <x v="3"/>
    <x v="1"/>
    <x v="0"/>
    <s v="INR"/>
    <d v="2023-12-08T00:00:00"/>
    <d v="2024-01-11T00:00:00"/>
    <n v="44570.11"/>
    <n v="0.13270000000000001"/>
    <n v="5914.45"/>
    <n v="813398"/>
    <n v="43287"/>
    <n v="187660.91"/>
    <n v="2023"/>
    <s v="December"/>
    <s v="Q4"/>
    <s v="USA | DEF | GHI"/>
    <n v="5.3217490084804732E-2"/>
    <n v="31.729224188216996"/>
    <x v="0"/>
  </r>
  <r>
    <x v="11"/>
    <s v="East"/>
    <x v="0"/>
    <x v="3"/>
    <x v="2"/>
    <s v="GBP"/>
    <d v="2023-12-08T00:00:00"/>
    <d v="2023-12-13T00:00:00"/>
    <n v="6030.51"/>
    <n v="1.0186999999999999"/>
    <n v="6143.28"/>
    <n v="462762"/>
    <n v="27342"/>
    <n v="212910.98"/>
    <n v="2023"/>
    <s v="December"/>
    <s v="Q4"/>
    <s v="UK | JKL | MNO | PQR"/>
    <n v="5.9084367342175891E-2"/>
    <n v="34.657541248323376"/>
    <x v="0"/>
  </r>
  <r>
    <x v="56"/>
    <s v="East"/>
    <x v="4"/>
    <x v="3"/>
    <x v="0"/>
    <s v="SGD"/>
    <d v="2023-12-12T00:00:00"/>
    <d v="2024-01-27T00:00:00"/>
    <n v="1797.34"/>
    <n v="0.56920000000000004"/>
    <n v="1023.05"/>
    <n v="880161"/>
    <n v="27302"/>
    <n v="182197.15"/>
    <n v="2023"/>
    <s v="December"/>
    <s v="Q4"/>
    <s v="USA | DEF | GHI"/>
    <n v="3.1019324873517457E-2"/>
    <n v="178.09212648453155"/>
    <x v="0"/>
  </r>
  <r>
    <x v="33"/>
    <s v="West"/>
    <x v="0"/>
    <x v="2"/>
    <x v="2"/>
    <s v="SGD"/>
    <d v="2023-12-15T00:00:00"/>
    <d v="2024-02-11T00:00:00"/>
    <n v="3667.21"/>
    <n v="0.40699999999999997"/>
    <n v="1492.55"/>
    <n v="842685"/>
    <n v="15615"/>
    <n v="236169.16"/>
    <n v="2023"/>
    <s v="December"/>
    <s v="Q4"/>
    <s v="Australia | ABC | BCD"/>
    <n v="1.8530055714768862E-2"/>
    <n v="158.23199222806608"/>
    <x v="0"/>
  </r>
  <r>
    <x v="12"/>
    <s v="South"/>
    <x v="2"/>
    <x v="3"/>
    <x v="1"/>
    <s v="AUD"/>
    <d v="2023-12-15T00:00:00"/>
    <d v="2023-12-31T00:00:00"/>
    <n v="34435.699999999997"/>
    <n v="1.1496999999999999"/>
    <n v="39590.720000000001"/>
    <n v="773660"/>
    <n v="42189"/>
    <n v="134397.85"/>
    <n v="2023"/>
    <s v="December"/>
    <s v="Q4"/>
    <s v="USA | DEF | GHI"/>
    <n v="5.4531706434351006E-2"/>
    <n v="3.394680622125589"/>
    <x v="0"/>
  </r>
  <r>
    <x v="49"/>
    <s v="South"/>
    <x v="1"/>
    <x v="1"/>
    <x v="1"/>
    <s v="SGD"/>
    <d v="2023-12-17T00:00:00"/>
    <d v="2024-02-08T00:00:00"/>
    <n v="15548.34"/>
    <n v="0.24629999999999999"/>
    <n v="3829.56"/>
    <n v="997697"/>
    <n v="27566"/>
    <n v="122998.19"/>
    <n v="2023"/>
    <s v="December"/>
    <s v="Q4"/>
    <s v="UK | JKL | MNO | PQR"/>
    <n v="2.7629631040285776E-2"/>
    <n v="32.118099729472839"/>
    <x v="0"/>
  </r>
  <r>
    <x v="31"/>
    <s v="North"/>
    <x v="4"/>
    <x v="0"/>
    <x v="2"/>
    <s v="SGD"/>
    <d v="2023-12-19T00:00:00"/>
    <d v="2024-01-29T00:00:00"/>
    <n v="25617.27"/>
    <n v="0.47220000000000001"/>
    <n v="12096.47"/>
    <n v="198550"/>
    <n v="1808"/>
    <n v="83125"/>
    <n v="2023"/>
    <s v="December"/>
    <s v="Q4"/>
    <s v="USA | DEF | GHI"/>
    <n v="9.1060186351045076E-3"/>
    <n v="6.8718394705232191"/>
    <x v="0"/>
  </r>
  <r>
    <x v="18"/>
    <s v="West"/>
    <x v="1"/>
    <x v="3"/>
    <x v="2"/>
    <s v="INR"/>
    <d v="2023-12-20T00:00:00"/>
    <d v="2024-01-16T00:00:00"/>
    <n v="16096.18"/>
    <n v="0.54020000000000001"/>
    <n v="8695.16"/>
    <n v="598285"/>
    <n v="5840"/>
    <n v="57845.31"/>
    <n v="2023"/>
    <s v="December"/>
    <s v="Q4"/>
    <s v="UK | JKL | MNO | PQR"/>
    <n v="9.7612341944056762E-3"/>
    <n v="6.6525871864347517"/>
    <x v="0"/>
  </r>
  <r>
    <x v="4"/>
    <s v="South"/>
    <x v="4"/>
    <x v="1"/>
    <x v="2"/>
    <s v="GBP"/>
    <d v="2023-12-20T00:00:00"/>
    <d v="2023-12-26T00:00:00"/>
    <n v="24655.78"/>
    <n v="0.36159999999999998"/>
    <n v="8915.5300000000007"/>
    <n v="975264"/>
    <n v="5726"/>
    <n v="33436.99"/>
    <n v="2023"/>
    <s v="December"/>
    <s v="Q4"/>
    <s v="India | XYZ | PQR | TEST"/>
    <n v="5.8712307641828262E-3"/>
    <n v="3.7504208947757447"/>
    <x v="0"/>
  </r>
  <r>
    <x v="57"/>
    <s v="North"/>
    <x v="4"/>
    <x v="4"/>
    <x v="2"/>
    <s v="SGD"/>
    <d v="2023-12-22T00:00:00"/>
    <d v="2024-02-17T00:00:00"/>
    <n v="14548.88"/>
    <n v="0.73160000000000003"/>
    <n v="10643.96"/>
    <n v="213974"/>
    <n v="29903"/>
    <n v="232779.89"/>
    <n v="2023"/>
    <s v="December"/>
    <s v="Q4"/>
    <s v="Australia | ABC | BCD"/>
    <n v="0.13975062390757756"/>
    <n v="21.869669746973873"/>
    <x v="0"/>
  </r>
  <r>
    <x v="41"/>
    <s v="South"/>
    <x v="2"/>
    <x v="3"/>
    <x v="0"/>
    <s v="INR"/>
    <d v="2023-12-23T00:00:00"/>
    <d v="2024-02-14T00:00:00"/>
    <n v="20176.77"/>
    <n v="9.5500000000000002E-2"/>
    <n v="1926.88"/>
    <n v="772057"/>
    <n v="18649"/>
    <n v="74179.199999999997"/>
    <n v="2023"/>
    <s v="December"/>
    <s v="Q4"/>
    <s v="USA | DEF | GHI"/>
    <n v="2.4154952289792076E-2"/>
    <n v="38.497052229510913"/>
    <x v="0"/>
  </r>
  <r>
    <x v="55"/>
    <s v="West"/>
    <x v="2"/>
    <x v="2"/>
    <x v="0"/>
    <s v="USD"/>
    <d v="2023-12-24T00:00:00"/>
    <d v="2024-01-12T00:00:00"/>
    <n v="44286.44"/>
    <n v="0.7994"/>
    <n v="35402.58"/>
    <n v="357148"/>
    <n v="23745"/>
    <n v="76925.72"/>
    <n v="2023"/>
    <s v="December"/>
    <s v="Q4"/>
    <s v="USA | DEF | GHI"/>
    <n v="6.6485042615386333E-2"/>
    <n v="2.1728845750789914"/>
    <x v="0"/>
  </r>
  <r>
    <x v="41"/>
    <s v="South"/>
    <x v="3"/>
    <x v="2"/>
    <x v="2"/>
    <s v="INR"/>
    <d v="2023-12-25T00:00:00"/>
    <d v="2024-02-07T00:00:00"/>
    <n v="41257.620000000003"/>
    <n v="0.96530000000000005"/>
    <n v="39825.980000000003"/>
    <n v="663453"/>
    <n v="9656"/>
    <n v="112913.54"/>
    <n v="2023"/>
    <s v="December"/>
    <s v="Q4"/>
    <s v="Australia | ABC | BCD"/>
    <n v="1.4554158320182439E-2"/>
    <n v="2.8351729197875355"/>
    <x v="0"/>
  </r>
  <r>
    <x v="7"/>
    <s v="East"/>
    <x v="2"/>
    <x v="3"/>
    <x v="1"/>
    <s v="AUD"/>
    <d v="2023-12-25T00:00:00"/>
    <d v="2024-01-18T00:00:00"/>
    <n v="48417.13"/>
    <n v="0.84119999999999995"/>
    <n v="40728.49"/>
    <n v="420997"/>
    <n v="8550"/>
    <n v="150785.1"/>
    <n v="2023"/>
    <s v="December"/>
    <s v="Q4"/>
    <s v="India | XYZ | PQR | TEST"/>
    <n v="2.0308933317814616E-2"/>
    <n v="3.702202070344371"/>
    <x v="0"/>
  </r>
  <r>
    <x v="11"/>
    <s v="North"/>
    <x v="4"/>
    <x v="0"/>
    <x v="2"/>
    <s v="USD"/>
    <d v="2023-12-26T00:00:00"/>
    <d v="2024-02-22T00:00:00"/>
    <n v="31978.14"/>
    <n v="0.70630000000000004"/>
    <n v="22586.16"/>
    <n v="545118"/>
    <n v="18536"/>
    <n v="16143.76"/>
    <n v="2023"/>
    <s v="December"/>
    <s v="Q4"/>
    <s v="India | XYZ | PQR | TEST"/>
    <n v="3.4003646916814338E-2"/>
    <n v="0.71476337721861527"/>
    <x v="0"/>
  </r>
  <r>
    <x v="54"/>
    <s v="East"/>
    <x v="3"/>
    <x v="1"/>
    <x v="2"/>
    <s v="AUD"/>
    <d v="2023-12-26T00:00:00"/>
    <d v="2024-02-14T00:00:00"/>
    <n v="21485.64"/>
    <n v="0.3906"/>
    <n v="8392.2900000000009"/>
    <n v="59866"/>
    <n v="12011"/>
    <n v="15017.84"/>
    <n v="2023"/>
    <s v="December"/>
    <s v="Q4"/>
    <s v="Australia | ABC | BCD"/>
    <n v="0.2006314101493335"/>
    <n v="1.7894805827729974"/>
    <x v="0"/>
  </r>
  <r>
    <x v="21"/>
    <s v="North"/>
    <x v="4"/>
    <x v="4"/>
    <x v="1"/>
    <s v="AUD"/>
    <d v="2023-12-26T00:00:00"/>
    <d v="2024-02-10T00:00:00"/>
    <n v="25960.880000000001"/>
    <n v="0.81859999999999999"/>
    <n v="21251.58"/>
    <n v="894642"/>
    <n v="35241"/>
    <n v="86131.72"/>
    <n v="2023"/>
    <s v="December"/>
    <s v="Q4"/>
    <s v="Australia | ABC | BCD"/>
    <n v="3.9391175464599248E-2"/>
    <n v="4.0529560625609955"/>
    <x v="0"/>
  </r>
  <r>
    <x v="47"/>
    <s v="South"/>
    <x v="0"/>
    <x v="2"/>
    <x v="2"/>
    <s v="INR"/>
    <d v="2023-12-27T00:00:00"/>
    <d v="2024-02-12T00:00:00"/>
    <n v="41871.39"/>
    <n v="6.9400000000000003E-2"/>
    <n v="2905.87"/>
    <n v="154408"/>
    <n v="23051"/>
    <n v="220286.91"/>
    <n v="2023"/>
    <s v="December"/>
    <s v="Q4"/>
    <s v="India | XYZ | PQR | TEST"/>
    <n v="0.14928630640899435"/>
    <n v="75.807558493669717"/>
    <x v="0"/>
  </r>
  <r>
    <x v="58"/>
    <s v="North"/>
    <x v="0"/>
    <x v="3"/>
    <x v="2"/>
    <s v="INR"/>
    <d v="2023-12-28T00:00:00"/>
    <d v="2024-02-23T00:00:00"/>
    <n v="19442.45"/>
    <n v="0.72560000000000002"/>
    <n v="14107.44"/>
    <n v="415537"/>
    <n v="11712"/>
    <n v="210590.72"/>
    <n v="2023"/>
    <s v="December"/>
    <s v="Q4"/>
    <s v="UK | JKL | MNO | PQR"/>
    <n v="2.8185215756960272E-2"/>
    <n v="14.927635347022564"/>
    <x v="0"/>
  </r>
  <r>
    <x v="23"/>
    <s v="North"/>
    <x v="0"/>
    <x v="3"/>
    <x v="0"/>
    <s v="INR"/>
    <d v="2023-12-28T00:00:00"/>
    <d v="2024-02-06T00:00:00"/>
    <n v="41941.56"/>
    <n v="0.2984"/>
    <n v="12515.36"/>
    <n v="688569"/>
    <n v="48286"/>
    <n v="214686.55"/>
    <n v="2023"/>
    <s v="December"/>
    <s v="Q4"/>
    <s v="Australia | ABC | BCD"/>
    <n v="7.0125143594904793E-2"/>
    <n v="17.153845354827986"/>
    <x v="0"/>
  </r>
  <r>
    <x v="41"/>
    <s v="South"/>
    <x v="3"/>
    <x v="4"/>
    <x v="2"/>
    <s v="USD"/>
    <d v="2023-12-29T00:00:00"/>
    <d v="2024-02-21T00:00:00"/>
    <n v="28434.29"/>
    <n v="1.0508999999999999"/>
    <n v="29881.599999999999"/>
    <n v="660810"/>
    <n v="49217"/>
    <n v="42865.57"/>
    <n v="2023"/>
    <s v="December"/>
    <s v="Q4"/>
    <s v="India | XYZ | PQR | TEST"/>
    <n v="7.4479805087695403E-2"/>
    <n v="1.4345138814521312"/>
    <x v="0"/>
  </r>
  <r>
    <x v="16"/>
    <s v="North"/>
    <x v="0"/>
    <x v="3"/>
    <x v="1"/>
    <s v="AUD"/>
    <d v="2023-12-29T00:00:00"/>
    <d v="2024-01-30T00:00:00"/>
    <n v="21144.01"/>
    <n v="1.038"/>
    <n v="21947.48"/>
    <n v="66802"/>
    <n v="44229"/>
    <n v="165096.59"/>
    <n v="2023"/>
    <s v="December"/>
    <s v="Q4"/>
    <s v="Australia | ABC | BCD"/>
    <n v="0.66209095536061791"/>
    <n v="7.5223483516102991"/>
    <x v="0"/>
  </r>
  <r>
    <x v="37"/>
    <s v="West"/>
    <x v="1"/>
    <x v="2"/>
    <x v="2"/>
    <s v="GBP"/>
    <d v="2024-01-01T00:00:00"/>
    <d v="2024-03-01T00:00:00"/>
    <n v="39261.24"/>
    <n v="1.0403"/>
    <n v="40843.47"/>
    <n v="358048"/>
    <n v="18005"/>
    <n v="35496.379999999997"/>
    <n v="2024"/>
    <s v="January"/>
    <s v="Q1"/>
    <s v="USA | DEF | GHI"/>
    <n v="5.0286553758155328E-2"/>
    <n v="0.86908335653165603"/>
    <x v="0"/>
  </r>
  <r>
    <x v="44"/>
    <s v="East"/>
    <x v="0"/>
    <x v="4"/>
    <x v="2"/>
    <s v="INR"/>
    <d v="2024-01-01T00:00:00"/>
    <d v="2024-02-20T00:00:00"/>
    <n v="28481.87"/>
    <n v="0.55469999999999997"/>
    <n v="15798.89"/>
    <n v="127955"/>
    <n v="47270"/>
    <n v="217385.43"/>
    <n v="2024"/>
    <s v="January"/>
    <s v="Q1"/>
    <s v="India | XYZ | PQR | TEST"/>
    <n v="0.36942675159235666"/>
    <n v="13.759538170086632"/>
    <x v="0"/>
  </r>
  <r>
    <x v="20"/>
    <s v="South"/>
    <x v="0"/>
    <x v="2"/>
    <x v="2"/>
    <s v="SGD"/>
    <d v="2024-01-01T00:00:00"/>
    <d v="2024-01-26T00:00:00"/>
    <n v="9507.4599999999991"/>
    <n v="0.48849999999999999"/>
    <n v="4644.3900000000003"/>
    <n v="341601"/>
    <n v="885"/>
    <n v="100350.73"/>
    <n v="2024"/>
    <s v="January"/>
    <s v="Q1"/>
    <s v="USA | DEF | GHI"/>
    <n v="2.5907418303810588E-3"/>
    <n v="21.606869793449729"/>
    <x v="0"/>
  </r>
  <r>
    <x v="23"/>
    <s v="West"/>
    <x v="4"/>
    <x v="4"/>
    <x v="0"/>
    <s v="USD"/>
    <d v="2024-01-02T00:00:00"/>
    <d v="2024-02-21T00:00:00"/>
    <n v="21078.06"/>
    <n v="0.20080000000000001"/>
    <n v="4232.47"/>
    <n v="584765"/>
    <n v="32629"/>
    <n v="228037.37"/>
    <n v="2024"/>
    <s v="January"/>
    <s v="Q1"/>
    <s v="Australia | ABC | BCD"/>
    <n v="5.57984831513514E-2"/>
    <n v="53.878083010629723"/>
    <x v="0"/>
  </r>
  <r>
    <x v="23"/>
    <s v="North"/>
    <x v="2"/>
    <x v="2"/>
    <x v="1"/>
    <s v="USD"/>
    <d v="2024-01-02T00:00:00"/>
    <d v="2024-01-18T00:00:00"/>
    <n v="11616.95"/>
    <n v="5.0999999999999997E-2"/>
    <n v="592.46"/>
    <n v="717835"/>
    <n v="34984"/>
    <n v="57960.79"/>
    <n v="2024"/>
    <s v="January"/>
    <s v="Q1"/>
    <s v="UK | JKL | MNO | PQR"/>
    <n v="4.8735433630291085E-2"/>
    <n v="97.830722749215127"/>
    <x v="0"/>
  </r>
  <r>
    <x v="9"/>
    <s v="South"/>
    <x v="1"/>
    <x v="0"/>
    <x v="0"/>
    <s v="SGD"/>
    <d v="2024-01-05T00:00:00"/>
    <d v="2024-01-30T00:00:00"/>
    <n v="7467.16"/>
    <n v="1.0344"/>
    <n v="7724.03"/>
    <n v="605990"/>
    <n v="27681"/>
    <n v="94526.05"/>
    <n v="2024"/>
    <s v="January"/>
    <s v="Q1"/>
    <s v="Australia | ABC | BCD"/>
    <n v="4.5678971600191423E-2"/>
    <n v="12.237918547701137"/>
    <x v="0"/>
  </r>
  <r>
    <x v="20"/>
    <s v="North"/>
    <x v="3"/>
    <x v="1"/>
    <x v="0"/>
    <s v="GBP"/>
    <d v="2024-01-05T00:00:00"/>
    <d v="2024-01-26T00:00:00"/>
    <n v="47266.89"/>
    <n v="0.8679"/>
    <n v="41022.93"/>
    <n v="529886"/>
    <n v="39015"/>
    <n v="156083.85"/>
    <n v="2024"/>
    <s v="January"/>
    <s v="Q1"/>
    <s v="USA | DEF | GHI"/>
    <n v="7.3629044737924768E-2"/>
    <n v="3.8047952693773945"/>
    <x v="0"/>
  </r>
  <r>
    <x v="30"/>
    <s v="North"/>
    <x v="3"/>
    <x v="1"/>
    <x v="1"/>
    <s v="USD"/>
    <d v="2024-01-05T00:00:00"/>
    <d v="2024-01-13T00:00:00"/>
    <n v="43319.23"/>
    <n v="0.26919999999999999"/>
    <n v="11661.54"/>
    <n v="128414"/>
    <n v="15564"/>
    <n v="160062.70000000001"/>
    <n v="2024"/>
    <s v="January"/>
    <s v="Q1"/>
    <s v="UK | JKL | MNO | PQR"/>
    <n v="0.12120173812824146"/>
    <n v="13.725691460990573"/>
    <x v="0"/>
  </r>
  <r>
    <x v="2"/>
    <s v="West"/>
    <x v="4"/>
    <x v="0"/>
    <x v="2"/>
    <s v="INR"/>
    <d v="2024-01-06T00:00:00"/>
    <d v="2024-02-13T00:00:00"/>
    <n v="38192.06"/>
    <n v="1.0617000000000001"/>
    <n v="40548.51"/>
    <n v="245455"/>
    <n v="3177"/>
    <n v="73093.59"/>
    <n v="2024"/>
    <s v="January"/>
    <s v="Q1"/>
    <s v="USA | DEF | GHI"/>
    <n v="1.2943309364241918E-2"/>
    <n v="1.8026208607911856"/>
    <x v="0"/>
  </r>
  <r>
    <x v="12"/>
    <s v="East"/>
    <x v="0"/>
    <x v="0"/>
    <x v="0"/>
    <s v="INR"/>
    <d v="2024-01-07T00:00:00"/>
    <d v="2024-01-12T00:00:00"/>
    <n v="4612.83"/>
    <n v="4.5699999999999998E-2"/>
    <n v="210.81"/>
    <n v="130784"/>
    <n v="9432"/>
    <n v="76191.17"/>
    <n v="2024"/>
    <s v="January"/>
    <s v="Q1"/>
    <s v="USA | DEF | GHI"/>
    <n v="7.2118913628578418E-2"/>
    <n v="361.42104264503581"/>
    <x v="0"/>
  </r>
  <r>
    <x v="6"/>
    <s v="West"/>
    <x v="4"/>
    <x v="2"/>
    <x v="2"/>
    <s v="USD"/>
    <d v="2024-01-08T00:00:00"/>
    <d v="2024-03-05T00:00:00"/>
    <n v="3659.49"/>
    <n v="0.27529999999999999"/>
    <n v="1007.46"/>
    <n v="486535"/>
    <n v="21856"/>
    <n v="142236.96"/>
    <n v="2024"/>
    <s v="January"/>
    <s v="Q1"/>
    <s v="Australia | ABC | BCD"/>
    <n v="4.4921742526231413E-2"/>
    <n v="141.18372937883387"/>
    <x v="0"/>
  </r>
  <r>
    <x v="46"/>
    <s v="North"/>
    <x v="2"/>
    <x v="2"/>
    <x v="1"/>
    <s v="USD"/>
    <d v="2024-01-08T00:00:00"/>
    <d v="2024-02-24T00:00:00"/>
    <n v="33214.1"/>
    <n v="0.11749999999999999"/>
    <n v="3902.66"/>
    <n v="998977"/>
    <n v="47563"/>
    <n v="211473.82"/>
    <n v="2024"/>
    <s v="January"/>
    <s v="Q1"/>
    <s v="USA | DEF | GHI"/>
    <n v="4.7611706776031881E-2"/>
    <n v="54.18709803057402"/>
    <x v="0"/>
  </r>
  <r>
    <x v="0"/>
    <s v="West"/>
    <x v="3"/>
    <x v="1"/>
    <x v="0"/>
    <s v="GBP"/>
    <d v="2024-01-08T00:00:00"/>
    <d v="2024-02-06T00:00:00"/>
    <n v="46091.1"/>
    <n v="0.223"/>
    <n v="10278.32"/>
    <n v="909138"/>
    <n v="2417"/>
    <n v="140451.87"/>
    <n v="2024"/>
    <s v="January"/>
    <s v="Q1"/>
    <s v="USA | DEF | GHI"/>
    <n v="2.6585622864735607E-3"/>
    <n v="13.664866437316604"/>
    <x v="0"/>
  </r>
  <r>
    <x v="2"/>
    <s v="East"/>
    <x v="0"/>
    <x v="2"/>
    <x v="0"/>
    <s v="GBP"/>
    <d v="2024-01-09T00:00:00"/>
    <d v="2024-02-12T00:00:00"/>
    <n v="8239.44"/>
    <n v="0.18909999999999999"/>
    <n v="1558.08"/>
    <n v="728596"/>
    <n v="19778"/>
    <n v="211809.89"/>
    <n v="2024"/>
    <s v="January"/>
    <s v="Q1"/>
    <s v="USA | DEF | GHI"/>
    <n v="2.7145359019264449E-2"/>
    <n v="135.94288483261451"/>
    <x v="0"/>
  </r>
  <r>
    <x v="22"/>
    <s v="North"/>
    <x v="3"/>
    <x v="5"/>
    <x v="2"/>
    <s v="INR"/>
    <d v="2024-01-10T00:00:00"/>
    <d v="2024-02-12T00:00:00"/>
    <n v="31863.37"/>
    <n v="0.1497"/>
    <n v="4769.95"/>
    <n v="467311"/>
    <n v="4537"/>
    <n v="123291.05"/>
    <n v="2024"/>
    <s v="January"/>
    <s v="Q1"/>
    <s v="USA | DEF | GHI"/>
    <n v="9.7087378640776691E-3"/>
    <n v="25.847451231144984"/>
    <x v="0"/>
  </r>
  <r>
    <x v="40"/>
    <s v="West"/>
    <x v="2"/>
    <x v="3"/>
    <x v="1"/>
    <s v="AUD"/>
    <d v="2024-01-10T00:00:00"/>
    <d v="2024-01-17T00:00:00"/>
    <n v="20628.5"/>
    <n v="0.68859999999999999"/>
    <n v="14204.79"/>
    <n v="214110"/>
    <n v="23858"/>
    <n v="140539.62"/>
    <n v="2024"/>
    <s v="January"/>
    <s v="Q1"/>
    <s v="Australia | ABC | BCD"/>
    <n v="0.11142870487132782"/>
    <n v="9.8938189160135401"/>
    <x v="0"/>
  </r>
  <r>
    <x v="35"/>
    <s v="North"/>
    <x v="4"/>
    <x v="0"/>
    <x v="2"/>
    <s v="SGD"/>
    <d v="2024-01-12T00:00:00"/>
    <d v="2024-03-08T00:00:00"/>
    <n v="25379.61"/>
    <n v="0.33489999999999998"/>
    <n v="8499.6299999999992"/>
    <n v="35918"/>
    <n v="11868"/>
    <n v="113213.68"/>
    <n v="2024"/>
    <s v="January"/>
    <s v="Q1"/>
    <s v="Australia | ABC | BCD"/>
    <n v="0.33041928837908568"/>
    <n v="13.319836275226098"/>
    <x v="0"/>
  </r>
  <r>
    <x v="13"/>
    <s v="East"/>
    <x v="1"/>
    <x v="2"/>
    <x v="1"/>
    <s v="GBP"/>
    <d v="2024-01-12T00:00:00"/>
    <d v="2024-02-25T00:00:00"/>
    <n v="11821.61"/>
    <n v="1.1493"/>
    <n v="13586.58"/>
    <n v="511410"/>
    <n v="10139"/>
    <n v="116469.77"/>
    <n v="2024"/>
    <s v="January"/>
    <s v="Q1"/>
    <s v="India | XYZ | PQR | TEST"/>
    <n v="1.9825580258501008E-2"/>
    <n v="8.5724126306988229"/>
    <x v="0"/>
  </r>
  <r>
    <x v="31"/>
    <s v="North"/>
    <x v="0"/>
    <x v="0"/>
    <x v="0"/>
    <s v="USD"/>
    <d v="2024-01-12T00:00:00"/>
    <d v="2024-01-27T00:00:00"/>
    <n v="13500.69"/>
    <n v="0.13250000000000001"/>
    <n v="1788.84"/>
    <n v="611790"/>
    <n v="44279"/>
    <n v="182080.7"/>
    <n v="2024"/>
    <s v="January"/>
    <s v="Q1"/>
    <s v="UK | JKL | MNO | PQR"/>
    <n v="7.2376142140276892E-2"/>
    <n v="101.78702399320231"/>
    <x v="0"/>
  </r>
  <r>
    <x v="16"/>
    <s v="West"/>
    <x v="1"/>
    <x v="0"/>
    <x v="1"/>
    <s v="AUD"/>
    <d v="2024-01-13T00:00:00"/>
    <d v="2024-02-03T00:00:00"/>
    <n v="25636.87"/>
    <n v="2.5499999999999998E-2"/>
    <n v="653.74"/>
    <n v="296290"/>
    <n v="2297"/>
    <n v="163568.44"/>
    <n v="2024"/>
    <s v="January"/>
    <s v="Q1"/>
    <s v="USA | DEF | GHI"/>
    <n v="7.7525397414695066E-3"/>
    <n v="250.20411784501485"/>
    <x v="0"/>
  </r>
  <r>
    <x v="30"/>
    <s v="West"/>
    <x v="3"/>
    <x v="2"/>
    <x v="2"/>
    <s v="GBP"/>
    <d v="2024-01-14T00:00:00"/>
    <d v="2024-02-25T00:00:00"/>
    <n v="34529.089999999997"/>
    <n v="0.55520000000000003"/>
    <n v="19170.55"/>
    <n v="20821"/>
    <n v="30828"/>
    <n v="37635.21"/>
    <n v="2024"/>
    <s v="January"/>
    <s v="Q1"/>
    <s v="USA | DEF | GHI"/>
    <n v="1.4806205273521924"/>
    <n v="1.963178416894664"/>
    <x v="0"/>
  </r>
  <r>
    <x v="36"/>
    <s v="East"/>
    <x v="1"/>
    <x v="5"/>
    <x v="0"/>
    <s v="SGD"/>
    <d v="2024-01-14T00:00:00"/>
    <d v="2024-01-30T00:00:00"/>
    <n v="11052.61"/>
    <n v="0.85150000000000003"/>
    <n v="9411.2999999999993"/>
    <n v="707883"/>
    <n v="20871"/>
    <n v="244615.53"/>
    <n v="2024"/>
    <s v="January"/>
    <s v="Q1"/>
    <s v="USA | DEF | GHI"/>
    <n v="2.9483685863341824E-2"/>
    <n v="25.99168340186797"/>
    <x v="0"/>
  </r>
  <r>
    <x v="53"/>
    <s v="South"/>
    <x v="4"/>
    <x v="0"/>
    <x v="0"/>
    <s v="SGD"/>
    <d v="2024-01-19T00:00:00"/>
    <d v="2024-02-17T00:00:00"/>
    <n v="22978.32"/>
    <n v="1.1013999999999999"/>
    <n v="25308.32"/>
    <n v="405833"/>
    <n v="24718"/>
    <n v="24661.25"/>
    <n v="2024"/>
    <s v="January"/>
    <s v="Q1"/>
    <s v="UK | JKL | MNO | PQR"/>
    <n v="6.0906826206838773E-2"/>
    <n v="0.97443251863418834"/>
    <x v="0"/>
  </r>
  <r>
    <x v="44"/>
    <s v="East"/>
    <x v="4"/>
    <x v="2"/>
    <x v="0"/>
    <s v="AUD"/>
    <d v="2024-01-20T00:00:00"/>
    <d v="2024-03-05T00:00:00"/>
    <n v="27179.39"/>
    <n v="0.20749999999999999"/>
    <n v="5639.72"/>
    <n v="645111"/>
    <n v="25630"/>
    <n v="50907.83"/>
    <n v="2024"/>
    <s v="January"/>
    <s v="Q1"/>
    <s v="UK | JKL | MNO | PQR"/>
    <n v="3.9729596922080078E-2"/>
    <n v="9.0266591249210961"/>
    <x v="0"/>
  </r>
  <r>
    <x v="17"/>
    <s v="South"/>
    <x v="2"/>
    <x v="3"/>
    <x v="2"/>
    <s v="AUD"/>
    <d v="2024-01-21T00:00:00"/>
    <d v="2024-03-07T00:00:00"/>
    <n v="19547.41"/>
    <n v="0.70930000000000004"/>
    <n v="13864.98"/>
    <n v="951858"/>
    <n v="5201"/>
    <n v="131582.41"/>
    <n v="2024"/>
    <s v="January"/>
    <s v="Q1"/>
    <s v="UK | JKL | MNO | PQR"/>
    <n v="5.4640503100252345E-3"/>
    <n v="9.4902704511654541"/>
    <x v="0"/>
  </r>
  <r>
    <x v="12"/>
    <s v="East"/>
    <x v="0"/>
    <x v="3"/>
    <x v="1"/>
    <s v="USD"/>
    <d v="2024-01-21T00:00:00"/>
    <d v="2024-03-03T00:00:00"/>
    <n v="45395.97"/>
    <n v="0.63690000000000002"/>
    <n v="28912.69"/>
    <n v="277865"/>
    <n v="11262"/>
    <n v="19726.96"/>
    <n v="2024"/>
    <s v="January"/>
    <s v="Q1"/>
    <s v="Australia | ABC | BCD"/>
    <n v="4.0530473431342556E-2"/>
    <n v="0.68229417601752029"/>
    <x v="0"/>
  </r>
  <r>
    <x v="0"/>
    <s v="West"/>
    <x v="2"/>
    <x v="4"/>
    <x v="2"/>
    <s v="AUD"/>
    <d v="2024-01-22T00:00:00"/>
    <d v="2024-03-07T00:00:00"/>
    <n v="6288.65"/>
    <n v="0.33600000000000002"/>
    <n v="2112.9899999999998"/>
    <n v="667343"/>
    <n v="44585"/>
    <n v="138504.51999999999"/>
    <n v="2024"/>
    <s v="January"/>
    <s v="Q1"/>
    <s v="USA | DEF | GHI"/>
    <n v="6.68097215375002E-2"/>
    <n v="65.549065542193759"/>
    <x v="0"/>
  </r>
  <r>
    <x v="46"/>
    <s v="East"/>
    <x v="4"/>
    <x v="2"/>
    <x v="0"/>
    <s v="SGD"/>
    <d v="2024-01-24T00:00:00"/>
    <d v="2024-03-10T00:00:00"/>
    <n v="39583.29"/>
    <n v="0.1421"/>
    <n v="5624.79"/>
    <n v="991586"/>
    <n v="13878"/>
    <n v="79742.73"/>
    <n v="2024"/>
    <s v="January"/>
    <s v="Q1"/>
    <s v="UK | JKL | MNO | PQR"/>
    <n v="1.3995760327394699E-2"/>
    <n v="14.177014608545385"/>
    <x v="0"/>
  </r>
  <r>
    <x v="5"/>
    <s v="North"/>
    <x v="3"/>
    <x v="0"/>
    <x v="2"/>
    <s v="GBP"/>
    <d v="2024-01-24T00:00:00"/>
    <d v="2024-02-15T00:00:00"/>
    <n v="49486.64"/>
    <n v="0.77159999999999995"/>
    <n v="38183.89"/>
    <n v="594004"/>
    <n v="14492"/>
    <n v="172730.49"/>
    <n v="2024"/>
    <s v="January"/>
    <s v="Q1"/>
    <s v="USA | DEF | GHI"/>
    <n v="2.4397142106787159E-2"/>
    <n v="4.5236483239397556"/>
    <x v="0"/>
  </r>
  <r>
    <x v="23"/>
    <s v="North"/>
    <x v="2"/>
    <x v="2"/>
    <x v="0"/>
    <s v="GBP"/>
    <d v="2024-01-26T00:00:00"/>
    <d v="2024-03-09T00:00:00"/>
    <n v="26997.29"/>
    <n v="0.54990000000000006"/>
    <n v="14845.81"/>
    <n v="644836"/>
    <n v="28293"/>
    <n v="29298.720000000001"/>
    <n v="2024"/>
    <s v="January"/>
    <s v="Q1"/>
    <s v="UK | JKL | MNO | PQR"/>
    <n v="4.3876272416552425E-2"/>
    <n v="1.9735346202059707"/>
    <x v="0"/>
  </r>
  <r>
    <x v="51"/>
    <s v="East"/>
    <x v="3"/>
    <x v="0"/>
    <x v="1"/>
    <s v="AUD"/>
    <d v="2024-01-26T00:00:00"/>
    <d v="2024-02-09T00:00:00"/>
    <n v="3600.18"/>
    <n v="7.7399999999999997E-2"/>
    <n v="278.64999999999998"/>
    <n v="289947"/>
    <n v="49264"/>
    <n v="197455.39"/>
    <n v="2024"/>
    <s v="January"/>
    <s v="Q1"/>
    <s v="India | XYZ | PQR | TEST"/>
    <n v="0.16990691402221786"/>
    <n v="708.61435492553392"/>
    <x v="0"/>
  </r>
  <r>
    <x v="31"/>
    <s v="North"/>
    <x v="2"/>
    <x v="0"/>
    <x v="2"/>
    <s v="INR"/>
    <d v="2024-01-27T00:00:00"/>
    <d v="2024-03-04T00:00:00"/>
    <n v="32389.01"/>
    <n v="0.28660000000000002"/>
    <n v="9282.69"/>
    <n v="626005"/>
    <n v="46278"/>
    <n v="247153.31"/>
    <n v="2024"/>
    <s v="January"/>
    <s v="Q1"/>
    <s v="UK | JKL | MNO | PQR"/>
    <n v="7.3925927109208395E-2"/>
    <n v="26.625181924636067"/>
    <x v="0"/>
  </r>
  <r>
    <x v="40"/>
    <s v="West"/>
    <x v="3"/>
    <x v="5"/>
    <x v="2"/>
    <s v="INR"/>
    <d v="2024-01-27T00:00:00"/>
    <d v="2024-02-25T00:00:00"/>
    <n v="17300.080000000002"/>
    <n v="8.1500000000000003E-2"/>
    <n v="1409.96"/>
    <n v="862283"/>
    <n v="17445"/>
    <n v="48592.72"/>
    <n v="2024"/>
    <s v="January"/>
    <s v="Q1"/>
    <s v="UK | JKL | MNO | PQR"/>
    <n v="2.0231177003373603E-2"/>
    <n v="34.463899685097452"/>
    <x v="0"/>
  </r>
  <r>
    <x v="22"/>
    <s v="South"/>
    <x v="0"/>
    <x v="5"/>
    <x v="2"/>
    <s v="AUD"/>
    <d v="2024-01-27T00:00:00"/>
    <d v="2024-02-24T00:00:00"/>
    <n v="9771.27"/>
    <n v="0.89970000000000006"/>
    <n v="8791.2099999999991"/>
    <n v="21190"/>
    <n v="12934"/>
    <n v="113309.74"/>
    <n v="2024"/>
    <s v="January"/>
    <s v="Q1"/>
    <s v="Australia | ABC | BCD"/>
    <n v="0.61038225578102878"/>
    <n v="12.888981152765094"/>
    <x v="0"/>
  </r>
  <r>
    <x v="41"/>
    <s v="East"/>
    <x v="3"/>
    <x v="4"/>
    <x v="2"/>
    <s v="SGD"/>
    <d v="2024-01-29T00:00:00"/>
    <d v="2024-03-29T00:00:00"/>
    <n v="31153.49"/>
    <n v="0.3054"/>
    <n v="9514.2800000000007"/>
    <n v="917340"/>
    <n v="10566"/>
    <n v="204302.07"/>
    <n v="2024"/>
    <s v="January"/>
    <s v="Q1"/>
    <s v="UK | JKL | MNO | PQR"/>
    <n v="1.1518084897638826E-2"/>
    <n v="21.47320343735942"/>
    <x v="0"/>
  </r>
  <r>
    <x v="13"/>
    <s v="South"/>
    <x v="4"/>
    <x v="3"/>
    <x v="2"/>
    <s v="AUD"/>
    <d v="2024-02-01T00:00:00"/>
    <d v="2024-03-19T00:00:00"/>
    <n v="30426.76"/>
    <n v="1.0604"/>
    <n v="32264.54"/>
    <n v="538597"/>
    <n v="25309"/>
    <n v="107572.86"/>
    <n v="2024"/>
    <s v="February"/>
    <s v="Q1"/>
    <s v="UK | JKL | MNO | PQR"/>
    <n v="4.6990607077276703E-2"/>
    <n v="3.3340893748988827"/>
    <x v="0"/>
  </r>
  <r>
    <x v="21"/>
    <s v="East"/>
    <x v="1"/>
    <x v="4"/>
    <x v="2"/>
    <s v="SGD"/>
    <d v="2024-02-02T00:00:00"/>
    <d v="2024-03-20T00:00:00"/>
    <n v="14294.21"/>
    <n v="1.024"/>
    <n v="14637.27"/>
    <n v="702165"/>
    <n v="23707"/>
    <n v="216749.16"/>
    <n v="2024"/>
    <s v="February"/>
    <s v="Q1"/>
    <s v="Australia | ABC | BCD"/>
    <n v="3.3762719588700661E-2"/>
    <n v="14.808031825606824"/>
    <x v="0"/>
  </r>
  <r>
    <x v="15"/>
    <s v="East"/>
    <x v="4"/>
    <x v="5"/>
    <x v="1"/>
    <s v="SGD"/>
    <d v="2024-02-02T00:00:00"/>
    <d v="2024-03-08T00:00:00"/>
    <n v="45977.2"/>
    <n v="1.0589999999999999"/>
    <n v="48689.85"/>
    <n v="51843"/>
    <n v="42601"/>
    <n v="84397.42"/>
    <n v="2024"/>
    <s v="February"/>
    <s v="Q1"/>
    <s v="India | XYZ | PQR | TEST"/>
    <n v="0.82173099550566131"/>
    <n v="1.7333678374445598"/>
    <x v="0"/>
  </r>
  <r>
    <x v="22"/>
    <s v="East"/>
    <x v="2"/>
    <x v="0"/>
    <x v="2"/>
    <s v="GBP"/>
    <d v="2024-02-05T00:00:00"/>
    <d v="2024-03-18T00:00:00"/>
    <n v="21447.42"/>
    <n v="1.1928000000000001"/>
    <n v="25582.48"/>
    <n v="334348"/>
    <n v="12589"/>
    <n v="15069.49"/>
    <n v="2024"/>
    <s v="February"/>
    <s v="Q1"/>
    <s v="USA | DEF | GHI"/>
    <n v="3.7652386136600192E-2"/>
    <n v="0.58905508770064519"/>
    <x v="0"/>
  </r>
  <r>
    <x v="51"/>
    <s v="East"/>
    <x v="0"/>
    <x v="0"/>
    <x v="1"/>
    <s v="USD"/>
    <d v="2024-02-05T00:00:00"/>
    <d v="2024-02-26T00:00:00"/>
    <n v="25239.87"/>
    <n v="1.1653"/>
    <n v="29412.02"/>
    <n v="656908"/>
    <n v="44434"/>
    <n v="91427.12"/>
    <n v="2024"/>
    <s v="February"/>
    <s v="Q1"/>
    <s v="India | XYZ | PQR | TEST"/>
    <n v="6.7641130873729652E-2"/>
    <n v="3.108495098262547"/>
    <x v="0"/>
  </r>
  <r>
    <x v="7"/>
    <s v="East"/>
    <x v="2"/>
    <x v="3"/>
    <x v="0"/>
    <s v="USD"/>
    <d v="2024-02-07T00:00:00"/>
    <d v="2024-03-19T00:00:00"/>
    <n v="27933.47"/>
    <n v="0.59419999999999995"/>
    <n v="16598.07"/>
    <n v="67152"/>
    <n v="23747"/>
    <n v="5934.82"/>
    <n v="2024"/>
    <s v="February"/>
    <s v="Q1"/>
    <s v="Australia | ABC | BCD"/>
    <n v="0.35363056945437216"/>
    <n v="0.35756084894207579"/>
    <x v="0"/>
  </r>
  <r>
    <x v="26"/>
    <s v="West"/>
    <x v="1"/>
    <x v="4"/>
    <x v="0"/>
    <s v="AUD"/>
    <d v="2024-02-09T00:00:00"/>
    <d v="2024-03-08T00:00:00"/>
    <n v="15664.96"/>
    <n v="0.51970000000000005"/>
    <n v="8141.08"/>
    <n v="201031"/>
    <n v="35255"/>
    <n v="203828.24"/>
    <n v="2024"/>
    <s v="February"/>
    <s v="Q1"/>
    <s v="UK | JKL | MNO | PQR"/>
    <n v="0.17537096268734673"/>
    <n v="25.037002461589861"/>
    <x v="0"/>
  </r>
  <r>
    <x v="53"/>
    <s v="West"/>
    <x v="4"/>
    <x v="5"/>
    <x v="1"/>
    <s v="AUD"/>
    <d v="2024-02-09T00:00:00"/>
    <d v="2024-02-21T00:00:00"/>
    <n v="1651.93"/>
    <n v="0.79039999999999999"/>
    <n v="1305.69"/>
    <n v="492515"/>
    <n v="45438"/>
    <n v="104247.44"/>
    <n v="2024"/>
    <s v="February"/>
    <s v="Q1"/>
    <s v="UK | JKL | MNO | PQR"/>
    <n v="9.2257088616590363E-2"/>
    <n v="79.840881066715681"/>
    <x v="0"/>
  </r>
  <r>
    <x v="10"/>
    <s v="North"/>
    <x v="2"/>
    <x v="5"/>
    <x v="0"/>
    <s v="AUD"/>
    <d v="2024-02-10T00:00:00"/>
    <d v="2024-04-10T00:00:00"/>
    <n v="16203.45"/>
    <n v="0.41399999999999998"/>
    <n v="6708.23"/>
    <n v="359247"/>
    <n v="11118"/>
    <n v="23712.95"/>
    <n v="2024"/>
    <s v="February"/>
    <s v="Q1"/>
    <s v="USA | DEF | GHI"/>
    <n v="3.0948066372161773E-2"/>
    <n v="3.5349041401383081"/>
    <x v="0"/>
  </r>
  <r>
    <x v="45"/>
    <s v="West"/>
    <x v="2"/>
    <x v="2"/>
    <x v="1"/>
    <s v="INR"/>
    <d v="2024-02-10T00:00:00"/>
    <d v="2024-03-18T00:00:00"/>
    <n v="3398.58"/>
    <n v="0.36559999999999998"/>
    <n v="1242.52"/>
    <n v="869926"/>
    <n v="11494"/>
    <n v="12615.11"/>
    <n v="2024"/>
    <s v="February"/>
    <s v="Q1"/>
    <s v="Australia | ABC | BCD"/>
    <n v="1.3212618084756635E-2"/>
    <n v="10.152842610179313"/>
    <x v="0"/>
  </r>
  <r>
    <x v="55"/>
    <s v="South"/>
    <x v="1"/>
    <x v="4"/>
    <x v="0"/>
    <s v="SGD"/>
    <d v="2024-02-11T00:00:00"/>
    <d v="2024-03-10T00:00:00"/>
    <n v="25606.2"/>
    <n v="0.79859999999999998"/>
    <n v="20449.11"/>
    <n v="899173"/>
    <n v="40341"/>
    <n v="172619.61"/>
    <n v="2024"/>
    <s v="February"/>
    <s v="Q1"/>
    <s v="India | XYZ | PQR | TEST"/>
    <n v="4.486455887799122E-2"/>
    <n v="8.4414241010977982"/>
    <x v="0"/>
  </r>
  <r>
    <x v="38"/>
    <s v="East"/>
    <x v="4"/>
    <x v="1"/>
    <x v="1"/>
    <s v="GBP"/>
    <d v="2024-02-11T00:00:00"/>
    <d v="2024-03-02T00:00:00"/>
    <n v="28051.89"/>
    <n v="0.93289999999999995"/>
    <n v="26169.61"/>
    <n v="409152"/>
    <n v="30656"/>
    <n v="135744.28"/>
    <n v="2024"/>
    <s v="February"/>
    <s v="Q1"/>
    <s v="UK | JKL | MNO | PQR"/>
    <n v="7.4925699984357885E-2"/>
    <n v="5.1870960247401472"/>
    <x v="0"/>
  </r>
  <r>
    <x v="31"/>
    <s v="North"/>
    <x v="4"/>
    <x v="0"/>
    <x v="1"/>
    <s v="SGD"/>
    <d v="2024-02-13T00:00:00"/>
    <d v="2024-03-31T00:00:00"/>
    <n v="32844.019999999997"/>
    <n v="0.53129999999999999"/>
    <n v="17450.03"/>
    <n v="552717"/>
    <n v="29688"/>
    <n v="34646.03"/>
    <n v="2024"/>
    <s v="February"/>
    <s v="Q1"/>
    <s v="India | XYZ | PQR | TEST"/>
    <n v="5.3712840386671658E-2"/>
    <n v="1.9854424319041286"/>
    <x v="0"/>
  </r>
  <r>
    <x v="23"/>
    <s v="North"/>
    <x v="2"/>
    <x v="3"/>
    <x v="1"/>
    <s v="SGD"/>
    <d v="2024-02-15T00:00:00"/>
    <d v="2024-03-29T00:00:00"/>
    <n v="14303.22"/>
    <n v="0.22900000000000001"/>
    <n v="3275.44"/>
    <n v="177775"/>
    <n v="37579"/>
    <n v="58362.89"/>
    <n v="2024"/>
    <s v="February"/>
    <s v="Q1"/>
    <s v="USA | DEF | GHI"/>
    <n v="0.21138517789340458"/>
    <n v="17.818335857167281"/>
    <x v="0"/>
  </r>
  <r>
    <x v="58"/>
    <s v="West"/>
    <x v="3"/>
    <x v="0"/>
    <x v="0"/>
    <s v="USD"/>
    <d v="2024-02-15T00:00:00"/>
    <d v="2024-03-16T00:00:00"/>
    <n v="48153.19"/>
    <n v="0.33350000000000002"/>
    <n v="16059.09"/>
    <n v="414452"/>
    <n v="45313"/>
    <n v="213414.54"/>
    <n v="2024"/>
    <s v="February"/>
    <s v="Q1"/>
    <s v="India | XYZ | PQR | TEST"/>
    <n v="0.10933232316408173"/>
    <n v="13.289329594640792"/>
    <x v="0"/>
  </r>
  <r>
    <x v="16"/>
    <s v="South"/>
    <x v="2"/>
    <x v="0"/>
    <x v="1"/>
    <s v="SGD"/>
    <d v="2024-02-16T00:00:00"/>
    <d v="2024-04-10T00:00:00"/>
    <n v="9051.91"/>
    <n v="8.3099999999999993E-2"/>
    <n v="752.21"/>
    <n v="806070"/>
    <n v="2530"/>
    <n v="166743.16"/>
    <n v="2024"/>
    <s v="February"/>
    <s v="Q1"/>
    <s v="USA | DEF | GHI"/>
    <n v="3.1386852258488717E-3"/>
    <n v="221.67102271971922"/>
    <x v="0"/>
  </r>
  <r>
    <x v="28"/>
    <s v="East"/>
    <x v="2"/>
    <x v="0"/>
    <x v="1"/>
    <s v="USD"/>
    <d v="2024-02-17T00:00:00"/>
    <d v="2024-03-25T00:00:00"/>
    <n v="37740.32"/>
    <n v="0.8367"/>
    <n v="31577.33"/>
    <n v="929933"/>
    <n v="24287"/>
    <n v="116400.43"/>
    <n v="2024"/>
    <s v="February"/>
    <s v="Q1"/>
    <s v="UK | JKL | MNO | PQR"/>
    <n v="2.6116935306091944E-2"/>
    <n v="3.6862024116668506"/>
    <x v="0"/>
  </r>
  <r>
    <x v="6"/>
    <s v="East"/>
    <x v="2"/>
    <x v="5"/>
    <x v="0"/>
    <s v="GBP"/>
    <d v="2024-02-18T00:00:00"/>
    <d v="2024-03-20T00:00:00"/>
    <n v="2755.76"/>
    <n v="0.66339999999999999"/>
    <n v="1828.17"/>
    <n v="876028"/>
    <n v="6056"/>
    <n v="198986.9"/>
    <n v="2024"/>
    <s v="February"/>
    <s v="Q1"/>
    <s v="USA | DEF | GHI"/>
    <n v="6.9130210449894298E-3"/>
    <n v="108.84485578474649"/>
    <x v="0"/>
  </r>
  <r>
    <x v="7"/>
    <s v="West"/>
    <x v="2"/>
    <x v="5"/>
    <x v="1"/>
    <s v="AUD"/>
    <d v="2024-02-18T00:00:00"/>
    <d v="2024-03-01T00:00:00"/>
    <n v="47138.21"/>
    <n v="0.68789999999999996"/>
    <n v="32426.37"/>
    <n v="617040"/>
    <n v="39062"/>
    <n v="14736.71"/>
    <n v="2024"/>
    <s v="February"/>
    <s v="Q1"/>
    <s v="USA | DEF | GHI"/>
    <n v="6.3305458317126931E-2"/>
    <n v="0.45446684288127226"/>
    <x v="0"/>
  </r>
  <r>
    <x v="55"/>
    <s v="South"/>
    <x v="1"/>
    <x v="4"/>
    <x v="0"/>
    <s v="INR"/>
    <d v="2024-02-20T00:00:00"/>
    <d v="2024-04-17T00:00:00"/>
    <n v="29417.74"/>
    <n v="0.78979999999999995"/>
    <n v="23234.13"/>
    <n v="504932"/>
    <n v="42966"/>
    <n v="130598.51"/>
    <n v="2024"/>
    <s v="February"/>
    <s v="Q1"/>
    <s v="UK | JKL | MNO | PQR"/>
    <n v="8.5092646138489936E-2"/>
    <n v="5.6209769851507243"/>
    <x v="0"/>
  </r>
  <r>
    <x v="59"/>
    <s v="North"/>
    <x v="0"/>
    <x v="0"/>
    <x v="2"/>
    <s v="GBP"/>
    <d v="2024-02-20T00:00:00"/>
    <d v="2024-03-25T00:00:00"/>
    <n v="28685.11"/>
    <n v="1.1883999999999999"/>
    <n v="34089.379999999997"/>
    <n v="246828"/>
    <n v="19759"/>
    <n v="172590.2"/>
    <n v="2024"/>
    <s v="February"/>
    <s v="Q1"/>
    <s v="UK | JKL | MNO | PQR"/>
    <n v="8.0051695917805116E-2"/>
    <n v="5.0628729533948702"/>
    <x v="0"/>
  </r>
  <r>
    <x v="23"/>
    <s v="East"/>
    <x v="3"/>
    <x v="2"/>
    <x v="1"/>
    <s v="SGD"/>
    <d v="2024-02-20T00:00:00"/>
    <d v="2024-02-25T00:00:00"/>
    <n v="31198.04"/>
    <n v="1.0940000000000001"/>
    <n v="34130.660000000003"/>
    <n v="792150"/>
    <n v="577"/>
    <n v="179969.22"/>
    <n v="2024"/>
    <s v="February"/>
    <s v="Q1"/>
    <s v="Australia | ABC | BCD"/>
    <n v="7.283973994824213E-4"/>
    <n v="5.272948721179139"/>
    <x v="0"/>
  </r>
  <r>
    <x v="3"/>
    <s v="South"/>
    <x v="0"/>
    <x v="4"/>
    <x v="0"/>
    <s v="GBP"/>
    <d v="2024-02-24T00:00:00"/>
    <d v="2024-04-10T00:00:00"/>
    <n v="16779.18"/>
    <n v="0.1245"/>
    <n v="2089.0100000000002"/>
    <n v="700897"/>
    <n v="4469"/>
    <n v="15725.43"/>
    <n v="2024"/>
    <s v="February"/>
    <s v="Q1"/>
    <s v="India | XYZ | PQR | TEST"/>
    <n v="6.3761151781217499E-3"/>
    <n v="7.5276949368361086"/>
    <x v="0"/>
  </r>
  <r>
    <x v="55"/>
    <s v="South"/>
    <x v="3"/>
    <x v="4"/>
    <x v="2"/>
    <s v="AUD"/>
    <d v="2024-02-24T00:00:00"/>
    <d v="2024-04-09T00:00:00"/>
    <n v="45806.11"/>
    <n v="0.50329999999999997"/>
    <n v="23054.22"/>
    <n v="592813"/>
    <n v="30385"/>
    <n v="179010.52"/>
    <n v="2024"/>
    <s v="February"/>
    <s v="Q1"/>
    <s v="UK | JKL | MNO | PQR"/>
    <n v="5.1255623611493002E-2"/>
    <n v="7.7647615057026425"/>
    <x v="0"/>
  </r>
  <r>
    <x v="37"/>
    <s v="North"/>
    <x v="2"/>
    <x v="3"/>
    <x v="1"/>
    <s v="USD"/>
    <d v="2024-02-25T00:00:00"/>
    <d v="2024-04-04T00:00:00"/>
    <n v="29241.27"/>
    <n v="4.9799999999999997E-2"/>
    <n v="1456.22"/>
    <n v="49704"/>
    <n v="37334"/>
    <n v="123400.69"/>
    <n v="2024"/>
    <s v="February"/>
    <s v="Q1"/>
    <s v="India | XYZ | PQR | TEST"/>
    <n v="0.75112666988572352"/>
    <n v="84.740416969963334"/>
    <x v="0"/>
  </r>
  <r>
    <x v="51"/>
    <s v="East"/>
    <x v="4"/>
    <x v="0"/>
    <x v="1"/>
    <s v="SGD"/>
    <d v="2024-02-25T00:00:00"/>
    <d v="2024-03-23T00:00:00"/>
    <n v="43806.76"/>
    <n v="1.1298999999999999"/>
    <n v="49497.26"/>
    <n v="453481"/>
    <n v="47355"/>
    <n v="17604.29"/>
    <n v="2024"/>
    <s v="February"/>
    <s v="Q1"/>
    <s v="India | XYZ | PQR | TEST"/>
    <n v="0.10442554373832641"/>
    <n v="0.35566190936629621"/>
    <x v="0"/>
  </r>
  <r>
    <x v="6"/>
    <s v="West"/>
    <x v="4"/>
    <x v="2"/>
    <x v="1"/>
    <s v="GBP"/>
    <d v="2024-02-27T00:00:00"/>
    <d v="2024-03-15T00:00:00"/>
    <n v="42820.62"/>
    <n v="0.2271"/>
    <n v="9724.56"/>
    <n v="313662"/>
    <n v="7332"/>
    <n v="161038.71"/>
    <n v="2024"/>
    <s v="February"/>
    <s v="Q1"/>
    <s v="India | XYZ | PQR | TEST"/>
    <n v="2.3375480612889032E-2"/>
    <n v="16.559999629803301"/>
    <x v="0"/>
  </r>
  <r>
    <x v="10"/>
    <s v="West"/>
    <x v="2"/>
    <x v="3"/>
    <x v="0"/>
    <s v="AUD"/>
    <d v="2024-02-28T00:00:00"/>
    <d v="2024-03-23T00:00:00"/>
    <n v="14482.54"/>
    <n v="0.67249999999999999"/>
    <n v="9739.51"/>
    <n v="630407"/>
    <n v="48282"/>
    <n v="228336.53"/>
    <n v="2024"/>
    <s v="February"/>
    <s v="Q1"/>
    <s v="UK | JKL | MNO | PQR"/>
    <n v="7.6588616560412562E-2"/>
    <n v="23.4443550034858"/>
    <x v="0"/>
  </r>
  <r>
    <x v="12"/>
    <s v="East"/>
    <x v="4"/>
    <x v="0"/>
    <x v="2"/>
    <s v="AUD"/>
    <d v="2024-02-28T00:00:00"/>
    <d v="2024-03-06T00:00:00"/>
    <n v="17355.82"/>
    <n v="0.67689999999999995"/>
    <n v="11748.15"/>
    <n v="678470"/>
    <n v="14015"/>
    <n v="7767.83"/>
    <n v="2024"/>
    <s v="February"/>
    <s v="Q1"/>
    <s v="USA | DEF | GHI"/>
    <n v="2.0656771854319276E-2"/>
    <n v="0.66119601809646622"/>
    <x v="0"/>
  </r>
  <r>
    <x v="13"/>
    <s v="West"/>
    <x v="4"/>
    <x v="2"/>
    <x v="1"/>
    <s v="SGD"/>
    <d v="2024-03-02T00:00:00"/>
    <d v="2024-04-13T00:00:00"/>
    <n v="16076.21"/>
    <n v="1.0794999999999999"/>
    <n v="17354.27"/>
    <n v="924462"/>
    <n v="45191"/>
    <n v="159168.82"/>
    <n v="2024"/>
    <s v="March"/>
    <s v="Q1"/>
    <s v="India | XYZ | PQR | TEST"/>
    <n v="4.888356687457137E-2"/>
    <n v="9.1717381370694362"/>
    <x v="0"/>
  </r>
  <r>
    <x v="49"/>
    <s v="South"/>
    <x v="3"/>
    <x v="2"/>
    <x v="0"/>
    <s v="SGD"/>
    <d v="2024-03-03T00:00:00"/>
    <d v="2024-03-23T00:00:00"/>
    <n v="29072.03"/>
    <n v="0.51749999999999996"/>
    <n v="15044.78"/>
    <n v="337557"/>
    <n v="39773"/>
    <n v="85674.76"/>
    <n v="2024"/>
    <s v="March"/>
    <s v="Q1"/>
    <s v="India | XYZ | PQR | TEST"/>
    <n v="0.11782602641924178"/>
    <n v="5.6946502374910093"/>
    <x v="0"/>
  </r>
  <r>
    <x v="19"/>
    <s v="South"/>
    <x v="2"/>
    <x v="2"/>
    <x v="2"/>
    <s v="AUD"/>
    <d v="2024-03-04T00:00:00"/>
    <d v="2024-04-03T00:00:00"/>
    <n v="20025.47"/>
    <n v="5.1999999999999998E-2"/>
    <n v="1041.32"/>
    <n v="752464"/>
    <n v="37589"/>
    <n v="204923.6"/>
    <n v="2024"/>
    <s v="March"/>
    <s v="Q1"/>
    <s v="USA | DEF | GHI"/>
    <n v="4.9954549320631952E-2"/>
    <n v="196.79214842699653"/>
    <x v="0"/>
  </r>
  <r>
    <x v="24"/>
    <s v="South"/>
    <x v="1"/>
    <x v="2"/>
    <x v="1"/>
    <s v="INR"/>
    <d v="2024-03-04T00:00:00"/>
    <d v="2024-03-09T00:00:00"/>
    <n v="28327.81"/>
    <n v="0.2384"/>
    <n v="6753.35"/>
    <n v="565953"/>
    <n v="6370"/>
    <n v="156635.63"/>
    <n v="2024"/>
    <s v="March"/>
    <s v="Q1"/>
    <s v="USA | DEF | GHI"/>
    <n v="1.125535159280011E-2"/>
    <n v="23.193767537592453"/>
    <x v="0"/>
  </r>
  <r>
    <x v="8"/>
    <s v="South"/>
    <x v="2"/>
    <x v="3"/>
    <x v="1"/>
    <s v="AUD"/>
    <d v="2024-03-05T00:00:00"/>
    <d v="2024-04-10T00:00:00"/>
    <n v="48098.07"/>
    <n v="1.1673"/>
    <n v="56144.88"/>
    <n v="159289"/>
    <n v="46738"/>
    <n v="73557.19"/>
    <n v="2024"/>
    <s v="March"/>
    <s v="Q1"/>
    <s v="UK | JKL | MNO | PQR"/>
    <n v="0.29341636898969797"/>
    <n v="1.3101317519959079"/>
    <x v="1"/>
  </r>
  <r>
    <x v="30"/>
    <s v="North"/>
    <x v="2"/>
    <x v="0"/>
    <x v="0"/>
    <s v="INR"/>
    <d v="2024-03-05T00:00:00"/>
    <d v="2024-04-06T00:00:00"/>
    <n v="34602.379999999997"/>
    <n v="0.49"/>
    <n v="16955.169999999998"/>
    <n v="826466"/>
    <n v="45353"/>
    <n v="136712.98000000001"/>
    <n v="2024"/>
    <s v="March"/>
    <s v="Q1"/>
    <s v="USA | DEF | GHI"/>
    <n v="5.4875820662918982E-2"/>
    <n v="8.0632031409888558"/>
    <x v="0"/>
  </r>
  <r>
    <x v="30"/>
    <s v="East"/>
    <x v="0"/>
    <x v="1"/>
    <x v="1"/>
    <s v="SGD"/>
    <d v="2024-03-05T00:00:00"/>
    <d v="2024-04-04T00:00:00"/>
    <n v="44403.360000000001"/>
    <n v="0.84389999999999998"/>
    <n v="37472"/>
    <n v="925979"/>
    <n v="20044"/>
    <n v="181780.01"/>
    <n v="2024"/>
    <s v="March"/>
    <s v="Q1"/>
    <s v="India | XYZ | PQR | TEST"/>
    <n v="2.1646279235274235E-2"/>
    <n v="4.8510890798462851"/>
    <x v="0"/>
  </r>
  <r>
    <x v="49"/>
    <s v="North"/>
    <x v="1"/>
    <x v="2"/>
    <x v="2"/>
    <s v="GBP"/>
    <d v="2024-03-05T00:00:00"/>
    <d v="2024-03-22T00:00:00"/>
    <n v="32489.97"/>
    <n v="0.9587"/>
    <n v="31148.13"/>
    <n v="271250"/>
    <n v="41437"/>
    <n v="248551.38"/>
    <n v="2024"/>
    <s v="March"/>
    <s v="Q1"/>
    <s v="UK | JKL | MNO | PQR"/>
    <n v="0.15276313364055299"/>
    <n v="7.9796565636524566"/>
    <x v="0"/>
  </r>
  <r>
    <x v="31"/>
    <s v="North"/>
    <x v="3"/>
    <x v="2"/>
    <x v="0"/>
    <s v="USD"/>
    <d v="2024-03-07T00:00:00"/>
    <d v="2024-03-13T00:00:00"/>
    <n v="49475.24"/>
    <n v="0.41120000000000001"/>
    <n v="20344.22"/>
    <n v="211485"/>
    <n v="44661"/>
    <n v="168892.62"/>
    <n v="2024"/>
    <s v="March"/>
    <s v="Q1"/>
    <s v="UK | JKL | MNO | PQR"/>
    <n v="0.21117809773742818"/>
    <n v="8.3017495878436218"/>
    <x v="0"/>
  </r>
  <r>
    <x v="46"/>
    <s v="North"/>
    <x v="4"/>
    <x v="1"/>
    <x v="2"/>
    <s v="AUD"/>
    <d v="2024-03-08T00:00:00"/>
    <d v="2024-04-13T00:00:00"/>
    <n v="19575.64"/>
    <n v="0.45419999999999999"/>
    <n v="8891.26"/>
    <n v="128733"/>
    <n v="22248"/>
    <n v="228941.07"/>
    <n v="2024"/>
    <s v="March"/>
    <s v="Q1"/>
    <s v="USA | DEF | GHI"/>
    <n v="0.17282281932371654"/>
    <n v="25.749001828762179"/>
    <x v="0"/>
  </r>
  <r>
    <x v="19"/>
    <s v="South"/>
    <x v="1"/>
    <x v="2"/>
    <x v="1"/>
    <s v="GBP"/>
    <d v="2024-03-08T00:00:00"/>
    <d v="2024-04-04T00:00:00"/>
    <n v="10574.95"/>
    <n v="0.24840000000000001"/>
    <n v="2626.82"/>
    <n v="962631"/>
    <n v="13289"/>
    <n v="197389.63"/>
    <n v="2024"/>
    <s v="March"/>
    <s v="Q1"/>
    <s v="USA | DEF | GHI"/>
    <n v="1.3804874349569046E-2"/>
    <n v="75.143949718671237"/>
    <x v="0"/>
  </r>
  <r>
    <x v="22"/>
    <s v="West"/>
    <x v="2"/>
    <x v="0"/>
    <x v="0"/>
    <s v="SGD"/>
    <d v="2024-03-09T00:00:00"/>
    <d v="2024-04-07T00:00:00"/>
    <n v="42727.72"/>
    <n v="0.55620000000000003"/>
    <n v="23765.16"/>
    <n v="238808"/>
    <n v="30685"/>
    <n v="79025.55"/>
    <n v="2024"/>
    <s v="March"/>
    <s v="Q1"/>
    <s v="USA | DEF | GHI"/>
    <n v="0.12849234531506482"/>
    <n v="3.3252690072358027"/>
    <x v="0"/>
  </r>
  <r>
    <x v="20"/>
    <s v="South"/>
    <x v="3"/>
    <x v="0"/>
    <x v="2"/>
    <s v="AUD"/>
    <d v="2024-03-10T00:00:00"/>
    <d v="2024-04-20T00:00:00"/>
    <n v="36241.79"/>
    <n v="0.92510000000000003"/>
    <n v="33527.279999999999"/>
    <n v="282735"/>
    <n v="10752"/>
    <n v="240274.73"/>
    <n v="2024"/>
    <s v="March"/>
    <s v="Q1"/>
    <s v="Australia | ABC | BCD"/>
    <n v="3.802854262825614E-2"/>
    <n v="7.1665440799253632"/>
    <x v="0"/>
  </r>
  <r>
    <x v="46"/>
    <s v="North"/>
    <x v="2"/>
    <x v="0"/>
    <x v="1"/>
    <s v="GBP"/>
    <d v="2024-03-11T00:00:00"/>
    <d v="2024-04-18T00:00:00"/>
    <n v="20321.689999999999"/>
    <n v="0.97360000000000002"/>
    <n v="19785.2"/>
    <n v="740494"/>
    <n v="6522"/>
    <n v="115848.14"/>
    <n v="2024"/>
    <s v="March"/>
    <s v="Q1"/>
    <s v="India | XYZ | PQR | TEST"/>
    <n v="8.8076338228263839E-3"/>
    <n v="5.8552928451569857"/>
    <x v="0"/>
  </r>
  <r>
    <x v="18"/>
    <s v="West"/>
    <x v="4"/>
    <x v="4"/>
    <x v="0"/>
    <s v="USD"/>
    <d v="2024-03-11T00:00:00"/>
    <d v="2024-03-24T00:00:00"/>
    <n v="13471.38"/>
    <n v="0.9214"/>
    <n v="12412.53"/>
    <n v="964293"/>
    <n v="5593"/>
    <n v="74400.33"/>
    <n v="2024"/>
    <s v="March"/>
    <s v="Q1"/>
    <s v="Australia | ABC | BCD"/>
    <n v="5.8001043251376914E-3"/>
    <n v="5.9939698030941315"/>
    <x v="0"/>
  </r>
  <r>
    <x v="3"/>
    <s v="West"/>
    <x v="2"/>
    <x v="2"/>
    <x v="1"/>
    <s v="GBP"/>
    <d v="2024-03-13T00:00:00"/>
    <d v="2024-04-25T00:00:00"/>
    <n v="42542.1"/>
    <n v="0.31900000000000001"/>
    <n v="13570.93"/>
    <n v="613080"/>
    <n v="40944"/>
    <n v="91694.07"/>
    <n v="2024"/>
    <s v="March"/>
    <s v="Q1"/>
    <s v="UK | JKL | MNO | PQR"/>
    <n v="6.678410647876297E-2"/>
    <n v="6.756653376002971"/>
    <x v="0"/>
  </r>
  <r>
    <x v="51"/>
    <s v="South"/>
    <x v="3"/>
    <x v="5"/>
    <x v="1"/>
    <s v="SGD"/>
    <d v="2024-03-14T00:00:00"/>
    <d v="2024-04-18T00:00:00"/>
    <n v="49356.7"/>
    <n v="1.0299"/>
    <n v="50832.47"/>
    <n v="959173"/>
    <n v="6683"/>
    <n v="184898.05"/>
    <n v="2024"/>
    <s v="March"/>
    <s v="Q1"/>
    <s v="Australia | ABC | BCD"/>
    <n v="6.9674605102520611E-3"/>
    <n v="3.6374004647029738"/>
    <x v="0"/>
  </r>
  <r>
    <x v="59"/>
    <s v="West"/>
    <x v="4"/>
    <x v="2"/>
    <x v="1"/>
    <s v="USD"/>
    <d v="2024-03-14T00:00:00"/>
    <d v="2024-04-11T00:00:00"/>
    <n v="9667.86"/>
    <n v="0.71789999999999998"/>
    <n v="6940.56"/>
    <n v="579128"/>
    <n v="28665"/>
    <n v="98483.01"/>
    <n v="2024"/>
    <s v="March"/>
    <s v="Q1"/>
    <s v="Australia | ABC | BCD"/>
    <n v="4.9496829716401208E-2"/>
    <n v="14.189490473391194"/>
    <x v="0"/>
  </r>
  <r>
    <x v="55"/>
    <s v="North"/>
    <x v="2"/>
    <x v="1"/>
    <x v="2"/>
    <s v="SGD"/>
    <d v="2024-03-14T00:00:00"/>
    <d v="2024-04-09T00:00:00"/>
    <n v="2020.52"/>
    <n v="1.1695"/>
    <n v="2363"/>
    <n v="934065"/>
    <n v="5144"/>
    <n v="46827.65"/>
    <n v="2024"/>
    <s v="March"/>
    <s v="Q1"/>
    <s v="Australia | ABC | BCD"/>
    <n v="5.5071113894643309E-3"/>
    <n v="19.817033432077867"/>
    <x v="0"/>
  </r>
  <r>
    <x v="36"/>
    <s v="East"/>
    <x v="0"/>
    <x v="0"/>
    <x v="2"/>
    <s v="USD"/>
    <d v="2024-03-15T00:00:00"/>
    <d v="2024-05-09T00:00:00"/>
    <n v="10109.83"/>
    <n v="0.3019"/>
    <n v="3052.16"/>
    <n v="235636"/>
    <n v="43154"/>
    <n v="96056.77"/>
    <n v="2024"/>
    <s v="March"/>
    <s v="Q1"/>
    <s v="USA | DEF | GHI"/>
    <n v="0.18313839990493813"/>
    <n v="31.471734771440556"/>
    <x v="0"/>
  </r>
  <r>
    <x v="53"/>
    <s v="North"/>
    <x v="2"/>
    <x v="4"/>
    <x v="2"/>
    <s v="AUD"/>
    <d v="2024-03-17T00:00:00"/>
    <d v="2024-04-02T00:00:00"/>
    <n v="13360.89"/>
    <n v="0.59460000000000002"/>
    <n v="7944.39"/>
    <n v="360520"/>
    <n v="20046"/>
    <n v="32324.51"/>
    <n v="2024"/>
    <s v="March"/>
    <s v="Q1"/>
    <s v="USA | DEF | GHI"/>
    <n v="5.5603017863086655E-2"/>
    <n v="4.0688473249676811"/>
    <x v="0"/>
  </r>
  <r>
    <x v="46"/>
    <s v="West"/>
    <x v="1"/>
    <x v="3"/>
    <x v="0"/>
    <s v="AUD"/>
    <d v="2024-03-18T00:00:00"/>
    <d v="2024-04-29T00:00:00"/>
    <n v="45994.73"/>
    <n v="0.35610000000000003"/>
    <n v="16378.72"/>
    <n v="43697"/>
    <n v="31110"/>
    <n v="233569.02"/>
    <n v="2024"/>
    <s v="March"/>
    <s v="Q1"/>
    <s v="USA | DEF | GHI"/>
    <n v="0.71194818866283727"/>
    <n v="14.260517305381617"/>
    <x v="0"/>
  </r>
  <r>
    <x v="38"/>
    <s v="North"/>
    <x v="3"/>
    <x v="2"/>
    <x v="0"/>
    <s v="AUD"/>
    <d v="2024-03-18T00:00:00"/>
    <d v="2024-04-23T00:00:00"/>
    <n v="13889.77"/>
    <n v="1.0387999999999999"/>
    <n v="14428.69"/>
    <n v="301979"/>
    <n v="48048"/>
    <n v="168835.32"/>
    <n v="2024"/>
    <s v="March"/>
    <s v="Q1"/>
    <s v="India | XYZ | PQR | TEST"/>
    <n v="0.15911040171667568"/>
    <n v="11.70136166207743"/>
    <x v="0"/>
  </r>
  <r>
    <x v="34"/>
    <s v="South"/>
    <x v="1"/>
    <x v="3"/>
    <x v="2"/>
    <s v="AUD"/>
    <d v="2024-03-18T00:00:00"/>
    <d v="2024-04-01T00:00:00"/>
    <n v="32173.66"/>
    <n v="0.22989999999999999"/>
    <n v="7396.72"/>
    <n v="868311"/>
    <n v="48898"/>
    <n v="166079.01"/>
    <n v="2024"/>
    <s v="March"/>
    <s v="Q1"/>
    <s v="Australia | ABC | BCD"/>
    <n v="5.6313924388842244E-2"/>
    <n v="22.453061627315893"/>
    <x v="0"/>
  </r>
  <r>
    <x v="36"/>
    <s v="North"/>
    <x v="0"/>
    <x v="2"/>
    <x v="0"/>
    <s v="SGD"/>
    <d v="2024-03-19T00:00:00"/>
    <d v="2024-05-05T00:00:00"/>
    <n v="36605.949999999997"/>
    <n v="0.58350000000000002"/>
    <n v="21359.57"/>
    <n v="705951"/>
    <n v="44421"/>
    <n v="162144.09"/>
    <n v="2024"/>
    <s v="March"/>
    <s v="Q1"/>
    <s v="UK | JKL | MNO | PQR"/>
    <n v="6.292363067691667E-2"/>
    <n v="7.5911682679005246"/>
    <x v="0"/>
  </r>
  <r>
    <x v="12"/>
    <s v="South"/>
    <x v="1"/>
    <x v="0"/>
    <x v="0"/>
    <s v="INR"/>
    <d v="2024-03-20T00:00:00"/>
    <d v="2024-05-07T00:00:00"/>
    <n v="49778.15"/>
    <n v="0.41789999999999999"/>
    <n v="20802.29"/>
    <n v="955169"/>
    <n v="32224"/>
    <n v="93016.47"/>
    <n v="2024"/>
    <s v="March"/>
    <s v="Q1"/>
    <s v="India | XYZ | PQR | TEST"/>
    <n v="3.3736438263804625E-2"/>
    <n v="4.471453383257324"/>
    <x v="0"/>
  </r>
  <r>
    <x v="36"/>
    <s v="South"/>
    <x v="3"/>
    <x v="1"/>
    <x v="0"/>
    <s v="AUD"/>
    <d v="2024-03-20T00:00:00"/>
    <d v="2024-04-24T00:00:00"/>
    <n v="15183.86"/>
    <n v="0.58830000000000005"/>
    <n v="8932.66"/>
    <n v="807861"/>
    <n v="28211"/>
    <n v="65698.09"/>
    <n v="2024"/>
    <s v="March"/>
    <s v="Q1"/>
    <s v="India | XYZ | PQR | TEST"/>
    <n v="3.4920611342792882E-2"/>
    <n v="7.3548181616674091"/>
    <x v="0"/>
  </r>
  <r>
    <x v="11"/>
    <s v="North"/>
    <x v="2"/>
    <x v="4"/>
    <x v="0"/>
    <s v="USD"/>
    <d v="2024-03-21T00:00:00"/>
    <d v="2024-04-11T00:00:00"/>
    <n v="17380.439999999999"/>
    <n v="0.96809999999999996"/>
    <n v="16826"/>
    <n v="805248"/>
    <n v="29797"/>
    <n v="15612.78"/>
    <n v="2024"/>
    <s v="March"/>
    <s v="Q1"/>
    <s v="UK | JKL | MNO | PQR"/>
    <n v="3.7003506994118585E-2"/>
    <n v="0.92789611315820753"/>
    <x v="0"/>
  </r>
  <r>
    <x v="49"/>
    <s v="West"/>
    <x v="1"/>
    <x v="3"/>
    <x v="1"/>
    <s v="SGD"/>
    <d v="2024-03-21T00:00:00"/>
    <d v="2024-04-06T00:00:00"/>
    <n v="36955.97"/>
    <n v="1.1589"/>
    <n v="42828.27"/>
    <n v="293201"/>
    <n v="40464"/>
    <n v="203008.81"/>
    <n v="2024"/>
    <s v="March"/>
    <s v="Q1"/>
    <s v="USA | DEF | GHI"/>
    <n v="0.13800771484408306"/>
    <n v="4.7400656155385219"/>
    <x v="0"/>
  </r>
  <r>
    <x v="20"/>
    <s v="South"/>
    <x v="1"/>
    <x v="3"/>
    <x v="0"/>
    <s v="USD"/>
    <d v="2024-03-22T00:00:00"/>
    <d v="2024-05-19T00:00:00"/>
    <n v="31676.9"/>
    <n v="0.95009999999999994"/>
    <n v="30096.22"/>
    <n v="210188"/>
    <n v="5742"/>
    <n v="78724.88"/>
    <n v="2024"/>
    <s v="March"/>
    <s v="Q1"/>
    <s v="India | XYZ | PQR | TEST"/>
    <n v="2.7318400669876491E-2"/>
    <n v="2.6157730106970245"/>
    <x v="0"/>
  </r>
  <r>
    <x v="47"/>
    <s v="West"/>
    <x v="4"/>
    <x v="5"/>
    <x v="0"/>
    <s v="AUD"/>
    <d v="2024-03-23T00:00:00"/>
    <d v="2024-04-11T00:00:00"/>
    <n v="5879.32"/>
    <n v="0.96340000000000003"/>
    <n v="5664.14"/>
    <n v="538751"/>
    <n v="7857"/>
    <n v="159703.06"/>
    <n v="2024"/>
    <s v="March"/>
    <s v="Q1"/>
    <s v="India | XYZ | PQR | TEST"/>
    <n v="1.4583731631124582E-2"/>
    <n v="28.19546480136437"/>
    <x v="0"/>
  </r>
  <r>
    <x v="42"/>
    <s v="North"/>
    <x v="1"/>
    <x v="2"/>
    <x v="2"/>
    <s v="AUD"/>
    <d v="2024-03-25T00:00:00"/>
    <d v="2024-04-27T00:00:00"/>
    <n v="42794.26"/>
    <n v="4.58E-2"/>
    <n v="1959.98"/>
    <n v="155699"/>
    <n v="37947"/>
    <n v="219068.79999999999"/>
    <n v="2024"/>
    <s v="March"/>
    <s v="Q1"/>
    <s v="India | XYZ | PQR | TEST"/>
    <n v="0.24372025510761147"/>
    <n v="111.77093643812691"/>
    <x v="0"/>
  </r>
  <r>
    <x v="27"/>
    <s v="East"/>
    <x v="3"/>
    <x v="0"/>
    <x v="1"/>
    <s v="SGD"/>
    <d v="2024-03-28T00:00:00"/>
    <d v="2024-05-13T00:00:00"/>
    <n v="13565.75"/>
    <n v="0.58009999999999995"/>
    <n v="7869.49"/>
    <n v="221883"/>
    <n v="35396"/>
    <n v="71427.520000000004"/>
    <n v="2024"/>
    <s v="March"/>
    <s v="Q1"/>
    <s v="India | XYZ | PQR | TEST"/>
    <n v="0.15952551569971563"/>
    <n v="9.076511946771646"/>
    <x v="0"/>
  </r>
  <r>
    <x v="42"/>
    <s v="West"/>
    <x v="1"/>
    <x v="0"/>
    <x v="0"/>
    <s v="AUD"/>
    <d v="2024-03-28T00:00:00"/>
    <d v="2024-05-12T00:00:00"/>
    <n v="15838.2"/>
    <n v="0.33689999999999998"/>
    <n v="5335.89"/>
    <n v="68900"/>
    <n v="23164"/>
    <n v="129297.54"/>
    <n v="2024"/>
    <s v="March"/>
    <s v="Q1"/>
    <s v="USA | DEF | GHI"/>
    <n v="0.33619738751814221"/>
    <n v="24.231672691903317"/>
    <x v="0"/>
  </r>
  <r>
    <x v="36"/>
    <s v="South"/>
    <x v="3"/>
    <x v="0"/>
    <x v="0"/>
    <s v="SGD"/>
    <d v="2024-03-28T00:00:00"/>
    <d v="2024-05-12T00:00:00"/>
    <n v="1296.0899999999999"/>
    <n v="1.0450999999999999"/>
    <n v="1354.54"/>
    <n v="83384"/>
    <n v="12713"/>
    <n v="17766.18"/>
    <n v="2024"/>
    <s v="March"/>
    <s v="Q1"/>
    <s v="India | XYZ | PQR | TEST"/>
    <n v="0.15246330231219418"/>
    <n v="13.116024628287095"/>
    <x v="0"/>
  </r>
  <r>
    <x v="42"/>
    <s v="West"/>
    <x v="3"/>
    <x v="1"/>
    <x v="1"/>
    <s v="SGD"/>
    <d v="2024-03-30T00:00:00"/>
    <d v="2024-05-13T00:00:00"/>
    <n v="14961.47"/>
    <n v="0.90080000000000005"/>
    <n v="13477.29"/>
    <n v="480735"/>
    <n v="15435"/>
    <n v="135832.73000000001"/>
    <n v="2024"/>
    <s v="March"/>
    <s v="Q1"/>
    <s v="UK | JKL | MNO | PQR"/>
    <n v="3.2107086024524945E-2"/>
    <n v="10.078638212875141"/>
    <x v="0"/>
  </r>
  <r>
    <x v="41"/>
    <s v="West"/>
    <x v="2"/>
    <x v="1"/>
    <x v="2"/>
    <s v="INR"/>
    <d v="2024-03-30T00:00:00"/>
    <d v="2024-05-06T00:00:00"/>
    <n v="2221.8000000000002"/>
    <n v="0.58440000000000003"/>
    <n v="1298.42"/>
    <n v="534344"/>
    <n v="10197"/>
    <n v="51601.86"/>
    <n v="2024"/>
    <s v="March"/>
    <s v="Q1"/>
    <s v="Australia | ABC | BCD"/>
    <n v="1.9083212312667495E-2"/>
    <n v="39.742040325934596"/>
    <x v="0"/>
  </r>
  <r>
    <x v="14"/>
    <s v="East"/>
    <x v="0"/>
    <x v="3"/>
    <x v="2"/>
    <s v="INR"/>
    <d v="2024-03-30T00:00:00"/>
    <d v="2024-05-02T00:00:00"/>
    <n v="47577.2"/>
    <n v="1.028"/>
    <n v="48909.36"/>
    <n v="114180"/>
    <n v="45036"/>
    <n v="94997.06"/>
    <n v="2024"/>
    <s v="March"/>
    <s v="Q1"/>
    <s v="Australia | ABC | BCD"/>
    <n v="0.39442984760903838"/>
    <n v="1.9423083843256177"/>
    <x v="0"/>
  </r>
  <r>
    <x v="17"/>
    <s v="West"/>
    <x v="3"/>
    <x v="5"/>
    <x v="2"/>
    <s v="AUD"/>
    <d v="2024-04-01T00:00:00"/>
    <d v="2024-05-03T00:00:00"/>
    <n v="30220.16"/>
    <n v="0.33329999999999999"/>
    <n v="10072.379999999999"/>
    <n v="344232"/>
    <n v="40923"/>
    <n v="31351.98"/>
    <n v="2024"/>
    <s v="April"/>
    <s v="Q2"/>
    <s v="Australia | ABC | BCD"/>
    <n v="0.1188820330474796"/>
    <n v="3.1126685053582173"/>
    <x v="0"/>
  </r>
  <r>
    <x v="9"/>
    <s v="East"/>
    <x v="1"/>
    <x v="0"/>
    <x v="2"/>
    <s v="AUD"/>
    <d v="2024-04-01T00:00:00"/>
    <d v="2024-04-21T00:00:00"/>
    <n v="45320.33"/>
    <n v="0.74029999999999996"/>
    <n v="33550.639999999999"/>
    <n v="661303"/>
    <n v="16079"/>
    <n v="239929.72"/>
    <n v="2024"/>
    <s v="April"/>
    <s v="Q2"/>
    <s v="USA | DEF | GHI"/>
    <n v="2.4314119246396888E-2"/>
    <n v="7.1512710338759558"/>
    <x v="0"/>
  </r>
  <r>
    <x v="2"/>
    <s v="West"/>
    <x v="0"/>
    <x v="0"/>
    <x v="2"/>
    <s v="GBP"/>
    <d v="2024-04-01T00:00:00"/>
    <d v="2024-04-15T00:00:00"/>
    <n v="2697.82"/>
    <n v="0.74680000000000002"/>
    <n v="2014.73"/>
    <n v="267724"/>
    <n v="42520"/>
    <n v="77300.759999999995"/>
    <n v="2024"/>
    <s v="April"/>
    <s v="Q2"/>
    <s v="India | XYZ | PQR | TEST"/>
    <n v="0.15882027759931869"/>
    <n v="38.367801144570237"/>
    <x v="0"/>
  </r>
  <r>
    <x v="25"/>
    <s v="South"/>
    <x v="2"/>
    <x v="4"/>
    <x v="1"/>
    <s v="AUD"/>
    <d v="2024-04-04T00:00:00"/>
    <d v="2024-05-23T00:00:00"/>
    <n v="22375.27"/>
    <n v="0.20200000000000001"/>
    <n v="4519.8"/>
    <n v="771485"/>
    <n v="12696"/>
    <n v="119963.91"/>
    <n v="2024"/>
    <s v="April"/>
    <s v="Q2"/>
    <s v="UK | JKL | MNO | PQR"/>
    <n v="1.6456574009864094E-2"/>
    <n v="26.541862471790786"/>
    <x v="0"/>
  </r>
  <r>
    <x v="22"/>
    <s v="East"/>
    <x v="2"/>
    <x v="3"/>
    <x v="1"/>
    <s v="INR"/>
    <d v="2024-04-05T00:00:00"/>
    <d v="2024-05-10T00:00:00"/>
    <n v="2114.66"/>
    <n v="0.25869999999999999"/>
    <n v="547.05999999999995"/>
    <n v="574139"/>
    <n v="13985"/>
    <n v="54931.33"/>
    <n v="2024"/>
    <s v="April"/>
    <s v="Q2"/>
    <s v="Australia | ABC | BCD"/>
    <n v="2.4358212906630625E-2"/>
    <n v="100.41189266259644"/>
    <x v="0"/>
  </r>
  <r>
    <x v="13"/>
    <s v="East"/>
    <x v="1"/>
    <x v="0"/>
    <x v="0"/>
    <s v="INR"/>
    <d v="2024-04-05T00:00:00"/>
    <d v="2024-04-20T00:00:00"/>
    <n v="44583.03"/>
    <n v="1.1500999999999999"/>
    <n v="51274.94"/>
    <n v="275356"/>
    <n v="38561"/>
    <n v="105403.03"/>
    <n v="2024"/>
    <s v="April"/>
    <s v="Q2"/>
    <s v="USA | DEF | GHI"/>
    <n v="0.14004052935109459"/>
    <n v="2.0556441411730564"/>
    <x v="0"/>
  </r>
  <r>
    <x v="47"/>
    <s v="South"/>
    <x v="0"/>
    <x v="3"/>
    <x v="0"/>
    <s v="AUD"/>
    <d v="2024-04-09T00:00:00"/>
    <d v="2024-05-28T00:00:00"/>
    <n v="2340.19"/>
    <n v="7.1999999999999995E-2"/>
    <n v="168.49"/>
    <n v="682758"/>
    <n v="12141"/>
    <n v="159388.29999999999"/>
    <n v="2024"/>
    <s v="April"/>
    <s v="Q2"/>
    <s v="USA | DEF | GHI"/>
    <n v="1.7782288892989901E-2"/>
    <n v="945.98077037212875"/>
    <x v="0"/>
  </r>
  <r>
    <x v="56"/>
    <s v="South"/>
    <x v="0"/>
    <x v="4"/>
    <x v="0"/>
    <s v="USD"/>
    <d v="2024-04-09T00:00:00"/>
    <d v="2024-05-10T00:00:00"/>
    <n v="22651.89"/>
    <n v="0.72540000000000004"/>
    <n v="16431.68"/>
    <n v="16892"/>
    <n v="16137"/>
    <n v="221131.13"/>
    <n v="2024"/>
    <s v="April"/>
    <s v="Q2"/>
    <s v="USA | DEF | GHI"/>
    <n v="0.95530428605256923"/>
    <n v="13.457609325400689"/>
    <x v="0"/>
  </r>
  <r>
    <x v="16"/>
    <s v="North"/>
    <x v="1"/>
    <x v="5"/>
    <x v="2"/>
    <s v="SGD"/>
    <d v="2024-04-09T00:00:00"/>
    <d v="2024-05-08T00:00:00"/>
    <n v="23746.25"/>
    <n v="0.51939999999999997"/>
    <n v="12333.8"/>
    <n v="660338"/>
    <n v="40681"/>
    <n v="29813.09"/>
    <n v="2024"/>
    <s v="April"/>
    <s v="Q2"/>
    <s v="India | XYZ | PQR | TEST"/>
    <n v="6.1606328880058396E-2"/>
    <n v="2.4171861064716471"/>
    <x v="0"/>
  </r>
  <r>
    <x v="19"/>
    <s v="South"/>
    <x v="4"/>
    <x v="2"/>
    <x v="2"/>
    <s v="AUD"/>
    <d v="2024-04-09T00:00:00"/>
    <d v="2024-04-18T00:00:00"/>
    <n v="34742.07"/>
    <n v="0.1981"/>
    <n v="6882.4"/>
    <n v="445810"/>
    <n v="31835"/>
    <n v="118788.33"/>
    <n v="2024"/>
    <s v="April"/>
    <s v="Q2"/>
    <s v="UK | JKL | MNO | PQR"/>
    <n v="7.1409344788138443E-2"/>
    <n v="17.259724805300479"/>
    <x v="0"/>
  </r>
  <r>
    <x v="43"/>
    <s v="North"/>
    <x v="2"/>
    <x v="3"/>
    <x v="1"/>
    <s v="INR"/>
    <d v="2024-04-10T00:00:00"/>
    <d v="2024-05-17T00:00:00"/>
    <n v="21782.11"/>
    <n v="0.9859"/>
    <n v="21474.98"/>
    <n v="413402"/>
    <n v="23385"/>
    <n v="60306.53"/>
    <n v="2024"/>
    <s v="April"/>
    <s v="Q2"/>
    <s v="USA | DEF | GHI"/>
    <n v="5.6567215446466153E-2"/>
    <n v="2.8082228714531983"/>
    <x v="0"/>
  </r>
  <r>
    <x v="37"/>
    <s v="West"/>
    <x v="0"/>
    <x v="2"/>
    <x v="0"/>
    <s v="GBP"/>
    <d v="2024-04-10T00:00:00"/>
    <d v="2024-05-14T00:00:00"/>
    <n v="38819.919999999998"/>
    <n v="1.0503"/>
    <n v="40772.559999999998"/>
    <n v="435051"/>
    <n v="12220"/>
    <n v="198515.38"/>
    <n v="2024"/>
    <s v="April"/>
    <s v="Q2"/>
    <s v="USA | DEF | GHI"/>
    <n v="2.8088660869645166E-2"/>
    <n v="4.8688475778808105"/>
    <x v="0"/>
  </r>
  <r>
    <x v="45"/>
    <s v="South"/>
    <x v="3"/>
    <x v="2"/>
    <x v="1"/>
    <s v="USD"/>
    <d v="2024-04-11T00:00:00"/>
    <d v="2024-05-12T00:00:00"/>
    <n v="44420.71"/>
    <n v="0.69499999999999995"/>
    <n v="30872.39"/>
    <n v="763240"/>
    <n v="45736"/>
    <n v="99074.72"/>
    <n v="2024"/>
    <s v="April"/>
    <s v="Q2"/>
    <s v="Australia | ABC | BCD"/>
    <n v="5.9923484094125047E-2"/>
    <n v="3.2091690989910404"/>
    <x v="0"/>
  </r>
  <r>
    <x v="17"/>
    <s v="East"/>
    <x v="2"/>
    <x v="1"/>
    <x v="1"/>
    <s v="AUD"/>
    <d v="2024-04-12T00:00:00"/>
    <d v="2024-06-10T00:00:00"/>
    <n v="15803.96"/>
    <n v="1.1993"/>
    <n v="18953.689999999999"/>
    <n v="904787"/>
    <n v="31767"/>
    <n v="31130.05"/>
    <n v="2024"/>
    <s v="April"/>
    <s v="Q2"/>
    <s v="Australia | ABC | BCD"/>
    <n v="3.5109920898509818E-2"/>
    <n v="1.6424268836305755"/>
    <x v="0"/>
  </r>
  <r>
    <x v="32"/>
    <s v="West"/>
    <x v="0"/>
    <x v="2"/>
    <x v="0"/>
    <s v="INR"/>
    <d v="2024-04-12T00:00:00"/>
    <d v="2024-04-20T00:00:00"/>
    <n v="45983.519999999997"/>
    <n v="0.84850000000000003"/>
    <n v="39017.019999999997"/>
    <n v="297286"/>
    <n v="24240"/>
    <n v="206759.04000000001"/>
    <n v="2024"/>
    <s v="April"/>
    <s v="Q2"/>
    <s v="USA | DEF | GHI"/>
    <n v="8.1537643885013084E-2"/>
    <n v="5.2992012203904864"/>
    <x v="0"/>
  </r>
  <r>
    <x v="33"/>
    <s v="North"/>
    <x v="2"/>
    <x v="0"/>
    <x v="0"/>
    <s v="AUD"/>
    <d v="2024-04-14T00:00:00"/>
    <d v="2024-06-12T00:00:00"/>
    <n v="26291.61"/>
    <n v="0.82179999999999997"/>
    <n v="21606.45"/>
    <n v="999583"/>
    <n v="2050"/>
    <n v="113431.78"/>
    <n v="2024"/>
    <s v="April"/>
    <s v="Q2"/>
    <s v="USA | DEF | GHI"/>
    <n v="2.050855206621161E-3"/>
    <n v="5.2499036167440742"/>
    <x v="0"/>
  </r>
  <r>
    <x v="50"/>
    <s v="South"/>
    <x v="2"/>
    <x v="4"/>
    <x v="2"/>
    <s v="USD"/>
    <d v="2024-04-17T00:00:00"/>
    <d v="2024-06-10T00:00:00"/>
    <n v="14806.81"/>
    <n v="0.46439999999999998"/>
    <n v="6876.28"/>
    <n v="563081"/>
    <n v="27537"/>
    <n v="241735.7"/>
    <n v="2024"/>
    <s v="April"/>
    <s v="Q2"/>
    <s v="UK | JKL | MNO | PQR"/>
    <n v="4.8904154109266698E-2"/>
    <n v="35.155011139744168"/>
    <x v="0"/>
  </r>
  <r>
    <x v="56"/>
    <s v="North"/>
    <x v="4"/>
    <x v="5"/>
    <x v="0"/>
    <s v="AUD"/>
    <d v="2024-04-18T00:00:00"/>
    <d v="2024-06-13T00:00:00"/>
    <n v="38386.78"/>
    <n v="0.62639999999999996"/>
    <n v="24045.48"/>
    <n v="889962"/>
    <n v="3661"/>
    <n v="25741.48"/>
    <n v="2024"/>
    <s v="April"/>
    <s v="Q2"/>
    <s v="UK | JKL | MNO | PQR"/>
    <n v="4.1136587854312878E-3"/>
    <n v="1.0705330066191234"/>
    <x v="0"/>
  </r>
  <r>
    <x v="13"/>
    <s v="North"/>
    <x v="4"/>
    <x v="4"/>
    <x v="1"/>
    <s v="INR"/>
    <d v="2024-04-18T00:00:00"/>
    <d v="2024-05-21T00:00:00"/>
    <n v="18578.34"/>
    <n v="0.3735"/>
    <n v="6939.01"/>
    <n v="588469"/>
    <n v="7232"/>
    <n v="48063.69"/>
    <n v="2024"/>
    <s v="April"/>
    <s v="Q2"/>
    <s v="USA | DEF | GHI"/>
    <n v="1.2289517374747013E-2"/>
    <n v="6.9265918337053849"/>
    <x v="0"/>
  </r>
  <r>
    <x v="31"/>
    <s v="South"/>
    <x v="3"/>
    <x v="3"/>
    <x v="2"/>
    <s v="USD"/>
    <d v="2024-04-18T00:00:00"/>
    <d v="2024-04-29T00:00:00"/>
    <n v="40390.94"/>
    <n v="0.1764"/>
    <n v="7124.96"/>
    <n v="22537"/>
    <n v="4141"/>
    <n v="208441.22"/>
    <n v="2024"/>
    <s v="April"/>
    <s v="Q2"/>
    <s v="USA | DEF | GHI"/>
    <n v="0.18374229045569507"/>
    <n v="29.255072309177876"/>
    <x v="0"/>
  </r>
  <r>
    <x v="48"/>
    <s v="South"/>
    <x v="1"/>
    <x v="3"/>
    <x v="2"/>
    <s v="GBP"/>
    <d v="2024-04-19T00:00:00"/>
    <d v="2024-06-16T00:00:00"/>
    <n v="32658.97"/>
    <n v="0.1176"/>
    <n v="3840.69"/>
    <n v="534977"/>
    <n v="7516"/>
    <n v="49043.99"/>
    <n v="2024"/>
    <s v="April"/>
    <s v="Q2"/>
    <s v="Australia | ABC | BCD"/>
    <n v="1.4049202115231122E-2"/>
    <n v="12.769577862311198"/>
    <x v="0"/>
  </r>
  <r>
    <x v="49"/>
    <s v="South"/>
    <x v="3"/>
    <x v="0"/>
    <x v="2"/>
    <s v="USD"/>
    <d v="2024-04-20T00:00:00"/>
    <d v="2024-05-18T00:00:00"/>
    <n v="29992.86"/>
    <n v="0.59709999999999996"/>
    <n v="17908.740000000002"/>
    <n v="820143"/>
    <n v="12907"/>
    <n v="184453.52"/>
    <n v="2024"/>
    <s v="April"/>
    <s v="Q2"/>
    <s v="India | XYZ | PQR | TEST"/>
    <n v="1.5737499436073953E-2"/>
    <n v="10.299636937048612"/>
    <x v="0"/>
  </r>
  <r>
    <x v="7"/>
    <s v="East"/>
    <x v="2"/>
    <x v="2"/>
    <x v="1"/>
    <s v="SGD"/>
    <d v="2024-04-21T00:00:00"/>
    <d v="2024-05-24T00:00:00"/>
    <n v="22665.83"/>
    <n v="0.26429999999999998"/>
    <n v="5990.58"/>
    <n v="506171"/>
    <n v="48331"/>
    <n v="46574.39"/>
    <n v="2024"/>
    <s v="April"/>
    <s v="Q2"/>
    <s v="USA | DEF | GHI"/>
    <n v="9.5483542123116494E-2"/>
    <n v="7.7746044623392061"/>
    <x v="0"/>
  </r>
  <r>
    <x v="33"/>
    <s v="East"/>
    <x v="1"/>
    <x v="5"/>
    <x v="1"/>
    <s v="AUD"/>
    <d v="2024-04-22T00:00:00"/>
    <d v="2024-06-11T00:00:00"/>
    <n v="46937.23"/>
    <n v="5.7500000000000002E-2"/>
    <n v="2698.89"/>
    <n v="983737"/>
    <n v="21243"/>
    <n v="151235.68"/>
    <n v="2024"/>
    <s v="April"/>
    <s v="Q2"/>
    <s v="Australia | ABC | BCD"/>
    <n v="2.1594186251000014E-2"/>
    <n v="56.036251940612622"/>
    <x v="0"/>
  </r>
  <r>
    <x v="23"/>
    <s v="East"/>
    <x v="4"/>
    <x v="4"/>
    <x v="0"/>
    <s v="AUD"/>
    <d v="2024-04-23T00:00:00"/>
    <d v="2024-06-09T00:00:00"/>
    <n v="46872.92"/>
    <n v="0.77010000000000001"/>
    <n v="36096.839999999997"/>
    <n v="977516"/>
    <n v="18213"/>
    <n v="193492.99"/>
    <n v="2024"/>
    <s v="April"/>
    <s v="Q2"/>
    <s v="Australia | ABC | BCD"/>
    <n v="1.8631920091333545E-2"/>
    <n v="5.360385839868532"/>
    <x v="0"/>
  </r>
  <r>
    <x v="9"/>
    <s v="South"/>
    <x v="0"/>
    <x v="4"/>
    <x v="1"/>
    <s v="SGD"/>
    <d v="2024-04-25T00:00:00"/>
    <d v="2024-05-19T00:00:00"/>
    <n v="30563.14"/>
    <n v="0.35639999999999999"/>
    <n v="10892.7"/>
    <n v="18474"/>
    <n v="34026"/>
    <n v="148677.78"/>
    <n v="2024"/>
    <s v="April"/>
    <s v="Q2"/>
    <s v="Australia | ABC | BCD"/>
    <n v="1.8418317635595973"/>
    <n v="13.649304580131647"/>
    <x v="0"/>
  </r>
  <r>
    <x v="22"/>
    <s v="East"/>
    <x v="3"/>
    <x v="2"/>
    <x v="2"/>
    <s v="SGD"/>
    <d v="2024-04-28T00:00:00"/>
    <d v="2024-06-10T00:00:00"/>
    <n v="33289.620000000003"/>
    <n v="0.69550000000000001"/>
    <n v="23152.93"/>
    <n v="982462"/>
    <n v="33325"/>
    <n v="194972.51"/>
    <n v="2024"/>
    <s v="April"/>
    <s v="Q2"/>
    <s v="USA | DEF | GHI"/>
    <n v="3.3919886977816956E-2"/>
    <n v="8.42107284045691"/>
    <x v="0"/>
  </r>
  <r>
    <x v="54"/>
    <s v="South"/>
    <x v="3"/>
    <x v="4"/>
    <x v="2"/>
    <s v="GBP"/>
    <d v="2024-04-28T00:00:00"/>
    <d v="2024-05-15T00:00:00"/>
    <n v="25523.39"/>
    <n v="1.0423"/>
    <n v="26603.03"/>
    <n v="410209"/>
    <n v="34823"/>
    <n v="78097.16"/>
    <n v="2024"/>
    <s v="April"/>
    <s v="Q2"/>
    <s v="UK | JKL | MNO | PQR"/>
    <n v="8.4890872701476563E-2"/>
    <n v="2.9356490595244229"/>
    <x v="0"/>
  </r>
  <r>
    <x v="8"/>
    <s v="North"/>
    <x v="4"/>
    <x v="3"/>
    <x v="1"/>
    <s v="AUD"/>
    <d v="2024-04-29T00:00:00"/>
    <d v="2024-05-28T00:00:00"/>
    <n v="34390.67"/>
    <n v="0.38140000000000002"/>
    <n v="13116.6"/>
    <n v="348756"/>
    <n v="10494"/>
    <n v="159145.24"/>
    <n v="2024"/>
    <s v="April"/>
    <s v="Q2"/>
    <s v="India | XYZ | PQR | TEST"/>
    <n v="3.0089804906582251E-2"/>
    <n v="12.133116813808455"/>
    <x v="0"/>
  </r>
  <r>
    <x v="21"/>
    <s v="South"/>
    <x v="2"/>
    <x v="2"/>
    <x v="2"/>
    <s v="GBP"/>
    <d v="2024-04-30T00:00:00"/>
    <d v="2024-05-27T00:00:00"/>
    <n v="21586.37"/>
    <n v="0.88790000000000002"/>
    <n v="19166.54"/>
    <n v="32525"/>
    <n v="19204"/>
    <n v="51319.86"/>
    <n v="2024"/>
    <s v="April"/>
    <s v="Q2"/>
    <s v="USA | DEF | GHI"/>
    <n v="0.59043812451960032"/>
    <n v="2.6775756083257591"/>
    <x v="0"/>
  </r>
  <r>
    <x v="6"/>
    <s v="South"/>
    <x v="1"/>
    <x v="2"/>
    <x v="2"/>
    <s v="USD"/>
    <d v="2024-05-02T00:00:00"/>
    <d v="2024-05-24T00:00:00"/>
    <n v="28589.8"/>
    <n v="0.51349999999999996"/>
    <n v="14680.86"/>
    <n v="803237"/>
    <n v="27791"/>
    <n v="203693.62"/>
    <n v="2024"/>
    <s v="May"/>
    <s v="Q2"/>
    <s v="Australia | ABC | BCD"/>
    <n v="3.4598754788437283E-2"/>
    <n v="13.87477436607937"/>
    <x v="0"/>
  </r>
  <r>
    <x v="7"/>
    <s v="North"/>
    <x v="3"/>
    <x v="4"/>
    <x v="1"/>
    <s v="INR"/>
    <d v="2024-05-03T00:00:00"/>
    <d v="2024-06-14T00:00:00"/>
    <n v="43571.81"/>
    <n v="5.45E-2"/>
    <n v="2374.66"/>
    <n v="179054"/>
    <n v="10031"/>
    <n v="172181.63"/>
    <n v="2024"/>
    <s v="May"/>
    <s v="Q2"/>
    <s v="India | XYZ | PQR | TEST"/>
    <n v="5.6022205591609232E-2"/>
    <n v="72.507908500585359"/>
    <x v="0"/>
  </r>
  <r>
    <x v="53"/>
    <s v="South"/>
    <x v="4"/>
    <x v="5"/>
    <x v="2"/>
    <s v="INR"/>
    <d v="2024-05-04T00:00:00"/>
    <d v="2024-05-11T00:00:00"/>
    <n v="46151.96"/>
    <n v="0.44009999999999999"/>
    <n v="20311.48"/>
    <n v="750880"/>
    <n v="44430"/>
    <n v="11922.74"/>
    <n v="2024"/>
    <s v="May"/>
    <s v="Q2"/>
    <s v="USA | DEF | GHI"/>
    <n v="5.9170573194118899E-2"/>
    <n v="0.58699513772506973"/>
    <x v="0"/>
  </r>
  <r>
    <x v="40"/>
    <s v="West"/>
    <x v="1"/>
    <x v="0"/>
    <x v="1"/>
    <s v="USD"/>
    <d v="2024-05-05T00:00:00"/>
    <d v="2024-06-07T00:00:00"/>
    <n v="17694.59"/>
    <n v="1.1589"/>
    <n v="20506.259999999998"/>
    <n v="274742"/>
    <n v="31408"/>
    <n v="32951.35"/>
    <n v="2024"/>
    <s v="May"/>
    <s v="Q2"/>
    <s v="India | XYZ | PQR | TEST"/>
    <n v="0.1143181603104003"/>
    <n v="1.6068922368096377"/>
    <x v="0"/>
  </r>
  <r>
    <x v="12"/>
    <s v="North"/>
    <x v="1"/>
    <x v="4"/>
    <x v="1"/>
    <s v="SGD"/>
    <d v="2024-05-05T00:00:00"/>
    <d v="2024-05-23T00:00:00"/>
    <n v="43604.22"/>
    <n v="0.40620000000000001"/>
    <n v="17712.03"/>
    <n v="963149"/>
    <n v="1104"/>
    <n v="56892.9"/>
    <n v="2024"/>
    <s v="May"/>
    <s v="Q2"/>
    <s v="India | XYZ | PQR | TEST"/>
    <n v="1.1462400936926686E-3"/>
    <n v="3.2121049930470988"/>
    <x v="0"/>
  </r>
  <r>
    <x v="11"/>
    <s v="South"/>
    <x v="3"/>
    <x v="0"/>
    <x v="2"/>
    <s v="GBP"/>
    <d v="2024-05-07T00:00:00"/>
    <d v="2024-06-16T00:00:00"/>
    <n v="10707.32"/>
    <n v="0.48039999999999999"/>
    <n v="5143.8"/>
    <n v="609083"/>
    <n v="12951"/>
    <n v="142486.06"/>
    <n v="2024"/>
    <s v="May"/>
    <s v="Q2"/>
    <s v="USA | DEF | GHI"/>
    <n v="2.1263111923990656E-2"/>
    <n v="27.700544344647923"/>
    <x v="0"/>
  </r>
  <r>
    <x v="28"/>
    <s v="West"/>
    <x v="4"/>
    <x v="5"/>
    <x v="1"/>
    <s v="USD"/>
    <d v="2024-05-09T00:00:00"/>
    <d v="2024-06-01T00:00:00"/>
    <n v="45475.62"/>
    <n v="0.64449999999999996"/>
    <n v="29309.040000000001"/>
    <n v="266496"/>
    <n v="25161"/>
    <n v="9217.07"/>
    <n v="2024"/>
    <s v="May"/>
    <s v="Q2"/>
    <s v="UK | JKL | MNO | PQR"/>
    <n v="9.4414175072046108E-2"/>
    <n v="0.31447874103007123"/>
    <x v="0"/>
  </r>
  <r>
    <x v="52"/>
    <s v="East"/>
    <x v="4"/>
    <x v="2"/>
    <x v="2"/>
    <s v="AUD"/>
    <d v="2024-05-11T00:00:00"/>
    <d v="2024-06-30T00:00:00"/>
    <n v="22437.5"/>
    <n v="0.36070000000000002"/>
    <n v="8093.21"/>
    <n v="740897"/>
    <n v="32218"/>
    <n v="51495.08"/>
    <n v="2024"/>
    <s v="May"/>
    <s v="Q2"/>
    <s v="India | XYZ | PQR | TEST"/>
    <n v="4.34851268124989E-2"/>
    <n v="6.362750997441065"/>
    <x v="0"/>
  </r>
  <r>
    <x v="28"/>
    <s v="South"/>
    <x v="3"/>
    <x v="0"/>
    <x v="0"/>
    <s v="USD"/>
    <d v="2024-05-11T00:00:00"/>
    <d v="2024-06-17T00:00:00"/>
    <n v="14665.64"/>
    <n v="0.92390000000000005"/>
    <n v="13549.58"/>
    <n v="123284"/>
    <n v="8107"/>
    <n v="66419.02"/>
    <n v="2024"/>
    <s v="May"/>
    <s v="Q2"/>
    <s v="Australia | ABC | BCD"/>
    <n v="6.5758735926803147E-2"/>
    <n v="4.9019246353023496"/>
    <x v="0"/>
  </r>
  <r>
    <x v="13"/>
    <s v="South"/>
    <x v="1"/>
    <x v="3"/>
    <x v="2"/>
    <s v="INR"/>
    <d v="2024-05-11T00:00:00"/>
    <d v="2024-05-27T00:00:00"/>
    <n v="40169.230000000003"/>
    <n v="1.0358000000000001"/>
    <n v="41607.29"/>
    <n v="369502"/>
    <n v="5631"/>
    <n v="241999.68"/>
    <n v="2024"/>
    <s v="May"/>
    <s v="Q2"/>
    <s v="UK | JKL | MNO | PQR"/>
    <n v="1.5239430368441848E-2"/>
    <n v="5.8162807527238609"/>
    <x v="0"/>
  </r>
  <r>
    <x v="56"/>
    <s v="South"/>
    <x v="0"/>
    <x v="1"/>
    <x v="2"/>
    <s v="SGD"/>
    <d v="2024-05-12T00:00:00"/>
    <d v="2024-06-21T00:00:00"/>
    <n v="49573.36"/>
    <n v="0.51219999999999999"/>
    <n v="25391.47"/>
    <n v="959648"/>
    <n v="2525"/>
    <n v="54487.67"/>
    <n v="2024"/>
    <s v="May"/>
    <s v="Q2"/>
    <s v="India | XYZ | PQR | TEST"/>
    <n v="2.6311730968021606E-3"/>
    <n v="2.145904510451738"/>
    <x v="0"/>
  </r>
  <r>
    <x v="19"/>
    <s v="East"/>
    <x v="3"/>
    <x v="1"/>
    <x v="1"/>
    <s v="GBP"/>
    <d v="2024-05-12T00:00:00"/>
    <d v="2024-06-16T00:00:00"/>
    <n v="38088.67"/>
    <n v="0.72919999999999996"/>
    <n v="27774.26"/>
    <n v="362898"/>
    <n v="24399"/>
    <n v="172055.7"/>
    <n v="2024"/>
    <s v="May"/>
    <s v="Q2"/>
    <s v="UK | JKL | MNO | PQR"/>
    <n v="6.7233768166261601E-2"/>
    <n v="6.1947897081686429"/>
    <x v="0"/>
  </r>
  <r>
    <x v="50"/>
    <s v="North"/>
    <x v="0"/>
    <x v="3"/>
    <x v="2"/>
    <s v="USD"/>
    <d v="2024-05-13T00:00:00"/>
    <d v="2024-06-05T00:00:00"/>
    <n v="4166.21"/>
    <n v="0.36070000000000002"/>
    <n v="1502.75"/>
    <n v="485904"/>
    <n v="2783"/>
    <n v="58244.7"/>
    <n v="2024"/>
    <s v="May"/>
    <s v="Q2"/>
    <s v="UK | JKL | MNO | PQR"/>
    <n v="5.727468800421482E-3"/>
    <n v="38.758742305772749"/>
    <x v="0"/>
  </r>
  <r>
    <x v="54"/>
    <s v="South"/>
    <x v="3"/>
    <x v="1"/>
    <x v="2"/>
    <s v="GBP"/>
    <d v="2024-05-13T00:00:00"/>
    <d v="2024-05-29T00:00:00"/>
    <n v="25628.07"/>
    <n v="0.14119999999999999"/>
    <n v="3618.68"/>
    <n v="604639"/>
    <n v="14031"/>
    <n v="50481.32"/>
    <n v="2024"/>
    <s v="May"/>
    <s v="Q2"/>
    <s v="Australia | ABC | BCD"/>
    <n v="2.3205582173826036E-2"/>
    <n v="13.950202836393382"/>
    <x v="0"/>
  </r>
  <r>
    <x v="21"/>
    <s v="South"/>
    <x v="1"/>
    <x v="3"/>
    <x v="0"/>
    <s v="SGD"/>
    <d v="2024-05-13T00:00:00"/>
    <d v="2024-05-23T00:00:00"/>
    <n v="44375.49"/>
    <n v="0.53120000000000001"/>
    <n v="23572.26"/>
    <n v="208667"/>
    <n v="9271"/>
    <n v="13746.08"/>
    <n v="2024"/>
    <s v="May"/>
    <s v="Q2"/>
    <s v="USA | DEF | GHI"/>
    <n v="4.4429641486195708E-2"/>
    <n v="0.58314646113694657"/>
    <x v="0"/>
  </r>
  <r>
    <x v="56"/>
    <s v="North"/>
    <x v="2"/>
    <x v="4"/>
    <x v="0"/>
    <s v="INR"/>
    <d v="2024-05-14T00:00:00"/>
    <d v="2024-06-01T00:00:00"/>
    <n v="18386.419999999998"/>
    <n v="0.31740000000000002"/>
    <n v="5835.85"/>
    <n v="303243"/>
    <n v="39169"/>
    <n v="176790.02"/>
    <n v="2024"/>
    <s v="May"/>
    <s v="Q2"/>
    <s v="UK | JKL | MNO | PQR"/>
    <n v="0.12916703765626905"/>
    <n v="30.293790964469611"/>
    <x v="0"/>
  </r>
  <r>
    <x v="1"/>
    <s v="South"/>
    <x v="4"/>
    <x v="5"/>
    <x v="1"/>
    <s v="SGD"/>
    <d v="2024-05-14T00:00:00"/>
    <d v="2024-05-26T00:00:00"/>
    <n v="44492.1"/>
    <n v="0.53439999999999999"/>
    <n v="23776.58"/>
    <n v="76412"/>
    <n v="17245"/>
    <n v="165468.51999999999"/>
    <n v="2024"/>
    <s v="May"/>
    <s v="Q2"/>
    <s v="Australia | ABC | BCD"/>
    <n v="0.22568444746898392"/>
    <n v="6.9593070155590073"/>
    <x v="0"/>
  </r>
  <r>
    <x v="51"/>
    <s v="South"/>
    <x v="2"/>
    <x v="5"/>
    <x v="0"/>
    <s v="INR"/>
    <d v="2024-05-15T00:00:00"/>
    <d v="2024-07-14T00:00:00"/>
    <n v="13128.01"/>
    <n v="0.14019999999999999"/>
    <n v="1840.55"/>
    <n v="868706"/>
    <n v="1239"/>
    <n v="143980.35"/>
    <n v="2024"/>
    <s v="May"/>
    <s v="Q2"/>
    <s v="Australia | ABC | BCD"/>
    <n v="1.4262592868012883E-3"/>
    <n v="78.226807204368271"/>
    <x v="0"/>
  </r>
  <r>
    <x v="38"/>
    <s v="South"/>
    <x v="4"/>
    <x v="2"/>
    <x v="1"/>
    <s v="USD"/>
    <d v="2024-05-15T00:00:00"/>
    <d v="2024-06-27T00:00:00"/>
    <n v="22859.07"/>
    <n v="1.153"/>
    <n v="26356.51"/>
    <n v="507635"/>
    <n v="38561"/>
    <n v="140076.76"/>
    <n v="2024"/>
    <s v="May"/>
    <s v="Q2"/>
    <s v="USA | DEF | GHI"/>
    <n v="7.5962059353669467E-2"/>
    <n v="5.3146930302987769"/>
    <x v="0"/>
  </r>
  <r>
    <x v="47"/>
    <s v="North"/>
    <x v="0"/>
    <x v="1"/>
    <x v="0"/>
    <s v="GBP"/>
    <d v="2024-05-15T00:00:00"/>
    <d v="2024-06-24T00:00:00"/>
    <n v="38150.07"/>
    <n v="0.83179999999999998"/>
    <n v="31733.23"/>
    <n v="687278"/>
    <n v="46751"/>
    <n v="125251.23"/>
    <n v="2024"/>
    <s v="May"/>
    <s v="Q2"/>
    <s v="India | XYZ | PQR | TEST"/>
    <n v="6.8023419926143427E-2"/>
    <n v="3.9470053946604238"/>
    <x v="0"/>
  </r>
  <r>
    <x v="46"/>
    <s v="North"/>
    <x v="0"/>
    <x v="2"/>
    <x v="2"/>
    <s v="USD"/>
    <d v="2024-05-15T00:00:00"/>
    <d v="2024-05-21T00:00:00"/>
    <n v="6481.52"/>
    <n v="0.44190000000000002"/>
    <n v="2864.18"/>
    <n v="882064"/>
    <n v="20253"/>
    <n v="63665.82"/>
    <n v="2024"/>
    <s v="May"/>
    <s v="Q2"/>
    <s v="India | XYZ | PQR | TEST"/>
    <n v="2.2960918935587441E-2"/>
    <n v="22.228288724870644"/>
    <x v="0"/>
  </r>
  <r>
    <x v="42"/>
    <s v="South"/>
    <x v="2"/>
    <x v="1"/>
    <x v="0"/>
    <s v="AUD"/>
    <d v="2024-05-16T00:00:00"/>
    <d v="2024-06-15T00:00:00"/>
    <n v="37475.15"/>
    <n v="3.1899999999999998E-2"/>
    <n v="1195.46"/>
    <n v="727552"/>
    <n v="23162"/>
    <n v="92067.64"/>
    <n v="2024"/>
    <s v="May"/>
    <s v="Q2"/>
    <s v="UK | JKL | MNO | PQR"/>
    <n v="3.1835525158339199E-2"/>
    <n v="77.0144044970137"/>
    <x v="0"/>
  </r>
  <r>
    <x v="40"/>
    <s v="South"/>
    <x v="4"/>
    <x v="5"/>
    <x v="1"/>
    <s v="SGD"/>
    <d v="2024-05-17T00:00:00"/>
    <d v="2024-07-06T00:00:00"/>
    <n v="45575.34"/>
    <n v="9.7500000000000003E-2"/>
    <n v="4443.6000000000004"/>
    <n v="94714"/>
    <n v="21209"/>
    <n v="154032.87"/>
    <n v="2024"/>
    <s v="May"/>
    <s v="Q2"/>
    <s v="USA | DEF | GHI"/>
    <n v="0.22392676900986128"/>
    <n v="34.663981906562242"/>
    <x v="0"/>
  </r>
  <r>
    <x v="28"/>
    <s v="North"/>
    <x v="3"/>
    <x v="2"/>
    <x v="2"/>
    <s v="INR"/>
    <d v="2024-05-18T00:00:00"/>
    <d v="2024-06-04T00:00:00"/>
    <n v="5152.45"/>
    <n v="0.622"/>
    <n v="3204.82"/>
    <n v="171177"/>
    <n v="27016"/>
    <n v="35341.449999999997"/>
    <n v="2024"/>
    <s v="May"/>
    <s v="Q2"/>
    <s v="UK | JKL | MNO | PQR"/>
    <n v="0.15782494143488904"/>
    <n v="11.027592813324928"/>
    <x v="0"/>
  </r>
  <r>
    <x v="20"/>
    <s v="West"/>
    <x v="0"/>
    <x v="3"/>
    <x v="0"/>
    <s v="GBP"/>
    <d v="2024-05-19T00:00:00"/>
    <d v="2024-06-25T00:00:00"/>
    <n v="37867.11"/>
    <n v="0.46820000000000001"/>
    <n v="17729.38"/>
    <n v="130671"/>
    <n v="17748"/>
    <n v="19854.830000000002"/>
    <n v="2024"/>
    <s v="May"/>
    <s v="Q2"/>
    <s v="India | XYZ | PQR | TEST"/>
    <n v="0.13582202631035195"/>
    <n v="1.1198829287882599"/>
    <x v="0"/>
  </r>
  <r>
    <x v="0"/>
    <s v="North"/>
    <x v="4"/>
    <x v="5"/>
    <x v="0"/>
    <s v="USD"/>
    <d v="2024-05-20T00:00:00"/>
    <d v="2024-07-03T00:00:00"/>
    <n v="3306.57"/>
    <n v="0.36509999999999998"/>
    <n v="1207.23"/>
    <n v="486663"/>
    <n v="32431"/>
    <n v="212924.72"/>
    <n v="2024"/>
    <s v="May"/>
    <s v="Q2"/>
    <s v="India | XYZ | PQR | TEST"/>
    <n v="6.6639543174640353E-2"/>
    <n v="176.37460964356418"/>
    <x v="0"/>
  </r>
  <r>
    <x v="5"/>
    <s v="West"/>
    <x v="3"/>
    <x v="5"/>
    <x v="2"/>
    <s v="AUD"/>
    <d v="2024-05-20T00:00:00"/>
    <d v="2024-06-01T00:00:00"/>
    <n v="19854.27"/>
    <n v="0.55379999999999996"/>
    <n v="10995.29"/>
    <n v="781934"/>
    <n v="20547"/>
    <n v="173326.41"/>
    <n v="2024"/>
    <s v="May"/>
    <s v="Q2"/>
    <s v="UK | JKL | MNO | PQR"/>
    <n v="2.6277153826282013E-2"/>
    <n v="15.763696091690168"/>
    <x v="0"/>
  </r>
  <r>
    <x v="59"/>
    <s v="North"/>
    <x v="1"/>
    <x v="4"/>
    <x v="2"/>
    <s v="AUD"/>
    <d v="2024-05-21T00:00:00"/>
    <d v="2024-07-03T00:00:00"/>
    <n v="44234.63"/>
    <n v="0.78859999999999997"/>
    <n v="34883.43"/>
    <n v="503446"/>
    <n v="18826"/>
    <n v="136489.23000000001"/>
    <n v="2024"/>
    <s v="May"/>
    <s v="Q2"/>
    <s v="UK | JKL | MNO | PQR"/>
    <n v="3.7394278631670524E-2"/>
    <n v="3.9127238921172607"/>
    <x v="0"/>
  </r>
  <r>
    <x v="15"/>
    <s v="South"/>
    <x v="3"/>
    <x v="2"/>
    <x v="1"/>
    <s v="USD"/>
    <d v="2024-05-21T00:00:00"/>
    <d v="2024-06-13T00:00:00"/>
    <n v="35502.879999999997"/>
    <n v="0.45829999999999999"/>
    <n v="16270.97"/>
    <n v="859566"/>
    <n v="21932"/>
    <n v="42412.05"/>
    <n v="2024"/>
    <s v="May"/>
    <s v="Q2"/>
    <s v="India | XYZ | PQR | TEST"/>
    <n v="2.5515201857681667E-2"/>
    <n v="2.6066085795745431"/>
    <x v="0"/>
  </r>
  <r>
    <x v="51"/>
    <s v="North"/>
    <x v="0"/>
    <x v="4"/>
    <x v="1"/>
    <s v="SGD"/>
    <d v="2024-05-22T00:00:00"/>
    <d v="2024-06-09T00:00:00"/>
    <n v="9380.43"/>
    <n v="0.25230000000000002"/>
    <n v="2366.6799999999998"/>
    <n v="677837"/>
    <n v="18973"/>
    <n v="177934.07"/>
    <n v="2024"/>
    <s v="May"/>
    <s v="Q2"/>
    <s v="UK | JKL | MNO | PQR"/>
    <n v="2.7990505091932131E-2"/>
    <n v="75.182986293034972"/>
    <x v="0"/>
  </r>
  <r>
    <x v="48"/>
    <s v="West"/>
    <x v="3"/>
    <x v="3"/>
    <x v="0"/>
    <s v="INR"/>
    <d v="2024-05-23T00:00:00"/>
    <d v="2024-06-02T00:00:00"/>
    <n v="12665.77"/>
    <n v="0.1555"/>
    <n v="1969.53"/>
    <n v="855872"/>
    <n v="20639"/>
    <n v="85675.05"/>
    <n v="2024"/>
    <s v="May"/>
    <s v="Q2"/>
    <s v="Australia | ABC | BCD"/>
    <n v="2.4114587227996708E-2"/>
    <n v="43.500251328997273"/>
    <x v="0"/>
  </r>
  <r>
    <x v="27"/>
    <s v="East"/>
    <x v="0"/>
    <x v="3"/>
    <x v="1"/>
    <s v="USD"/>
    <d v="2024-05-24T00:00:00"/>
    <d v="2024-07-15T00:00:00"/>
    <n v="22102.1"/>
    <n v="0.16370000000000001"/>
    <n v="3618.11"/>
    <n v="568453"/>
    <n v="46215"/>
    <n v="61377.13"/>
    <n v="2024"/>
    <s v="May"/>
    <s v="Q2"/>
    <s v="UK | JKL | MNO | PQR"/>
    <n v="8.1299597328187201E-2"/>
    <n v="16.963865111895437"/>
    <x v="0"/>
  </r>
  <r>
    <x v="42"/>
    <s v="North"/>
    <x v="0"/>
    <x v="2"/>
    <x v="1"/>
    <s v="GBP"/>
    <d v="2024-05-25T00:00:00"/>
    <d v="2024-07-12T00:00:00"/>
    <n v="2310.6999999999998"/>
    <n v="0.22309999999999999"/>
    <n v="515.52"/>
    <n v="643952"/>
    <n v="44612"/>
    <n v="85104.19"/>
    <n v="2024"/>
    <s v="May"/>
    <s v="Q2"/>
    <s v="UK | JKL | MNO | PQR"/>
    <n v="6.9278455537058664E-2"/>
    <n v="165.08416744258227"/>
    <x v="0"/>
  </r>
  <r>
    <x v="46"/>
    <s v="South"/>
    <x v="2"/>
    <x v="1"/>
    <x v="0"/>
    <s v="USD"/>
    <d v="2024-05-25T00:00:00"/>
    <d v="2024-06-18T00:00:00"/>
    <n v="25371.14"/>
    <n v="0.1172"/>
    <n v="2973.5"/>
    <n v="422344"/>
    <n v="33224"/>
    <n v="117021.51"/>
    <n v="2024"/>
    <s v="May"/>
    <s v="Q2"/>
    <s v="USA | DEF | GHI"/>
    <n v="7.8665732199344612E-2"/>
    <n v="39.354804102909029"/>
    <x v="0"/>
  </r>
  <r>
    <x v="57"/>
    <s v="East"/>
    <x v="4"/>
    <x v="0"/>
    <x v="0"/>
    <s v="INR"/>
    <d v="2024-05-25T00:00:00"/>
    <d v="2024-06-05T00:00:00"/>
    <n v="23285.59"/>
    <n v="0.21199999999999999"/>
    <n v="4936.55"/>
    <n v="319967"/>
    <n v="10682"/>
    <n v="21699.65"/>
    <n v="2024"/>
    <s v="May"/>
    <s v="Q2"/>
    <s v="UK | JKL | MNO | PQR"/>
    <n v="3.3384692796444633E-2"/>
    <n v="4.3957115799495599"/>
    <x v="0"/>
  </r>
  <r>
    <x v="29"/>
    <s v="South"/>
    <x v="2"/>
    <x v="4"/>
    <x v="1"/>
    <s v="INR"/>
    <d v="2024-05-25T00:00:00"/>
    <d v="2024-05-30T00:00:00"/>
    <n v="26987.85"/>
    <n v="6.7799999999999999E-2"/>
    <n v="1829.78"/>
    <n v="990741"/>
    <n v="28464"/>
    <n v="210509.95"/>
    <n v="2024"/>
    <s v="May"/>
    <s v="Q2"/>
    <s v="Australia | ABC | BCD"/>
    <n v="2.8730011173455021E-2"/>
    <n v="115.04659030047328"/>
    <x v="0"/>
  </r>
  <r>
    <x v="19"/>
    <s v="North"/>
    <x v="1"/>
    <x v="0"/>
    <x v="0"/>
    <s v="SGD"/>
    <d v="2024-05-26T00:00:00"/>
    <d v="2024-07-04T00:00:00"/>
    <n v="48282.74"/>
    <n v="0.97599999999999998"/>
    <n v="47123.95"/>
    <n v="27215"/>
    <n v="2527"/>
    <n v="88124.85"/>
    <n v="2024"/>
    <s v="May"/>
    <s v="Q2"/>
    <s v="UK | JKL | MNO | PQR"/>
    <n v="9.2853205952599674E-2"/>
    <n v="1.8700650094060454"/>
    <x v="0"/>
  </r>
  <r>
    <x v="3"/>
    <s v="East"/>
    <x v="4"/>
    <x v="1"/>
    <x v="1"/>
    <s v="GBP"/>
    <d v="2024-05-28T00:00:00"/>
    <d v="2024-07-05T00:00:00"/>
    <n v="49621.66"/>
    <n v="0.73440000000000005"/>
    <n v="36442.15"/>
    <n v="558706"/>
    <n v="22474"/>
    <n v="114632.65"/>
    <n v="2024"/>
    <s v="May"/>
    <s v="Q2"/>
    <s v="Australia | ABC | BCD"/>
    <n v="4.0225091550833536E-2"/>
    <n v="3.1456061181900625"/>
    <x v="0"/>
  </r>
  <r>
    <x v="2"/>
    <s v="West"/>
    <x v="0"/>
    <x v="5"/>
    <x v="0"/>
    <s v="GBP"/>
    <d v="2024-05-30T00:00:00"/>
    <d v="2024-07-17T00:00:00"/>
    <n v="35917.33"/>
    <n v="0.56740000000000002"/>
    <n v="20379.490000000002"/>
    <n v="458443"/>
    <n v="30675"/>
    <n v="108023.89"/>
    <n v="2024"/>
    <s v="May"/>
    <s v="Q2"/>
    <s v="Australia | ABC | BCD"/>
    <n v="6.691126268696436E-2"/>
    <n v="5.3006179251786962"/>
    <x v="0"/>
  </r>
  <r>
    <x v="35"/>
    <s v="West"/>
    <x v="2"/>
    <x v="4"/>
    <x v="0"/>
    <s v="SGD"/>
    <d v="2024-05-31T00:00:00"/>
    <d v="2024-07-26T00:00:00"/>
    <n v="15695.54"/>
    <n v="0.79949999999999999"/>
    <n v="12548.58"/>
    <n v="338574"/>
    <n v="13212"/>
    <n v="106506.99"/>
    <n v="2024"/>
    <s v="May"/>
    <s v="Q2"/>
    <s v="India | XYZ | PQR | TEST"/>
    <n v="3.9022488436796683E-2"/>
    <n v="8.4875730959200162"/>
    <x v="0"/>
  </r>
  <r>
    <x v="30"/>
    <s v="North"/>
    <x v="2"/>
    <x v="2"/>
    <x v="1"/>
    <s v="GBP"/>
    <d v="2024-05-31T00:00:00"/>
    <d v="2024-07-15T00:00:00"/>
    <n v="23585.87"/>
    <n v="0.5454"/>
    <n v="12863.73"/>
    <n v="480888"/>
    <n v="9863"/>
    <n v="217254.66"/>
    <n v="2024"/>
    <s v="May"/>
    <s v="Q2"/>
    <s v="UK | JKL | MNO | PQR"/>
    <n v="2.0509973216216667E-2"/>
    <n v="16.888931903887908"/>
    <x v="0"/>
  </r>
  <r>
    <x v="17"/>
    <s v="West"/>
    <x v="0"/>
    <x v="1"/>
    <x v="1"/>
    <s v="SGD"/>
    <d v="2024-06-01T00:00:00"/>
    <d v="2024-07-15T00:00:00"/>
    <n v="37011.480000000003"/>
    <n v="0.91479999999999995"/>
    <n v="33858.1"/>
    <n v="869416"/>
    <n v="31688"/>
    <n v="9853.7099999999991"/>
    <n v="2024"/>
    <s v="June"/>
    <s v="Q2"/>
    <s v="India | XYZ | PQR | TEST"/>
    <n v="3.6447454383172151E-2"/>
    <n v="0.29102962068160942"/>
    <x v="0"/>
  </r>
  <r>
    <x v="42"/>
    <s v="North"/>
    <x v="2"/>
    <x v="1"/>
    <x v="1"/>
    <s v="SGD"/>
    <d v="2024-06-02T00:00:00"/>
    <d v="2024-06-26T00:00:00"/>
    <n v="18814.419999999998"/>
    <n v="0.65790000000000004"/>
    <n v="12378.01"/>
    <n v="453601"/>
    <n v="43233"/>
    <n v="5020.96"/>
    <n v="2024"/>
    <s v="June"/>
    <s v="Q2"/>
    <s v="UK | JKL | MNO | PQR"/>
    <n v="9.5310636440395849E-2"/>
    <n v="0.40563547775450171"/>
    <x v="0"/>
  </r>
  <r>
    <x v="15"/>
    <s v="East"/>
    <x v="0"/>
    <x v="3"/>
    <x v="0"/>
    <s v="SGD"/>
    <d v="2024-06-03T00:00:00"/>
    <d v="2024-06-29T00:00:00"/>
    <n v="14529.29"/>
    <n v="0.76039999999999996"/>
    <n v="11048.07"/>
    <n v="547756"/>
    <n v="44145"/>
    <n v="195376.16"/>
    <n v="2024"/>
    <s v="June"/>
    <s v="Q2"/>
    <s v="USA | DEF | GHI"/>
    <n v="8.0592453574219181E-2"/>
    <n v="17.684189184174251"/>
    <x v="0"/>
  </r>
  <r>
    <x v="36"/>
    <s v="East"/>
    <x v="3"/>
    <x v="5"/>
    <x v="1"/>
    <s v="USD"/>
    <d v="2024-06-03T00:00:00"/>
    <d v="2024-06-14T00:00:00"/>
    <n v="43655.41"/>
    <n v="0.36509999999999998"/>
    <n v="15938.59"/>
    <n v="679987"/>
    <n v="33370"/>
    <n v="154197.70000000001"/>
    <n v="2024"/>
    <s v="June"/>
    <s v="Q2"/>
    <s v="USA | DEF | GHI"/>
    <n v="4.9074467600115884E-2"/>
    <n v="9.6744881448108018"/>
    <x v="0"/>
  </r>
  <r>
    <x v="19"/>
    <s v="North"/>
    <x v="2"/>
    <x v="5"/>
    <x v="1"/>
    <s v="SGD"/>
    <d v="2024-06-04T00:00:00"/>
    <d v="2024-07-25T00:00:00"/>
    <n v="29815.96"/>
    <n v="1.1343000000000001"/>
    <n v="33820.239999999998"/>
    <n v="111605"/>
    <n v="15321"/>
    <n v="77850.39"/>
    <n v="2024"/>
    <s v="June"/>
    <s v="Q2"/>
    <s v="UK | JKL | MNO | PQR"/>
    <n v="0.13727879575287846"/>
    <n v="2.3018875679179098"/>
    <x v="0"/>
  </r>
  <r>
    <x v="4"/>
    <s v="West"/>
    <x v="3"/>
    <x v="1"/>
    <x v="0"/>
    <s v="GBP"/>
    <d v="2024-06-04T00:00:00"/>
    <d v="2024-06-30T00:00:00"/>
    <n v="3604.7"/>
    <n v="0.33439999999999998"/>
    <n v="1205.4100000000001"/>
    <n v="112564"/>
    <n v="3320"/>
    <n v="163912.32999999999"/>
    <n v="2024"/>
    <s v="June"/>
    <s v="Q2"/>
    <s v="India | XYZ | PQR | TEST"/>
    <n v="2.9494332113286663E-2"/>
    <n v="135.98056263014243"/>
    <x v="0"/>
  </r>
  <r>
    <x v="41"/>
    <s v="West"/>
    <x v="1"/>
    <x v="0"/>
    <x v="0"/>
    <s v="INR"/>
    <d v="2024-06-08T00:00:00"/>
    <d v="2024-06-19T00:00:00"/>
    <n v="40965.589999999997"/>
    <n v="0.39400000000000002"/>
    <n v="16140.44"/>
    <n v="667233"/>
    <n v="12522"/>
    <n v="158044.97"/>
    <n v="2024"/>
    <s v="June"/>
    <s v="Q2"/>
    <s v="Australia | ABC | BCD"/>
    <n v="1.8767057384751654E-2"/>
    <n v="9.7918625514546065"/>
    <x v="0"/>
  </r>
  <r>
    <x v="41"/>
    <s v="West"/>
    <x v="2"/>
    <x v="2"/>
    <x v="1"/>
    <s v="SGD"/>
    <d v="2024-06-09T00:00:00"/>
    <d v="2024-07-05T00:00:00"/>
    <n v="48690.32"/>
    <n v="0.81499999999999995"/>
    <n v="39682.61"/>
    <n v="689068"/>
    <n v="45073"/>
    <n v="179840.69"/>
    <n v="2024"/>
    <s v="June"/>
    <s v="Q2"/>
    <s v="Australia | ABC | BCD"/>
    <n v="6.5411541386336328E-2"/>
    <n v="4.5319773573361228"/>
    <x v="0"/>
  </r>
  <r>
    <x v="2"/>
    <s v="South"/>
    <x v="4"/>
    <x v="4"/>
    <x v="0"/>
    <s v="AUD"/>
    <d v="2024-06-11T00:00:00"/>
    <d v="2024-06-23T00:00:00"/>
    <n v="4472.12"/>
    <n v="0.28999999999999998"/>
    <n v="1296.9100000000001"/>
    <n v="476428"/>
    <n v="38943"/>
    <n v="147041.64000000001"/>
    <n v="2024"/>
    <s v="June"/>
    <s v="Q2"/>
    <s v="India | XYZ | PQR | TEST"/>
    <n v="8.1739528323272345E-2"/>
    <n v="113.37844569014041"/>
    <x v="0"/>
  </r>
  <r>
    <x v="21"/>
    <s v="East"/>
    <x v="3"/>
    <x v="4"/>
    <x v="0"/>
    <s v="INR"/>
    <d v="2024-06-14T00:00:00"/>
    <d v="2024-07-21T00:00:00"/>
    <n v="38287.089999999997"/>
    <n v="0.26740000000000003"/>
    <n v="10237.969999999999"/>
    <n v="392615"/>
    <n v="7622"/>
    <n v="225150.23"/>
    <n v="2024"/>
    <s v="June"/>
    <s v="Q2"/>
    <s v="USA | DEF | GHI"/>
    <n v="1.9413420271767508E-2"/>
    <n v="21.991686828541209"/>
    <x v="0"/>
  </r>
  <r>
    <x v="55"/>
    <s v="South"/>
    <x v="0"/>
    <x v="4"/>
    <x v="1"/>
    <s v="INR"/>
    <d v="2024-06-15T00:00:00"/>
    <d v="2024-08-12T00:00:00"/>
    <n v="29651.360000000001"/>
    <n v="0.85940000000000005"/>
    <n v="25482.38"/>
    <n v="838446"/>
    <n v="42809"/>
    <n v="35401.89"/>
    <n v="2024"/>
    <s v="June"/>
    <s v="Q2"/>
    <s v="Australia | ABC | BCD"/>
    <n v="5.1057551708756435E-2"/>
    <n v="1.3892693696585641"/>
    <x v="0"/>
  </r>
  <r>
    <x v="10"/>
    <s v="East"/>
    <x v="2"/>
    <x v="5"/>
    <x v="0"/>
    <s v="SGD"/>
    <d v="2024-06-15T00:00:00"/>
    <d v="2024-07-08T00:00:00"/>
    <n v="42450.75"/>
    <n v="0.30819999999999997"/>
    <n v="13083.32"/>
    <n v="675905"/>
    <n v="36199"/>
    <n v="72240.5"/>
    <n v="2024"/>
    <s v="June"/>
    <s v="Q2"/>
    <s v="India | XYZ | PQR | TEST"/>
    <n v="5.3556342977193541E-2"/>
    <n v="5.5215725060611529"/>
    <x v="0"/>
  </r>
  <r>
    <x v="1"/>
    <s v="North"/>
    <x v="0"/>
    <x v="3"/>
    <x v="0"/>
    <s v="SGD"/>
    <d v="2024-06-16T00:00:00"/>
    <d v="2024-07-12T00:00:00"/>
    <n v="34208.19"/>
    <n v="1.1919"/>
    <n v="40772.74"/>
    <n v="338487"/>
    <n v="35988"/>
    <n v="7591.61"/>
    <n v="2024"/>
    <s v="June"/>
    <s v="Q2"/>
    <s v="Australia | ABC | BCD"/>
    <n v="0.10632018364073066"/>
    <n v="0.18619327521280149"/>
    <x v="0"/>
  </r>
  <r>
    <x v="26"/>
    <s v="South"/>
    <x v="1"/>
    <x v="2"/>
    <x v="1"/>
    <s v="AUD"/>
    <d v="2024-06-16T00:00:00"/>
    <d v="2024-06-21T00:00:00"/>
    <n v="19376.46"/>
    <n v="0.25440000000000002"/>
    <n v="4929.37"/>
    <n v="853356"/>
    <n v="20802"/>
    <n v="105167.03999999999"/>
    <n v="2024"/>
    <s v="June"/>
    <s v="Q2"/>
    <s v="USA | DEF | GHI"/>
    <n v="2.437669624400602E-2"/>
    <n v="21.334783146730718"/>
    <x v="0"/>
  </r>
  <r>
    <x v="40"/>
    <s v="East"/>
    <x v="0"/>
    <x v="2"/>
    <x v="0"/>
    <s v="USD"/>
    <d v="2024-06-17T00:00:00"/>
    <d v="2024-07-22T00:00:00"/>
    <n v="18066.71"/>
    <n v="0.12620000000000001"/>
    <n v="2280.02"/>
    <n v="767065"/>
    <n v="45763"/>
    <n v="115849.56"/>
    <n v="2024"/>
    <s v="June"/>
    <s v="Q2"/>
    <s v="USA | DEF | GHI"/>
    <n v="5.9659872370659589E-2"/>
    <n v="50.810764817852473"/>
    <x v="0"/>
  </r>
  <r>
    <x v="46"/>
    <s v="East"/>
    <x v="1"/>
    <x v="5"/>
    <x v="0"/>
    <s v="USD"/>
    <d v="2024-06-17T00:00:00"/>
    <d v="2024-07-13T00:00:00"/>
    <n v="38095.269999999997"/>
    <n v="0.20039999999999999"/>
    <n v="7634.29"/>
    <n v="39246"/>
    <n v="35485"/>
    <n v="150163.38"/>
    <n v="2024"/>
    <s v="June"/>
    <s v="Q2"/>
    <s v="USA | DEF | GHI"/>
    <n v="0.90416857768944603"/>
    <n v="19.669593374105517"/>
    <x v="0"/>
  </r>
  <r>
    <x v="45"/>
    <s v="North"/>
    <x v="2"/>
    <x v="3"/>
    <x v="1"/>
    <s v="USD"/>
    <d v="2024-06-17T00:00:00"/>
    <d v="2024-06-28T00:00:00"/>
    <n v="23128.87"/>
    <n v="0.99409999999999998"/>
    <n v="22992.41"/>
    <n v="54476"/>
    <n v="16203"/>
    <n v="132082.15"/>
    <n v="2024"/>
    <s v="June"/>
    <s v="Q2"/>
    <s v="India | XYZ | PQR | TEST"/>
    <n v="0.29743373228577724"/>
    <n v="5.7445978912171451"/>
    <x v="0"/>
  </r>
  <r>
    <x v="4"/>
    <s v="West"/>
    <x v="3"/>
    <x v="0"/>
    <x v="2"/>
    <s v="AUD"/>
    <d v="2024-06-18T00:00:00"/>
    <d v="2024-07-26T00:00:00"/>
    <n v="12785.65"/>
    <n v="0.57869999999999999"/>
    <n v="7399.06"/>
    <n v="523911"/>
    <n v="18485"/>
    <n v="83868.28"/>
    <n v="2024"/>
    <s v="June"/>
    <s v="Q2"/>
    <s v="Australia | ABC | BCD"/>
    <n v="3.5282710231317918E-2"/>
    <n v="11.334991201585066"/>
    <x v="0"/>
  </r>
  <r>
    <x v="58"/>
    <s v="North"/>
    <x v="1"/>
    <x v="1"/>
    <x v="2"/>
    <s v="GBP"/>
    <d v="2024-06-20T00:00:00"/>
    <d v="2024-08-04T00:00:00"/>
    <n v="32336.880000000001"/>
    <n v="0.3785"/>
    <n v="12239.51"/>
    <n v="374032"/>
    <n v="31665"/>
    <n v="137218.69"/>
    <n v="2024"/>
    <s v="June"/>
    <s v="Q2"/>
    <s v="USA | DEF | GHI"/>
    <n v="8.4658531890319549E-2"/>
    <n v="11.21112609900233"/>
    <x v="0"/>
  </r>
  <r>
    <x v="4"/>
    <s v="North"/>
    <x v="1"/>
    <x v="2"/>
    <x v="1"/>
    <s v="SGD"/>
    <d v="2024-06-23T00:00:00"/>
    <d v="2024-07-24T00:00:00"/>
    <n v="26707.66"/>
    <n v="0.83799999999999997"/>
    <n v="22381.02"/>
    <n v="651784"/>
    <n v="3913"/>
    <n v="31779.05"/>
    <n v="2024"/>
    <s v="June"/>
    <s v="Q2"/>
    <s v="USA | DEF | GHI"/>
    <n v="6.0035226394020104E-3"/>
    <n v="1.4199107100570036"/>
    <x v="0"/>
  </r>
  <r>
    <x v="4"/>
    <s v="North"/>
    <x v="3"/>
    <x v="5"/>
    <x v="1"/>
    <s v="GBP"/>
    <d v="2024-06-25T00:00:00"/>
    <d v="2024-07-13T00:00:00"/>
    <n v="36074.769999999997"/>
    <n v="1.1575"/>
    <n v="41756.550000000003"/>
    <n v="190117"/>
    <n v="49515"/>
    <n v="136595.99"/>
    <n v="2024"/>
    <s v="June"/>
    <s v="Q2"/>
    <s v="USA | DEF | GHI"/>
    <n v="0.26044488393988963"/>
    <n v="3.2712470259156943"/>
    <x v="0"/>
  </r>
  <r>
    <x v="42"/>
    <s v="West"/>
    <x v="2"/>
    <x v="3"/>
    <x v="1"/>
    <s v="GBP"/>
    <d v="2024-06-25T00:00:00"/>
    <d v="2024-07-08T00:00:00"/>
    <n v="36665.050000000003"/>
    <n v="0.27500000000000002"/>
    <n v="10082.89"/>
    <n v="13642"/>
    <n v="49656"/>
    <n v="10570.16"/>
    <n v="2024"/>
    <s v="June"/>
    <s v="Q2"/>
    <s v="India | XYZ | PQR | TEST"/>
    <n v="3.6399354933294239"/>
    <n v="1.0483264222856741"/>
    <x v="0"/>
  </r>
  <r>
    <x v="10"/>
    <s v="South"/>
    <x v="1"/>
    <x v="5"/>
    <x v="1"/>
    <s v="GBP"/>
    <d v="2024-06-27T00:00:00"/>
    <d v="2024-08-07T00:00:00"/>
    <n v="1415.26"/>
    <n v="0.78349999999999997"/>
    <n v="1108.8599999999999"/>
    <n v="471477"/>
    <n v="23115"/>
    <n v="181995.85"/>
    <n v="2024"/>
    <s v="June"/>
    <s v="Q2"/>
    <s v="India | XYZ | PQR | TEST"/>
    <n v="4.9026781794233865E-2"/>
    <n v="164.12878992839495"/>
    <x v="0"/>
  </r>
  <r>
    <x v="47"/>
    <s v="South"/>
    <x v="0"/>
    <x v="5"/>
    <x v="2"/>
    <s v="USD"/>
    <d v="2024-06-27T00:00:00"/>
    <d v="2024-07-04T00:00:00"/>
    <n v="15532.91"/>
    <n v="0.90590000000000004"/>
    <n v="14071.26"/>
    <n v="741963"/>
    <n v="40240"/>
    <n v="137896.6"/>
    <n v="2024"/>
    <s v="June"/>
    <s v="Q2"/>
    <s v="USA | DEF | GHI"/>
    <n v="5.4234510346203246E-2"/>
    <n v="9.7998757751615706"/>
    <x v="0"/>
  </r>
  <r>
    <x v="29"/>
    <s v="West"/>
    <x v="0"/>
    <x v="1"/>
    <x v="0"/>
    <s v="SGD"/>
    <d v="2024-06-29T00:00:00"/>
    <d v="2024-08-02T00:00:00"/>
    <n v="20640.009999999998"/>
    <n v="0.502"/>
    <n v="10361.290000000001"/>
    <n v="661034"/>
    <n v="16070"/>
    <n v="139247.51"/>
    <n v="2024"/>
    <s v="June"/>
    <s v="Q2"/>
    <s v="UK | JKL | MNO | PQR"/>
    <n v="2.4310398557411569E-2"/>
    <n v="13.439205928991466"/>
    <x v="0"/>
  </r>
  <r>
    <x v="2"/>
    <s v="West"/>
    <x v="0"/>
    <x v="3"/>
    <x v="2"/>
    <s v="GBP"/>
    <d v="2024-06-29T00:00:00"/>
    <d v="2024-07-31T00:00:00"/>
    <n v="33414.550000000003"/>
    <n v="9.2100000000000001E-2"/>
    <n v="3077.48"/>
    <n v="688998"/>
    <n v="22462"/>
    <n v="8099.78"/>
    <n v="2024"/>
    <s v="June"/>
    <s v="Q2"/>
    <s v="India | XYZ | PQR | TEST"/>
    <n v="3.2600965459986822E-2"/>
    <n v="2.6319521166668833"/>
    <x v="0"/>
  </r>
  <r>
    <x v="0"/>
    <s v="East"/>
    <x v="4"/>
    <x v="0"/>
    <x v="0"/>
    <s v="AUD"/>
    <d v="2024-07-01T00:00:00"/>
    <d v="2024-08-30T00:00:00"/>
    <n v="12582.71"/>
    <n v="0.53649999999999998"/>
    <n v="6750.62"/>
    <n v="18248"/>
    <n v="25854"/>
    <n v="232239.31"/>
    <n v="2024"/>
    <s v="July"/>
    <s v="Q3"/>
    <s v="India | XYZ | PQR | TEST"/>
    <n v="1.4168128014028936"/>
    <n v="34.402663755329144"/>
    <x v="0"/>
  </r>
  <r>
    <x v="37"/>
    <s v="North"/>
    <x v="0"/>
    <x v="4"/>
    <x v="1"/>
    <s v="AUD"/>
    <d v="2024-07-01T00:00:00"/>
    <d v="2024-08-07T00:00:00"/>
    <n v="46251.29"/>
    <n v="1.0448999999999999"/>
    <n v="48327.97"/>
    <n v="448620"/>
    <n v="35728"/>
    <n v="14007.47"/>
    <n v="2024"/>
    <s v="July"/>
    <s v="Q3"/>
    <s v="India | XYZ | PQR | TEST"/>
    <n v="7.9639784227185595E-2"/>
    <n v="0.28984188659279503"/>
    <x v="0"/>
  </r>
  <r>
    <x v="23"/>
    <s v="North"/>
    <x v="4"/>
    <x v="5"/>
    <x v="0"/>
    <s v="AUD"/>
    <d v="2024-07-01T00:00:00"/>
    <d v="2024-07-06T00:00:00"/>
    <n v="32429.71"/>
    <n v="0.74580000000000002"/>
    <n v="24186.080000000002"/>
    <n v="802682"/>
    <n v="48986"/>
    <n v="148473.96"/>
    <n v="2024"/>
    <s v="July"/>
    <s v="Q3"/>
    <s v="USA | DEF | GHI"/>
    <n v="6.1027903952000917E-2"/>
    <n v="6.1388186924048869"/>
    <x v="0"/>
  </r>
  <r>
    <x v="7"/>
    <s v="West"/>
    <x v="0"/>
    <x v="5"/>
    <x v="1"/>
    <s v="SGD"/>
    <d v="2024-07-02T00:00:00"/>
    <d v="2024-08-19T00:00:00"/>
    <n v="43477.81"/>
    <n v="0.57499999999999996"/>
    <n v="24999.74"/>
    <n v="934481"/>
    <n v="15543"/>
    <n v="121684.26"/>
    <n v="2024"/>
    <s v="July"/>
    <s v="Q3"/>
    <s v="India | XYZ | PQR | TEST"/>
    <n v="1.6632761928813963E-2"/>
    <n v="4.86742102117862"/>
    <x v="0"/>
  </r>
  <r>
    <x v="53"/>
    <s v="West"/>
    <x v="4"/>
    <x v="1"/>
    <x v="0"/>
    <s v="SGD"/>
    <d v="2024-07-05T00:00:00"/>
    <d v="2024-08-25T00:00:00"/>
    <n v="6940.88"/>
    <n v="1.0553999999999999"/>
    <n v="7325.4"/>
    <n v="846979"/>
    <n v="3470"/>
    <n v="153739.99"/>
    <n v="2024"/>
    <s v="July"/>
    <s v="Q3"/>
    <s v="USA | DEF | GHI"/>
    <n v="4.0969138550070311E-3"/>
    <n v="20.987248477898817"/>
    <x v="0"/>
  </r>
  <r>
    <x v="17"/>
    <s v="North"/>
    <x v="0"/>
    <x v="3"/>
    <x v="2"/>
    <s v="INR"/>
    <d v="2024-07-07T00:00:00"/>
    <d v="2024-08-09T00:00:00"/>
    <n v="3485.58"/>
    <n v="4.4499999999999998E-2"/>
    <n v="155.11000000000001"/>
    <n v="957170"/>
    <n v="44369"/>
    <n v="17361.72"/>
    <n v="2024"/>
    <s v="July"/>
    <s v="Q3"/>
    <s v="UK | JKL | MNO | PQR"/>
    <n v="4.6354357115245985E-2"/>
    <n v="111.93166140158597"/>
    <x v="0"/>
  </r>
  <r>
    <x v="53"/>
    <s v="West"/>
    <x v="4"/>
    <x v="0"/>
    <x v="0"/>
    <s v="SGD"/>
    <d v="2024-07-08T00:00:00"/>
    <d v="2024-08-04T00:00:00"/>
    <n v="32161.15"/>
    <n v="0.83520000000000005"/>
    <n v="26860.99"/>
    <n v="20060"/>
    <n v="22055"/>
    <n v="5358.2"/>
    <n v="2024"/>
    <s v="July"/>
    <s v="Q3"/>
    <s v="India | XYZ | PQR | TEST"/>
    <n v="1.0994516450648055"/>
    <n v="0.19947887252107982"/>
    <x v="0"/>
  </r>
  <r>
    <x v="2"/>
    <s v="South"/>
    <x v="0"/>
    <x v="5"/>
    <x v="2"/>
    <s v="INR"/>
    <d v="2024-07-08T00:00:00"/>
    <d v="2024-07-23T00:00:00"/>
    <n v="14982.23"/>
    <n v="0.22739999999999999"/>
    <n v="3406.96"/>
    <n v="815625"/>
    <n v="5973"/>
    <n v="42785.71"/>
    <n v="2024"/>
    <s v="July"/>
    <s v="Q3"/>
    <s v="Australia | ABC | BCD"/>
    <n v="7.3232183908045973E-3"/>
    <n v="12.558324723507173"/>
    <x v="0"/>
  </r>
  <r>
    <x v="48"/>
    <s v="North"/>
    <x v="2"/>
    <x v="3"/>
    <x v="2"/>
    <s v="USD"/>
    <d v="2024-07-09T00:00:00"/>
    <d v="2024-08-12T00:00:00"/>
    <n v="21372.94"/>
    <n v="0.25609999999999999"/>
    <n v="5473.61"/>
    <n v="450552"/>
    <n v="25624"/>
    <n v="226685.43"/>
    <n v="2024"/>
    <s v="July"/>
    <s v="Q3"/>
    <s v="USA | DEF | GHI"/>
    <n v="5.6872458672916779E-2"/>
    <n v="41.414245808524903"/>
    <x v="0"/>
  </r>
  <r>
    <x v="33"/>
    <s v="East"/>
    <x v="3"/>
    <x v="3"/>
    <x v="1"/>
    <s v="SGD"/>
    <d v="2024-07-10T00:00:00"/>
    <d v="2024-08-18T00:00:00"/>
    <n v="24133.09"/>
    <n v="0.9325"/>
    <n v="22504.11"/>
    <n v="393588"/>
    <n v="25822"/>
    <n v="59710.13"/>
    <n v="2024"/>
    <s v="July"/>
    <s v="Q3"/>
    <s v="Australia | ABC | BCD"/>
    <n v="6.5606675000254078E-2"/>
    <n v="2.6532988862923261"/>
    <x v="0"/>
  </r>
  <r>
    <x v="2"/>
    <s v="West"/>
    <x v="4"/>
    <x v="4"/>
    <x v="1"/>
    <s v="GBP"/>
    <d v="2024-07-10T00:00:00"/>
    <d v="2024-08-14T00:00:00"/>
    <n v="15475.44"/>
    <n v="0.27050000000000002"/>
    <n v="4186.1099999999997"/>
    <n v="933685"/>
    <n v="49577"/>
    <n v="192164.47"/>
    <n v="2024"/>
    <s v="July"/>
    <s v="Q3"/>
    <s v="Australia | ABC | BCD"/>
    <n v="5.3098207639621503E-2"/>
    <n v="45.905260492438089"/>
    <x v="0"/>
  </r>
  <r>
    <x v="32"/>
    <s v="North"/>
    <x v="0"/>
    <x v="3"/>
    <x v="1"/>
    <s v="USD"/>
    <d v="2024-07-12T00:00:00"/>
    <d v="2024-08-17T00:00:00"/>
    <n v="16337.79"/>
    <n v="0.78590000000000004"/>
    <n v="12839.87"/>
    <n v="347471"/>
    <n v="30336"/>
    <n v="178672.7"/>
    <n v="2024"/>
    <s v="July"/>
    <s v="Q3"/>
    <s v="UK | JKL | MNO | PQR"/>
    <n v="8.7305127622161277E-2"/>
    <n v="13.91546020325751"/>
    <x v="0"/>
  </r>
  <r>
    <x v="42"/>
    <s v="East"/>
    <x v="0"/>
    <x v="1"/>
    <x v="0"/>
    <s v="INR"/>
    <d v="2024-07-12T00:00:00"/>
    <d v="2024-07-19T00:00:00"/>
    <n v="41895.160000000003"/>
    <n v="0.70320000000000005"/>
    <n v="29460.68"/>
    <n v="165287"/>
    <n v="28266"/>
    <n v="36224.15"/>
    <n v="2024"/>
    <s v="July"/>
    <s v="Q3"/>
    <s v="Australia | ABC | BCD"/>
    <n v="0.17101163430880831"/>
    <n v="1.2295761672846655"/>
    <x v="0"/>
  </r>
  <r>
    <x v="40"/>
    <s v="North"/>
    <x v="4"/>
    <x v="0"/>
    <x v="2"/>
    <s v="SGD"/>
    <d v="2024-07-14T00:00:00"/>
    <d v="2024-09-09T00:00:00"/>
    <n v="36959.760000000002"/>
    <n v="1.1097999999999999"/>
    <n v="41017.94"/>
    <n v="705558"/>
    <n v="4184"/>
    <n v="62726.21"/>
    <n v="2024"/>
    <s v="July"/>
    <s v="Q3"/>
    <s v="Australia | ABC | BCD"/>
    <n v="5.9300581950739702E-3"/>
    <n v="1.5292384259180249"/>
    <x v="0"/>
  </r>
  <r>
    <x v="55"/>
    <s v="North"/>
    <x v="0"/>
    <x v="0"/>
    <x v="1"/>
    <s v="GBP"/>
    <d v="2024-07-14T00:00:00"/>
    <d v="2024-08-24T00:00:00"/>
    <n v="7399.12"/>
    <n v="1.0244"/>
    <n v="7579.66"/>
    <n v="836596"/>
    <n v="22627"/>
    <n v="224067.89"/>
    <n v="2024"/>
    <s v="July"/>
    <s v="Q3"/>
    <s v="Australia | ABC | BCD"/>
    <n v="2.7046507513782042E-2"/>
    <n v="29.561733639767485"/>
    <x v="0"/>
  </r>
  <r>
    <x v="43"/>
    <s v="South"/>
    <x v="2"/>
    <x v="3"/>
    <x v="0"/>
    <s v="USD"/>
    <d v="2024-07-14T00:00:00"/>
    <d v="2024-07-24T00:00:00"/>
    <n v="17559.580000000002"/>
    <n v="1.1825000000000001"/>
    <n v="20764.2"/>
    <n v="946615"/>
    <n v="31736"/>
    <n v="177603.64"/>
    <n v="2024"/>
    <s v="July"/>
    <s v="Q3"/>
    <s v="Australia | ABC | BCD"/>
    <n v="3.3525773413689834E-2"/>
    <n v="8.553358183797112"/>
    <x v="0"/>
  </r>
  <r>
    <x v="28"/>
    <s v="West"/>
    <x v="3"/>
    <x v="3"/>
    <x v="1"/>
    <s v="AUD"/>
    <d v="2024-07-15T00:00:00"/>
    <d v="2024-08-05T00:00:00"/>
    <n v="12619.82"/>
    <n v="0.57089999999999996"/>
    <n v="7204.66"/>
    <n v="652865"/>
    <n v="22585"/>
    <n v="94651.42"/>
    <n v="2024"/>
    <s v="July"/>
    <s v="Q3"/>
    <s v="USA | DEF | GHI"/>
    <n v="3.459367556845596E-2"/>
    <n v="13.13752765571172"/>
    <x v="0"/>
  </r>
  <r>
    <x v="16"/>
    <s v="West"/>
    <x v="1"/>
    <x v="4"/>
    <x v="1"/>
    <s v="AUD"/>
    <d v="2024-07-17T00:00:00"/>
    <d v="2024-09-01T00:00:00"/>
    <n v="47229.760000000002"/>
    <n v="0.41170000000000001"/>
    <n v="19444.490000000002"/>
    <n v="810441"/>
    <n v="32122"/>
    <n v="241794.53"/>
    <n v="2024"/>
    <s v="July"/>
    <s v="Q3"/>
    <s v="India | XYZ | PQR | TEST"/>
    <n v="3.9635210953049019E-2"/>
    <n v="12.435118123437539"/>
    <x v="0"/>
  </r>
  <r>
    <x v="12"/>
    <s v="East"/>
    <x v="4"/>
    <x v="1"/>
    <x v="1"/>
    <s v="USD"/>
    <d v="2024-07-17T00:00:00"/>
    <d v="2024-08-01T00:00:00"/>
    <n v="20938.47"/>
    <n v="1.1227"/>
    <n v="23507.62"/>
    <n v="931068"/>
    <n v="31275"/>
    <n v="121974.89"/>
    <n v="2024"/>
    <s v="July"/>
    <s v="Q3"/>
    <s v="Australia | ABC | BCD"/>
    <n v="3.3590457410199899E-2"/>
    <n v="5.1887383750460492"/>
    <x v="0"/>
  </r>
  <r>
    <x v="32"/>
    <s v="South"/>
    <x v="4"/>
    <x v="3"/>
    <x v="2"/>
    <s v="AUD"/>
    <d v="2024-07-18T00:00:00"/>
    <d v="2024-08-22T00:00:00"/>
    <n v="47383.43"/>
    <n v="0.33189999999999997"/>
    <n v="15726.56"/>
    <n v="53768"/>
    <n v="6919"/>
    <n v="13722.02"/>
    <n v="2024"/>
    <s v="July"/>
    <s v="Q3"/>
    <s v="India | XYZ | PQR | TEST"/>
    <n v="0.12868248772504093"/>
    <n v="0.87253792310587952"/>
    <x v="0"/>
  </r>
  <r>
    <x v="20"/>
    <s v="East"/>
    <x v="4"/>
    <x v="1"/>
    <x v="1"/>
    <s v="USD"/>
    <d v="2024-07-18T00:00:00"/>
    <d v="2024-07-27T00:00:00"/>
    <n v="45947.8"/>
    <n v="0.621"/>
    <n v="28533.58"/>
    <n v="545456"/>
    <n v="27947"/>
    <n v="106189.75"/>
    <n v="2024"/>
    <s v="July"/>
    <s v="Q3"/>
    <s v="Australia | ABC | BCD"/>
    <n v="5.1236030037253237E-2"/>
    <n v="3.7215712153890257"/>
    <x v="0"/>
  </r>
  <r>
    <x v="46"/>
    <s v="West"/>
    <x v="3"/>
    <x v="3"/>
    <x v="0"/>
    <s v="AUD"/>
    <d v="2024-07-19T00:00:00"/>
    <d v="2024-09-10T00:00:00"/>
    <n v="27628.07"/>
    <n v="0.55189999999999995"/>
    <n v="15247.93"/>
    <n v="347408"/>
    <n v="12463"/>
    <n v="245289.78"/>
    <n v="2024"/>
    <s v="July"/>
    <s v="Q3"/>
    <s v="UK | JKL | MNO | PQR"/>
    <n v="3.5874245843503891E-2"/>
    <n v="16.086759317494241"/>
    <x v="0"/>
  </r>
  <r>
    <x v="43"/>
    <s v="East"/>
    <x v="2"/>
    <x v="0"/>
    <x v="1"/>
    <s v="USD"/>
    <d v="2024-07-19T00:00:00"/>
    <d v="2024-08-23T00:00:00"/>
    <n v="3749.63"/>
    <n v="2.12E-2"/>
    <n v="79.489999999999995"/>
    <n v="189708"/>
    <n v="5518"/>
    <n v="127465.31"/>
    <n v="2024"/>
    <s v="July"/>
    <s v="Q3"/>
    <s v="India | XYZ | PQR | TEST"/>
    <n v="2.9086807093006095E-2"/>
    <n v="1603.5389357151844"/>
    <x v="0"/>
  </r>
  <r>
    <x v="27"/>
    <s v="West"/>
    <x v="0"/>
    <x v="1"/>
    <x v="0"/>
    <s v="GBP"/>
    <d v="2024-07-20T00:00:00"/>
    <d v="2024-09-09T00:00:00"/>
    <n v="9609.27"/>
    <n v="0.4627"/>
    <n v="4446.21"/>
    <n v="330704"/>
    <n v="29827"/>
    <n v="74390.31"/>
    <n v="2024"/>
    <s v="July"/>
    <s v="Q3"/>
    <s v="India | XYZ | PQR | TEST"/>
    <n v="9.0192437950553969E-2"/>
    <n v="16.731173291409988"/>
    <x v="0"/>
  </r>
  <r>
    <x v="59"/>
    <s v="East"/>
    <x v="3"/>
    <x v="5"/>
    <x v="1"/>
    <s v="SGD"/>
    <d v="2024-07-20T00:00:00"/>
    <d v="2024-09-01T00:00:00"/>
    <n v="30400.39"/>
    <n v="0.73299999999999998"/>
    <n v="22283.49"/>
    <n v="826808"/>
    <n v="45351"/>
    <n v="11571.98"/>
    <n v="2024"/>
    <s v="July"/>
    <s v="Q3"/>
    <s v="India | XYZ | PQR | TEST"/>
    <n v="5.4850702944335326E-2"/>
    <n v="0.51930734368808473"/>
    <x v="0"/>
  </r>
  <r>
    <x v="4"/>
    <s v="South"/>
    <x v="1"/>
    <x v="3"/>
    <x v="1"/>
    <s v="SGD"/>
    <d v="2024-07-21T00:00:00"/>
    <d v="2024-08-26T00:00:00"/>
    <n v="40609"/>
    <n v="2.2700000000000001E-2"/>
    <n v="921.82"/>
    <n v="454579"/>
    <n v="44470"/>
    <n v="129627.18"/>
    <n v="2024"/>
    <s v="July"/>
    <s v="Q3"/>
    <s v="Australia | ABC | BCD"/>
    <n v="9.7826780383607689E-2"/>
    <n v="140.62092382460781"/>
    <x v="0"/>
  </r>
  <r>
    <x v="11"/>
    <s v="South"/>
    <x v="1"/>
    <x v="2"/>
    <x v="0"/>
    <s v="INR"/>
    <d v="2024-07-21T00:00:00"/>
    <d v="2024-08-06T00:00:00"/>
    <n v="24351.22"/>
    <n v="0.43070000000000003"/>
    <n v="10488.07"/>
    <n v="947758"/>
    <n v="37698"/>
    <n v="70923.570000000007"/>
    <n v="2024"/>
    <s v="July"/>
    <s v="Q3"/>
    <s v="India | XYZ | PQR | TEST"/>
    <n v="3.9775976567858043E-2"/>
    <n v="6.7623089853519289"/>
    <x v="0"/>
  </r>
  <r>
    <x v="34"/>
    <s v="North"/>
    <x v="2"/>
    <x v="1"/>
    <x v="0"/>
    <s v="USD"/>
    <d v="2024-07-22T00:00:00"/>
    <d v="2024-08-24T00:00:00"/>
    <n v="40225.14"/>
    <n v="0.15640000000000001"/>
    <n v="6291.21"/>
    <n v="145073"/>
    <n v="37788"/>
    <n v="55526.33"/>
    <n v="2024"/>
    <s v="July"/>
    <s v="Q3"/>
    <s v="Australia | ABC | BCD"/>
    <n v="0.26047576047920701"/>
    <n v="8.826017570546842"/>
    <x v="0"/>
  </r>
  <r>
    <x v="24"/>
    <s v="East"/>
    <x v="0"/>
    <x v="3"/>
    <x v="0"/>
    <s v="INR"/>
    <d v="2024-07-22T00:00:00"/>
    <d v="2024-08-06T00:00:00"/>
    <n v="24992.46"/>
    <n v="0.17699999999999999"/>
    <n v="4423.67"/>
    <n v="339861"/>
    <n v="29656"/>
    <n v="156755.44"/>
    <n v="2024"/>
    <s v="July"/>
    <s v="Q3"/>
    <s v="UK | JKL | MNO | PQR"/>
    <n v="8.7259203027119911E-2"/>
    <n v="35.435608894876879"/>
    <x v="0"/>
  </r>
  <r>
    <x v="59"/>
    <s v="South"/>
    <x v="4"/>
    <x v="3"/>
    <x v="0"/>
    <s v="SGD"/>
    <d v="2024-07-25T00:00:00"/>
    <d v="2024-08-29T00:00:00"/>
    <n v="47923.17"/>
    <n v="1.1059000000000001"/>
    <n v="52998.23"/>
    <n v="72471"/>
    <n v="22994"/>
    <n v="93410.34"/>
    <n v="2024"/>
    <s v="July"/>
    <s v="Q3"/>
    <s v="UK | JKL | MNO | PQR"/>
    <n v="0.31728553490361661"/>
    <n v="1.7625181067367719"/>
    <x v="0"/>
  </r>
  <r>
    <x v="33"/>
    <s v="East"/>
    <x v="1"/>
    <x v="4"/>
    <x v="1"/>
    <s v="SGD"/>
    <d v="2024-07-25T00:00:00"/>
    <d v="2024-08-26T00:00:00"/>
    <n v="32952.51"/>
    <n v="0.2218"/>
    <n v="7308.87"/>
    <n v="918211"/>
    <n v="24065"/>
    <n v="214566.22"/>
    <n v="2024"/>
    <s v="July"/>
    <s v="Q3"/>
    <s v="India | XYZ | PQR | TEST"/>
    <n v="2.620857297505693E-2"/>
    <n v="29.356962156940813"/>
    <x v="0"/>
  </r>
  <r>
    <x v="10"/>
    <s v="West"/>
    <x v="1"/>
    <x v="1"/>
    <x v="0"/>
    <s v="GBP"/>
    <d v="2024-07-25T00:00:00"/>
    <d v="2024-08-03T00:00:00"/>
    <n v="29173.15"/>
    <n v="0.28089999999999998"/>
    <n v="8194.74"/>
    <n v="281212"/>
    <n v="26814"/>
    <n v="100067.99"/>
    <n v="2024"/>
    <s v="July"/>
    <s v="Q3"/>
    <s v="Australia | ABC | BCD"/>
    <n v="9.5351549720495574E-2"/>
    <n v="12.211246482499751"/>
    <x v="0"/>
  </r>
  <r>
    <x v="45"/>
    <s v="South"/>
    <x v="0"/>
    <x v="2"/>
    <x v="0"/>
    <s v="GBP"/>
    <d v="2024-07-26T00:00:00"/>
    <d v="2024-09-04T00:00:00"/>
    <n v="24704.25"/>
    <n v="1.1862999999999999"/>
    <n v="29306.65"/>
    <n v="615711"/>
    <n v="22667"/>
    <n v="194677.65"/>
    <n v="2024"/>
    <s v="July"/>
    <s v="Q3"/>
    <s v="India | XYZ | PQR | TEST"/>
    <n v="3.6814349589336555E-2"/>
    <n v="6.6427807340654761"/>
    <x v="0"/>
  </r>
  <r>
    <x v="18"/>
    <s v="East"/>
    <x v="1"/>
    <x v="3"/>
    <x v="1"/>
    <s v="GBP"/>
    <d v="2024-07-26T00:00:00"/>
    <d v="2024-08-04T00:00:00"/>
    <n v="25655.29"/>
    <n v="0.41460000000000002"/>
    <n v="10636.68"/>
    <n v="132692"/>
    <n v="33738"/>
    <n v="239393.79"/>
    <n v="2024"/>
    <s v="July"/>
    <s v="Q3"/>
    <s v="India | XYZ | PQR | TEST"/>
    <n v="0.25425798088807161"/>
    <n v="22.506439039249088"/>
    <x v="0"/>
  </r>
  <r>
    <x v="19"/>
    <s v="East"/>
    <x v="4"/>
    <x v="1"/>
    <x v="2"/>
    <s v="AUD"/>
    <d v="2024-07-28T00:00:00"/>
    <d v="2024-09-12T00:00:00"/>
    <n v="30094.85"/>
    <n v="0.34639999999999999"/>
    <n v="10424.86"/>
    <n v="727659"/>
    <n v="7184"/>
    <n v="123025.91"/>
    <n v="2024"/>
    <s v="July"/>
    <s v="Q3"/>
    <s v="India | XYZ | PQR | TEST"/>
    <n v="9.8727563322930107E-3"/>
    <n v="11.801205004191903"/>
    <x v="0"/>
  </r>
  <r>
    <x v="55"/>
    <s v="North"/>
    <x v="2"/>
    <x v="5"/>
    <x v="0"/>
    <s v="GBP"/>
    <d v="2024-07-28T00:00:00"/>
    <d v="2024-09-12T00:00:00"/>
    <n v="7065.3"/>
    <n v="0.67559999999999998"/>
    <n v="4773.32"/>
    <n v="211774"/>
    <n v="40647"/>
    <n v="137749.41"/>
    <n v="2024"/>
    <s v="July"/>
    <s v="Q3"/>
    <s v="Australia | ABC | BCD"/>
    <n v="0.19193574282017623"/>
    <n v="28.858197229601203"/>
    <x v="0"/>
  </r>
  <r>
    <x v="20"/>
    <s v="East"/>
    <x v="2"/>
    <x v="1"/>
    <x v="1"/>
    <s v="AUD"/>
    <d v="2024-07-28T00:00:00"/>
    <d v="2024-08-22T00:00:00"/>
    <n v="49908.02"/>
    <n v="0.57930000000000004"/>
    <n v="28911.72"/>
    <n v="405129"/>
    <n v="20662"/>
    <n v="239387.95"/>
    <n v="2024"/>
    <s v="July"/>
    <s v="Q3"/>
    <s v="UK | JKL | MNO | PQR"/>
    <n v="5.1001039175176302E-2"/>
    <n v="8.2799622436852598"/>
    <x v="0"/>
  </r>
  <r>
    <x v="45"/>
    <s v="West"/>
    <x v="2"/>
    <x v="2"/>
    <x v="1"/>
    <s v="INR"/>
    <d v="2024-07-28T00:00:00"/>
    <d v="2024-08-12T00:00:00"/>
    <n v="11176.41"/>
    <n v="1.1311"/>
    <n v="12641.64"/>
    <n v="632234"/>
    <n v="16481"/>
    <n v="25552.75"/>
    <n v="2024"/>
    <s v="July"/>
    <s v="Q3"/>
    <s v="Australia | ABC | BCD"/>
    <n v="2.6067879930532049E-2"/>
    <n v="2.0213160634221512"/>
    <x v="0"/>
  </r>
  <r>
    <x v="25"/>
    <s v="West"/>
    <x v="3"/>
    <x v="0"/>
    <x v="1"/>
    <s v="USD"/>
    <d v="2024-07-29T00:00:00"/>
    <d v="2024-09-04T00:00:00"/>
    <n v="33000.42"/>
    <n v="0.49690000000000001"/>
    <n v="16397.91"/>
    <n v="525611"/>
    <n v="27338"/>
    <n v="178984.88"/>
    <n v="2024"/>
    <s v="July"/>
    <s v="Q3"/>
    <s v="India | XYZ | PQR | TEST"/>
    <n v="5.2011849067085732E-2"/>
    <n v="10.915103205225545"/>
    <x v="0"/>
  </r>
  <r>
    <x v="38"/>
    <s v="East"/>
    <x v="1"/>
    <x v="5"/>
    <x v="0"/>
    <s v="AUD"/>
    <d v="2024-07-31T00:00:00"/>
    <d v="2024-09-24T00:00:00"/>
    <n v="24706.54"/>
    <n v="6.7199999999999996E-2"/>
    <n v="1660.28"/>
    <n v="107738"/>
    <n v="20324"/>
    <n v="7077.29"/>
    <n v="2024"/>
    <s v="July"/>
    <s v="Q3"/>
    <s v="UK | JKL | MNO | PQR"/>
    <n v="0.18864281868978447"/>
    <n v="4.2627086997373933"/>
    <x v="0"/>
  </r>
  <r>
    <x v="19"/>
    <s v="East"/>
    <x v="0"/>
    <x v="4"/>
    <x v="2"/>
    <s v="USD"/>
    <d v="2024-08-01T00:00:00"/>
    <d v="2024-09-21T00:00:00"/>
    <n v="34231.68"/>
    <n v="0.67069999999999996"/>
    <n v="22959.19"/>
    <n v="29627"/>
    <n v="13748"/>
    <n v="146462.42000000001"/>
    <n v="2024"/>
    <s v="August"/>
    <s v="Q3"/>
    <s v="USA | DEF | GHI"/>
    <n v="0.46403618321126"/>
    <n v="6.3792503132732481"/>
    <x v="0"/>
  </r>
  <r>
    <x v="11"/>
    <s v="South"/>
    <x v="0"/>
    <x v="5"/>
    <x v="1"/>
    <s v="AUD"/>
    <d v="2024-08-03T00:00:00"/>
    <d v="2024-09-30T00:00:00"/>
    <n v="42622.68"/>
    <n v="0.81569999999999998"/>
    <n v="34767.32"/>
    <n v="576820"/>
    <n v="21840"/>
    <n v="99042.32"/>
    <n v="2024"/>
    <s v="August"/>
    <s v="Q3"/>
    <s v="Australia | ABC | BCD"/>
    <n v="3.7862764813980099E-2"/>
    <n v="2.8487188543724398"/>
    <x v="0"/>
  </r>
  <r>
    <x v="39"/>
    <s v="West"/>
    <x v="0"/>
    <x v="5"/>
    <x v="2"/>
    <s v="INR"/>
    <d v="2024-08-04T00:00:00"/>
    <d v="2024-09-18T00:00:00"/>
    <n v="40158.14"/>
    <n v="1.0973999999999999"/>
    <n v="44069.54"/>
    <n v="611755"/>
    <n v="25717"/>
    <n v="245142.17"/>
    <n v="2024"/>
    <s v="August"/>
    <s v="Q3"/>
    <s v="UK | JKL | MNO | PQR"/>
    <n v="4.2038070796315517E-2"/>
    <n v="5.5626214841362085"/>
    <x v="0"/>
  </r>
  <r>
    <x v="50"/>
    <s v="North"/>
    <x v="2"/>
    <x v="2"/>
    <x v="2"/>
    <s v="USD"/>
    <d v="2024-08-05T00:00:00"/>
    <d v="2024-08-23T00:00:00"/>
    <n v="36979.03"/>
    <n v="0.87109999999999999"/>
    <n v="32212.43"/>
    <n v="841420"/>
    <n v="31723"/>
    <n v="47361.11"/>
    <n v="2024"/>
    <s v="August"/>
    <s v="Q3"/>
    <s v="UK | JKL | MNO | PQR"/>
    <n v="3.770174229279076E-2"/>
    <n v="1.4702743630331521"/>
    <x v="0"/>
  </r>
  <r>
    <x v="38"/>
    <s v="West"/>
    <x v="1"/>
    <x v="2"/>
    <x v="1"/>
    <s v="GBP"/>
    <d v="2024-08-06T00:00:00"/>
    <d v="2024-09-05T00:00:00"/>
    <n v="42837.63"/>
    <n v="0.27539999999999998"/>
    <n v="11797.48"/>
    <n v="926622"/>
    <n v="30395"/>
    <n v="168941.89"/>
    <n v="2024"/>
    <s v="August"/>
    <s v="Q3"/>
    <s v="Australia | ABC | BCD"/>
    <n v="3.2801940812974439E-2"/>
    <n v="14.320167527302443"/>
    <x v="0"/>
  </r>
  <r>
    <x v="39"/>
    <s v="West"/>
    <x v="0"/>
    <x v="5"/>
    <x v="2"/>
    <s v="USD"/>
    <d v="2024-08-09T00:00:00"/>
    <d v="2024-09-17T00:00:00"/>
    <n v="8342.77"/>
    <n v="0.40050000000000002"/>
    <n v="3341.28"/>
    <n v="555617"/>
    <n v="29056"/>
    <n v="33478.81"/>
    <n v="2024"/>
    <s v="August"/>
    <s v="Q3"/>
    <s v="UK | JKL | MNO | PQR"/>
    <n v="5.2295016171211461E-2"/>
    <n v="10.019755901929798"/>
    <x v="0"/>
  </r>
  <r>
    <x v="3"/>
    <s v="North"/>
    <x v="0"/>
    <x v="3"/>
    <x v="0"/>
    <s v="AUD"/>
    <d v="2024-08-09T00:00:00"/>
    <d v="2024-08-24T00:00:00"/>
    <n v="27264.639999999999"/>
    <n v="0.93769999999999998"/>
    <n v="25566.05"/>
    <n v="125674"/>
    <n v="40293"/>
    <n v="154634.09"/>
    <n v="2024"/>
    <s v="August"/>
    <s v="Q3"/>
    <s v="USA | DEF | GHI"/>
    <n v="0.32061524261183699"/>
    <n v="6.048415378988933"/>
    <x v="0"/>
  </r>
  <r>
    <x v="28"/>
    <s v="North"/>
    <x v="3"/>
    <x v="5"/>
    <x v="0"/>
    <s v="AUD"/>
    <d v="2024-08-09T00:00:00"/>
    <d v="2024-08-17T00:00:00"/>
    <n v="33159.67"/>
    <n v="0.35720000000000002"/>
    <n v="11844.63"/>
    <n v="783199"/>
    <n v="41015"/>
    <n v="11688.03"/>
    <n v="2024"/>
    <s v="August"/>
    <s v="Q3"/>
    <s v="USA | DEF | GHI"/>
    <n v="5.2368555118175585E-2"/>
    <n v="0.98677881875584139"/>
    <x v="0"/>
  </r>
  <r>
    <x v="59"/>
    <s v="North"/>
    <x v="2"/>
    <x v="4"/>
    <x v="0"/>
    <s v="GBP"/>
    <d v="2024-08-11T00:00:00"/>
    <d v="2024-08-16T00:00:00"/>
    <n v="26253.77"/>
    <n v="1.1285000000000001"/>
    <n v="29627.38"/>
    <n v="524514"/>
    <n v="31435"/>
    <n v="111834.13"/>
    <n v="2024"/>
    <s v="August"/>
    <s v="Q3"/>
    <s v="UK | JKL | MNO | PQR"/>
    <n v="5.9931670079349644E-2"/>
    <n v="3.7746884807228991"/>
    <x v="0"/>
  </r>
  <r>
    <x v="53"/>
    <s v="West"/>
    <x v="3"/>
    <x v="4"/>
    <x v="0"/>
    <s v="INR"/>
    <d v="2024-08-12T00:00:00"/>
    <d v="2024-10-05T00:00:00"/>
    <n v="42816.61"/>
    <n v="0.72970000000000002"/>
    <n v="31243.279999999999"/>
    <n v="856514"/>
    <n v="48417"/>
    <n v="218477.46"/>
    <n v="2024"/>
    <s v="August"/>
    <s v="Q3"/>
    <s v="India | XYZ | PQR | TEST"/>
    <n v="5.652797268929638E-2"/>
    <n v="6.9927824479376044"/>
    <x v="0"/>
  </r>
  <r>
    <x v="1"/>
    <s v="South"/>
    <x v="0"/>
    <x v="3"/>
    <x v="2"/>
    <s v="SGD"/>
    <d v="2024-08-12T00:00:00"/>
    <d v="2024-09-17T00:00:00"/>
    <n v="31998.86"/>
    <n v="0.9294"/>
    <n v="29739.74"/>
    <n v="953584"/>
    <n v="11890"/>
    <n v="219719.4"/>
    <n v="2024"/>
    <s v="August"/>
    <s v="Q3"/>
    <s v="UK | JKL | MNO | PQR"/>
    <n v="1.2468749475662344E-2"/>
    <n v="7.3880740046819504"/>
    <x v="0"/>
  </r>
  <r>
    <x v="23"/>
    <s v="West"/>
    <x v="1"/>
    <x v="3"/>
    <x v="0"/>
    <s v="INR"/>
    <d v="2024-08-12T00:00:00"/>
    <d v="2024-09-03T00:00:00"/>
    <n v="12699.59"/>
    <n v="0.64319999999999999"/>
    <n v="8168.38"/>
    <n v="298840"/>
    <n v="14941"/>
    <n v="221237.07"/>
    <n v="2024"/>
    <s v="August"/>
    <s v="Q3"/>
    <s v="USA | DEF | GHI"/>
    <n v="4.9996653727747288E-2"/>
    <n v="27.084571236891527"/>
    <x v="0"/>
  </r>
  <r>
    <x v="59"/>
    <s v="West"/>
    <x v="4"/>
    <x v="3"/>
    <x v="2"/>
    <s v="INR"/>
    <d v="2024-08-12T00:00:00"/>
    <d v="2024-08-22T00:00:00"/>
    <n v="6430.58"/>
    <n v="0.307"/>
    <n v="1974.19"/>
    <n v="758226"/>
    <n v="42644"/>
    <n v="191974.86"/>
    <n v="2024"/>
    <s v="August"/>
    <s v="Q3"/>
    <s v="USA | DEF | GHI"/>
    <n v="5.6241806532616921E-2"/>
    <n v="97.242342429046843"/>
    <x v="0"/>
  </r>
  <r>
    <x v="10"/>
    <s v="West"/>
    <x v="2"/>
    <x v="2"/>
    <x v="1"/>
    <s v="USD"/>
    <d v="2024-08-13T00:00:00"/>
    <d v="2024-09-18T00:00:00"/>
    <n v="11434.69"/>
    <n v="1.1549"/>
    <n v="13205.92"/>
    <n v="788261"/>
    <n v="30724"/>
    <n v="70644.31"/>
    <n v="2024"/>
    <s v="August"/>
    <s v="Q3"/>
    <s v="India | XYZ | PQR | TEST"/>
    <n v="3.8976937841653972E-2"/>
    <n v="5.3494425227473741"/>
    <x v="0"/>
  </r>
  <r>
    <x v="37"/>
    <s v="West"/>
    <x v="1"/>
    <x v="4"/>
    <x v="2"/>
    <s v="GBP"/>
    <d v="2024-08-13T00:00:00"/>
    <d v="2024-09-15T00:00:00"/>
    <n v="48418.559999999998"/>
    <n v="0.24970000000000001"/>
    <n v="12090.11"/>
    <n v="914318"/>
    <n v="31634"/>
    <n v="24603.91"/>
    <n v="2024"/>
    <s v="August"/>
    <s v="Q3"/>
    <s v="UK | JKL | MNO | PQR"/>
    <n v="3.4598465741678498E-2"/>
    <n v="2.0350443461639305"/>
    <x v="0"/>
  </r>
  <r>
    <x v="0"/>
    <s v="West"/>
    <x v="4"/>
    <x v="4"/>
    <x v="2"/>
    <s v="USD"/>
    <d v="2024-08-13T00:00:00"/>
    <d v="2024-08-19T00:00:00"/>
    <n v="14966.81"/>
    <n v="0.77600000000000002"/>
    <n v="11614.24"/>
    <n v="907689"/>
    <n v="37832"/>
    <n v="247048.92"/>
    <n v="2024"/>
    <s v="August"/>
    <s v="Q3"/>
    <s v="Australia | ABC | BCD"/>
    <n v="4.1679473916726988E-2"/>
    <n v="21.271208447560927"/>
    <x v="0"/>
  </r>
  <r>
    <x v="39"/>
    <s v="West"/>
    <x v="1"/>
    <x v="1"/>
    <x v="0"/>
    <s v="GBP"/>
    <d v="2024-08-14T00:00:00"/>
    <d v="2024-09-23T00:00:00"/>
    <n v="42895.199999999997"/>
    <n v="0.1129"/>
    <n v="4842.87"/>
    <n v="908602"/>
    <n v="34294"/>
    <n v="124857.28"/>
    <n v="2024"/>
    <s v="August"/>
    <s v="Q3"/>
    <s v="India | XYZ | PQR | TEST"/>
    <n v="3.7743698561086149E-2"/>
    <n v="25.781670786124756"/>
    <x v="0"/>
  </r>
  <r>
    <x v="59"/>
    <s v="South"/>
    <x v="0"/>
    <x v="3"/>
    <x v="2"/>
    <s v="GBP"/>
    <d v="2024-08-14T00:00:00"/>
    <d v="2024-08-31T00:00:00"/>
    <n v="35524.019999999997"/>
    <n v="6.4500000000000002E-2"/>
    <n v="2291.3000000000002"/>
    <n v="248968"/>
    <n v="19065"/>
    <n v="246379.27"/>
    <n v="2024"/>
    <s v="August"/>
    <s v="Q3"/>
    <s v="USA | DEF | GHI"/>
    <n v="7.6576106166254293E-2"/>
    <n v="107.52815868720812"/>
    <x v="0"/>
  </r>
  <r>
    <x v="7"/>
    <s v="South"/>
    <x v="4"/>
    <x v="0"/>
    <x v="0"/>
    <s v="USD"/>
    <d v="2024-08-17T00:00:00"/>
    <d v="2024-10-06T00:00:00"/>
    <n v="21670.2"/>
    <n v="0.69769999999999999"/>
    <n v="15119.3"/>
    <n v="737186"/>
    <n v="49139"/>
    <n v="58736.83"/>
    <n v="2024"/>
    <s v="August"/>
    <s v="Q3"/>
    <s v="USA | DEF | GHI"/>
    <n v="6.6657532834318606E-2"/>
    <n v="3.8848908348931501"/>
    <x v="0"/>
  </r>
  <r>
    <x v="2"/>
    <s v="East"/>
    <x v="3"/>
    <x v="1"/>
    <x v="0"/>
    <s v="INR"/>
    <d v="2024-08-19T00:00:00"/>
    <d v="2024-09-23T00:00:00"/>
    <n v="46909.42"/>
    <n v="1.1820999999999999"/>
    <n v="55451.63"/>
    <n v="694963"/>
    <n v="2064"/>
    <n v="12907.31"/>
    <n v="2024"/>
    <s v="August"/>
    <s v="Q3"/>
    <s v="India | XYZ | PQR | TEST"/>
    <n v="2.9699422846971709E-3"/>
    <n v="0.23276700793105631"/>
    <x v="1"/>
  </r>
  <r>
    <x v="49"/>
    <s v="West"/>
    <x v="0"/>
    <x v="5"/>
    <x v="2"/>
    <s v="INR"/>
    <d v="2024-08-20T00:00:00"/>
    <d v="2024-09-27T00:00:00"/>
    <n v="11885.05"/>
    <n v="1.1234"/>
    <n v="13351.67"/>
    <n v="301427"/>
    <n v="12926"/>
    <n v="10524.42"/>
    <n v="2024"/>
    <s v="August"/>
    <s v="Q3"/>
    <s v="UK | JKL | MNO | PQR"/>
    <n v="4.2882688014013341E-2"/>
    <n v="0.78824746267695356"/>
    <x v="0"/>
  </r>
  <r>
    <x v="26"/>
    <s v="North"/>
    <x v="1"/>
    <x v="2"/>
    <x v="2"/>
    <s v="AUD"/>
    <d v="2024-08-21T00:00:00"/>
    <d v="2024-10-04T00:00:00"/>
    <n v="41664.43"/>
    <n v="9.0399999999999994E-2"/>
    <n v="3766.46"/>
    <n v="40955"/>
    <n v="48129"/>
    <n v="43999.02"/>
    <n v="2024"/>
    <s v="August"/>
    <s v="Q3"/>
    <s v="India | XYZ | PQR | TEST"/>
    <n v="1.1751678671712855"/>
    <n v="11.681796700349929"/>
    <x v="0"/>
  </r>
  <r>
    <x v="2"/>
    <s v="South"/>
    <x v="3"/>
    <x v="5"/>
    <x v="0"/>
    <s v="GBP"/>
    <d v="2024-08-21T00:00:00"/>
    <d v="2024-09-26T00:00:00"/>
    <n v="32186.6"/>
    <n v="1.1958"/>
    <n v="38488.74"/>
    <n v="732487"/>
    <n v="32182"/>
    <n v="184270.66"/>
    <n v="2024"/>
    <s v="August"/>
    <s v="Q3"/>
    <s v="UK | JKL | MNO | PQR"/>
    <n v="4.3935250727999267E-2"/>
    <n v="4.7876511416066103"/>
    <x v="0"/>
  </r>
  <r>
    <x v="6"/>
    <s v="West"/>
    <x v="4"/>
    <x v="0"/>
    <x v="1"/>
    <s v="AUD"/>
    <d v="2024-08-24T00:00:00"/>
    <d v="2024-10-15T00:00:00"/>
    <n v="36603.360000000001"/>
    <n v="1.0636000000000001"/>
    <n v="38931.33"/>
    <n v="696735"/>
    <n v="6589"/>
    <n v="209254.81"/>
    <n v="2024"/>
    <s v="August"/>
    <s v="Q3"/>
    <s v="India | XYZ | PQR | TEST"/>
    <n v="9.4569671395867867E-3"/>
    <n v="5.3749720340918223"/>
    <x v="0"/>
  </r>
  <r>
    <x v="51"/>
    <s v="East"/>
    <x v="2"/>
    <x v="0"/>
    <x v="0"/>
    <s v="INR"/>
    <d v="2024-08-25T00:00:00"/>
    <d v="2024-10-21T00:00:00"/>
    <n v="40533.11"/>
    <n v="0.1237"/>
    <n v="5013.95"/>
    <n v="375848"/>
    <n v="46005"/>
    <n v="145178.73000000001"/>
    <n v="2024"/>
    <s v="August"/>
    <s v="Q3"/>
    <s v="USA | DEF | GHI"/>
    <n v="0.12240320555118027"/>
    <n v="28.954961656977037"/>
    <x v="0"/>
  </r>
  <r>
    <x v="20"/>
    <s v="West"/>
    <x v="1"/>
    <x v="4"/>
    <x v="0"/>
    <s v="AUD"/>
    <d v="2024-08-25T00:00:00"/>
    <d v="2024-09-30T00:00:00"/>
    <n v="18999.63"/>
    <n v="0.33750000000000002"/>
    <n v="6412.38"/>
    <n v="414562"/>
    <n v="45821"/>
    <n v="200964.52"/>
    <n v="2024"/>
    <s v="August"/>
    <s v="Q3"/>
    <s v="UK | JKL | MNO | PQR"/>
    <n v="0.11052870258248465"/>
    <n v="31.340082777377507"/>
    <x v="0"/>
  </r>
  <r>
    <x v="8"/>
    <s v="East"/>
    <x v="0"/>
    <x v="5"/>
    <x v="0"/>
    <s v="AUD"/>
    <d v="2024-08-25T00:00:00"/>
    <d v="2024-09-13T00:00:00"/>
    <n v="1352.35"/>
    <n v="0.85229999999999995"/>
    <n v="1152.6099999999999"/>
    <n v="71733"/>
    <n v="15103"/>
    <n v="21513.08"/>
    <n v="2024"/>
    <s v="August"/>
    <s v="Q3"/>
    <s v="UK | JKL | MNO | PQR"/>
    <n v="0.21054465866477073"/>
    <n v="18.664665411544238"/>
    <x v="0"/>
  </r>
  <r>
    <x v="21"/>
    <s v="East"/>
    <x v="1"/>
    <x v="1"/>
    <x v="0"/>
    <s v="USD"/>
    <d v="2024-08-26T00:00:00"/>
    <d v="2024-09-02T00:00:00"/>
    <n v="25082.18"/>
    <n v="1.1213"/>
    <n v="28124.65"/>
    <n v="366470"/>
    <n v="28740"/>
    <n v="49224.46"/>
    <n v="2024"/>
    <s v="August"/>
    <s v="Q3"/>
    <s v="Australia | ABC | BCD"/>
    <n v="7.8423881900291981E-2"/>
    <n v="1.7502248027975458"/>
    <x v="0"/>
  </r>
  <r>
    <x v="41"/>
    <s v="North"/>
    <x v="0"/>
    <x v="0"/>
    <x v="0"/>
    <s v="SGD"/>
    <d v="2024-08-29T00:00:00"/>
    <d v="2024-10-10T00:00:00"/>
    <n v="8555.52"/>
    <n v="0.79390000000000005"/>
    <n v="6792.23"/>
    <n v="765638"/>
    <n v="39758"/>
    <n v="87716.800000000003"/>
    <n v="2024"/>
    <s v="August"/>
    <s v="Q3"/>
    <s v="USA | DEF | GHI"/>
    <n v="5.1927934611395984E-2"/>
    <n v="12.914285882545204"/>
    <x v="0"/>
  </r>
  <r>
    <x v="16"/>
    <s v="South"/>
    <x v="0"/>
    <x v="4"/>
    <x v="0"/>
    <s v="USD"/>
    <d v="2024-08-31T00:00:00"/>
    <d v="2024-09-22T00:00:00"/>
    <n v="26948.57"/>
    <n v="0.59740000000000004"/>
    <n v="16099.08"/>
    <n v="464626"/>
    <n v="7255"/>
    <n v="171884.33"/>
    <n v="2024"/>
    <s v="August"/>
    <s v="Q3"/>
    <s v="Australia | ABC | BCD"/>
    <n v="1.5614709465247317E-2"/>
    <n v="10.676655436211261"/>
    <x v="0"/>
  </r>
  <r>
    <x v="2"/>
    <s v="West"/>
    <x v="1"/>
    <x v="0"/>
    <x v="1"/>
    <s v="AUD"/>
    <d v="2024-08-31T00:00:00"/>
    <d v="2024-09-08T00:00:00"/>
    <n v="33436.53"/>
    <n v="0.78769999999999996"/>
    <n v="26337.95"/>
    <n v="30700"/>
    <n v="3261"/>
    <n v="173988.69"/>
    <n v="2024"/>
    <s v="August"/>
    <s v="Q3"/>
    <s v="UK | JKL | MNO | PQR"/>
    <n v="0.1062214983713355"/>
    <n v="6.6060073012516156"/>
    <x v="0"/>
  </r>
  <r>
    <x v="33"/>
    <s v="North"/>
    <x v="2"/>
    <x v="4"/>
    <x v="1"/>
    <s v="SGD"/>
    <d v="2024-09-03T00:00:00"/>
    <d v="2024-10-16T00:00:00"/>
    <n v="39437.5"/>
    <n v="1.0378000000000001"/>
    <n v="40928.239999999998"/>
    <n v="22940"/>
    <n v="19226"/>
    <n v="106383.47"/>
    <n v="2024"/>
    <s v="September"/>
    <s v="Q3"/>
    <s v="India | XYZ | PQR | TEST"/>
    <n v="0.83809938971229292"/>
    <n v="2.5992681336895993"/>
    <x v="0"/>
  </r>
  <r>
    <x v="3"/>
    <s v="South"/>
    <x v="4"/>
    <x v="4"/>
    <x v="2"/>
    <s v="SGD"/>
    <d v="2024-09-03T00:00:00"/>
    <d v="2024-09-27T00:00:00"/>
    <n v="9491.7999999999993"/>
    <n v="0.52859999999999996"/>
    <n v="5017.37"/>
    <n v="928481"/>
    <n v="21234"/>
    <n v="202073.16"/>
    <n v="2024"/>
    <s v="September"/>
    <s v="Q3"/>
    <s v="India | XYZ | PQR | TEST"/>
    <n v="2.2869611763730223E-2"/>
    <n v="40.274717630950079"/>
    <x v="0"/>
  </r>
  <r>
    <x v="29"/>
    <s v="North"/>
    <x v="4"/>
    <x v="5"/>
    <x v="1"/>
    <s v="SGD"/>
    <d v="2024-09-05T00:00:00"/>
    <d v="2024-10-27T00:00:00"/>
    <n v="18726.22"/>
    <n v="0.58179999999999998"/>
    <n v="10894.91"/>
    <n v="467250"/>
    <n v="17002"/>
    <n v="158859.03"/>
    <n v="2024"/>
    <s v="September"/>
    <s v="Q3"/>
    <s v="Australia | ABC | BCD"/>
    <n v="3.6387372926698767E-2"/>
    <n v="14.58103187635327"/>
    <x v="0"/>
  </r>
  <r>
    <x v="15"/>
    <s v="West"/>
    <x v="1"/>
    <x v="2"/>
    <x v="2"/>
    <s v="USD"/>
    <d v="2024-09-06T00:00:00"/>
    <d v="2024-09-27T00:00:00"/>
    <n v="8313.31"/>
    <n v="1.1500999999999999"/>
    <n v="9561.14"/>
    <n v="188386"/>
    <n v="37274"/>
    <n v="33750.879999999997"/>
    <n v="2024"/>
    <s v="September"/>
    <s v="Q3"/>
    <s v="India | XYZ | PQR | TEST"/>
    <n v="0.19785971356682555"/>
    <n v="3.5300058361241442"/>
    <x v="0"/>
  </r>
  <r>
    <x v="46"/>
    <s v="South"/>
    <x v="4"/>
    <x v="5"/>
    <x v="2"/>
    <s v="GBP"/>
    <d v="2024-09-06T00:00:00"/>
    <d v="2024-09-26T00:00:00"/>
    <n v="18136.75"/>
    <n v="0.1022"/>
    <n v="1853.58"/>
    <n v="475371"/>
    <n v="7517"/>
    <n v="130203.7"/>
    <n v="2024"/>
    <s v="September"/>
    <s v="Q3"/>
    <s v="Australia | ABC | BCD"/>
    <n v="1.581291244101975E-2"/>
    <n v="70.244445883101889"/>
    <x v="0"/>
  </r>
  <r>
    <x v="16"/>
    <s v="North"/>
    <x v="3"/>
    <x v="4"/>
    <x v="0"/>
    <s v="AUD"/>
    <d v="2024-09-09T00:00:00"/>
    <d v="2024-09-20T00:00:00"/>
    <n v="19515.88"/>
    <n v="3.4700000000000002E-2"/>
    <n v="677.2"/>
    <n v="876713"/>
    <n v="988"/>
    <n v="192044.21"/>
    <n v="2024"/>
    <s v="September"/>
    <s v="Q3"/>
    <s v="India | XYZ | PQR | TEST"/>
    <n v="1.1269366371891372E-3"/>
    <n v="283.58566154754868"/>
    <x v="0"/>
  </r>
  <r>
    <x v="5"/>
    <s v="West"/>
    <x v="2"/>
    <x v="3"/>
    <x v="2"/>
    <s v="AUD"/>
    <d v="2024-09-11T00:00:00"/>
    <d v="2024-11-08T00:00:00"/>
    <n v="11481.07"/>
    <n v="0.2077"/>
    <n v="2384.62"/>
    <n v="674555"/>
    <n v="18301"/>
    <n v="179280.18"/>
    <n v="2024"/>
    <s v="September"/>
    <s v="Q3"/>
    <s v="Australia | ABC | BCD"/>
    <n v="2.7130478611825572E-2"/>
    <n v="75.181865454453956"/>
    <x v="0"/>
  </r>
  <r>
    <x v="5"/>
    <s v="East"/>
    <x v="0"/>
    <x v="5"/>
    <x v="1"/>
    <s v="INR"/>
    <d v="2024-09-11T00:00:00"/>
    <d v="2024-10-16T00:00:00"/>
    <n v="25567"/>
    <n v="1.1496999999999999"/>
    <n v="29394.38"/>
    <n v="482407"/>
    <n v="6883"/>
    <n v="203686.87"/>
    <n v="2024"/>
    <s v="September"/>
    <s v="Q3"/>
    <s v="Australia | ABC | BCD"/>
    <n v="1.4268035082409666E-2"/>
    <n v="6.9294494389743884"/>
    <x v="0"/>
  </r>
  <r>
    <x v="26"/>
    <s v="North"/>
    <x v="4"/>
    <x v="5"/>
    <x v="1"/>
    <s v="GBP"/>
    <d v="2024-09-12T00:00:00"/>
    <d v="2024-10-25T00:00:00"/>
    <n v="48223"/>
    <n v="0.86480000000000001"/>
    <n v="41703.25"/>
    <n v="825573"/>
    <n v="10832"/>
    <n v="241356.59"/>
    <n v="2024"/>
    <s v="September"/>
    <s v="Q3"/>
    <s v="UK | JKL | MNO | PQR"/>
    <n v="1.3120584127630144E-2"/>
    <n v="5.7874767554087514"/>
    <x v="0"/>
  </r>
  <r>
    <x v="44"/>
    <s v="East"/>
    <x v="2"/>
    <x v="3"/>
    <x v="1"/>
    <s v="AUD"/>
    <d v="2024-09-13T00:00:00"/>
    <d v="2024-10-16T00:00:00"/>
    <n v="21295"/>
    <n v="0.26650000000000001"/>
    <n v="5675.12"/>
    <n v="547234"/>
    <n v="7559"/>
    <n v="89567.35"/>
    <n v="2024"/>
    <s v="September"/>
    <s v="Q3"/>
    <s v="Australia | ABC | BCD"/>
    <n v="1.381310371797074E-2"/>
    <n v="15.782459225531797"/>
    <x v="0"/>
  </r>
  <r>
    <x v="52"/>
    <s v="North"/>
    <x v="4"/>
    <x v="4"/>
    <x v="1"/>
    <s v="AUD"/>
    <d v="2024-09-13T00:00:00"/>
    <d v="2024-10-16T00:00:00"/>
    <n v="48267.72"/>
    <n v="0.81269999999999998"/>
    <n v="39227.18"/>
    <n v="934771"/>
    <n v="34409"/>
    <n v="226430.66"/>
    <n v="2024"/>
    <s v="September"/>
    <s v="Q3"/>
    <s v="Australia | ABC | BCD"/>
    <n v="3.6810085036869993E-2"/>
    <n v="5.7722900295152497"/>
    <x v="0"/>
  </r>
  <r>
    <x v="21"/>
    <s v="West"/>
    <x v="3"/>
    <x v="5"/>
    <x v="0"/>
    <s v="INR"/>
    <d v="2024-09-13T00:00:00"/>
    <d v="2024-09-23T00:00:00"/>
    <n v="14794.35"/>
    <n v="1.1128"/>
    <n v="16463.150000000001"/>
    <n v="409941"/>
    <n v="25994"/>
    <n v="206419.98"/>
    <n v="2024"/>
    <s v="September"/>
    <s v="Q3"/>
    <s v="UK | JKL | MNO | PQR"/>
    <n v="6.3409124727704713E-2"/>
    <n v="12.538304030516638"/>
    <x v="0"/>
  </r>
  <r>
    <x v="42"/>
    <s v="East"/>
    <x v="4"/>
    <x v="0"/>
    <x v="0"/>
    <s v="INR"/>
    <d v="2024-09-15T00:00:00"/>
    <d v="2024-11-01T00:00:00"/>
    <n v="41643.58"/>
    <n v="0.32829999999999998"/>
    <n v="13671.59"/>
    <n v="199179"/>
    <n v="18009"/>
    <n v="177161.2"/>
    <n v="2024"/>
    <s v="September"/>
    <s v="Q3"/>
    <s v="UK | JKL | MNO | PQR"/>
    <n v="9.0416158329944415E-2"/>
    <n v="12.958346468845248"/>
    <x v="0"/>
  </r>
  <r>
    <x v="35"/>
    <s v="East"/>
    <x v="1"/>
    <x v="3"/>
    <x v="2"/>
    <s v="USD"/>
    <d v="2024-09-15T00:00:00"/>
    <d v="2024-10-05T00:00:00"/>
    <n v="28594.09"/>
    <n v="0.2646"/>
    <n v="7566"/>
    <n v="812903"/>
    <n v="36160"/>
    <n v="231906"/>
    <n v="2024"/>
    <s v="September"/>
    <s v="Q3"/>
    <s v="Australia | ABC | BCD"/>
    <n v="4.4482552038804135E-2"/>
    <n v="30.651070578905632"/>
    <x v="0"/>
  </r>
  <r>
    <x v="48"/>
    <s v="West"/>
    <x v="1"/>
    <x v="2"/>
    <x v="1"/>
    <s v="INR"/>
    <d v="2024-09-17T00:00:00"/>
    <d v="2024-11-02T00:00:00"/>
    <n v="43059.43"/>
    <n v="0.40860000000000002"/>
    <n v="17594.080000000002"/>
    <n v="290061"/>
    <n v="6540"/>
    <n v="67559.259999999995"/>
    <n v="2024"/>
    <s v="September"/>
    <s v="Q3"/>
    <s v="India | XYZ | PQR | TEST"/>
    <n v="2.2546981496995459E-2"/>
    <n v="3.8398859161718026"/>
    <x v="0"/>
  </r>
  <r>
    <x v="24"/>
    <s v="West"/>
    <x v="3"/>
    <x v="0"/>
    <x v="1"/>
    <s v="USD"/>
    <d v="2024-09-17T00:00:00"/>
    <d v="2024-09-25T00:00:00"/>
    <n v="48789.95"/>
    <n v="1.0489999999999999"/>
    <n v="51180.66"/>
    <n v="855435"/>
    <n v="6665"/>
    <n v="5755.74"/>
    <n v="2024"/>
    <s v="September"/>
    <s v="Q3"/>
    <s v="USA | DEF | GHI"/>
    <n v="7.7913576133779886E-3"/>
    <n v="0.11245927660956305"/>
    <x v="0"/>
  </r>
  <r>
    <x v="53"/>
    <s v="North"/>
    <x v="3"/>
    <x v="1"/>
    <x v="0"/>
    <s v="USD"/>
    <d v="2024-09-18T00:00:00"/>
    <d v="2024-11-13T00:00:00"/>
    <n v="33044.839999999997"/>
    <n v="1.9300000000000001E-2"/>
    <n v="637.77"/>
    <n v="866795"/>
    <n v="36446"/>
    <n v="78347.789999999994"/>
    <n v="2024"/>
    <s v="September"/>
    <s v="Q3"/>
    <s v="India | XYZ | PQR | TEST"/>
    <n v="4.204685075479208E-2"/>
    <n v="122.84646502657698"/>
    <x v="0"/>
  </r>
  <r>
    <x v="27"/>
    <s v="North"/>
    <x v="0"/>
    <x v="2"/>
    <x v="1"/>
    <s v="AUD"/>
    <d v="2024-09-18T00:00:00"/>
    <d v="2024-10-25T00:00:00"/>
    <n v="20805.669999999998"/>
    <n v="0.1618"/>
    <n v="3366.36"/>
    <n v="318474"/>
    <n v="4190"/>
    <n v="95459.61"/>
    <n v="2024"/>
    <s v="September"/>
    <s v="Q3"/>
    <s v="Australia | ABC | BCD"/>
    <n v="1.3156490011743502E-2"/>
    <n v="28.356922610772465"/>
    <x v="0"/>
  </r>
  <r>
    <x v="14"/>
    <s v="West"/>
    <x v="2"/>
    <x v="2"/>
    <x v="2"/>
    <s v="GBP"/>
    <d v="2024-09-19T00:00:00"/>
    <d v="2024-09-27T00:00:00"/>
    <n v="45275.68"/>
    <n v="0.64670000000000005"/>
    <n v="29279.78"/>
    <n v="21307"/>
    <n v="30827"/>
    <n v="116238.52"/>
    <n v="2024"/>
    <s v="September"/>
    <s v="Q3"/>
    <s v="USA | DEF | GHI"/>
    <n v="1.4468015206270239"/>
    <n v="3.9699246374118933"/>
    <x v="0"/>
  </r>
  <r>
    <x v="50"/>
    <s v="South"/>
    <x v="1"/>
    <x v="3"/>
    <x v="0"/>
    <s v="INR"/>
    <d v="2024-09-20T00:00:00"/>
    <d v="2024-11-05T00:00:00"/>
    <n v="26529.27"/>
    <n v="0.85680000000000001"/>
    <n v="22730.28"/>
    <n v="636495"/>
    <n v="3865"/>
    <n v="236700.39"/>
    <n v="2024"/>
    <s v="September"/>
    <s v="Q3"/>
    <s v="USA | DEF | GHI"/>
    <n v="6.0723179286561561E-3"/>
    <n v="10.413439253717948"/>
    <x v="0"/>
  </r>
  <r>
    <x v="45"/>
    <s v="East"/>
    <x v="2"/>
    <x v="2"/>
    <x v="1"/>
    <s v="INR"/>
    <d v="2024-09-21T00:00:00"/>
    <d v="2024-10-23T00:00:00"/>
    <n v="14453.21"/>
    <n v="1.1761999999999999"/>
    <n v="16999.87"/>
    <n v="70144"/>
    <n v="5017"/>
    <n v="169440.05"/>
    <n v="2024"/>
    <s v="September"/>
    <s v="Q3"/>
    <s v="Australia | ABC | BCD"/>
    <n v="7.1524292883211674E-2"/>
    <n v="9.9671379839963485"/>
    <x v="0"/>
  </r>
  <r>
    <x v="16"/>
    <s v="North"/>
    <x v="0"/>
    <x v="3"/>
    <x v="2"/>
    <s v="GBP"/>
    <d v="2024-09-21T00:00:00"/>
    <d v="2024-09-28T00:00:00"/>
    <n v="36634.910000000003"/>
    <n v="1.0913999999999999"/>
    <n v="39983.339999999997"/>
    <n v="700909"/>
    <n v="34273"/>
    <n v="78899.429999999993"/>
    <n v="2024"/>
    <s v="September"/>
    <s v="Q3"/>
    <s v="Australia | ABC | BCD"/>
    <n v="4.889793111516616E-2"/>
    <n v="1.97330763262899"/>
    <x v="0"/>
  </r>
  <r>
    <x v="47"/>
    <s v="East"/>
    <x v="1"/>
    <x v="2"/>
    <x v="2"/>
    <s v="USD"/>
    <d v="2024-09-22T00:00:00"/>
    <d v="2024-11-02T00:00:00"/>
    <n v="22910.83"/>
    <n v="0.25469999999999998"/>
    <n v="5835.39"/>
    <n v="930047"/>
    <n v="20848"/>
    <n v="78435.16"/>
    <n v="2024"/>
    <s v="September"/>
    <s v="Q3"/>
    <s v="Australia | ABC | BCD"/>
    <n v="2.241607144585166E-2"/>
    <n v="13.441288414313354"/>
    <x v="0"/>
  </r>
  <r>
    <x v="15"/>
    <s v="East"/>
    <x v="1"/>
    <x v="0"/>
    <x v="2"/>
    <s v="AUD"/>
    <d v="2024-09-23T00:00:00"/>
    <d v="2024-11-14T00:00:00"/>
    <n v="42287.49"/>
    <n v="0.71650000000000003"/>
    <n v="30298.99"/>
    <n v="541958"/>
    <n v="33504"/>
    <n v="135423.26"/>
    <n v="2024"/>
    <s v="September"/>
    <s v="Q3"/>
    <s v="Australia | ABC | BCD"/>
    <n v="6.1820288657054606E-2"/>
    <n v="4.4695635069023751"/>
    <x v="0"/>
  </r>
  <r>
    <x v="49"/>
    <s v="North"/>
    <x v="1"/>
    <x v="5"/>
    <x v="0"/>
    <s v="USD"/>
    <d v="2024-09-23T00:00:00"/>
    <d v="2024-10-20T00:00:00"/>
    <n v="16309.59"/>
    <n v="0.98280000000000001"/>
    <n v="16029.07"/>
    <n v="757528"/>
    <n v="49802"/>
    <n v="169363.22"/>
    <n v="2024"/>
    <s v="September"/>
    <s v="Q3"/>
    <s v="UK | JKL | MNO | PQR"/>
    <n v="6.5742784425130166E-2"/>
    <n v="10.56600414122591"/>
    <x v="0"/>
  </r>
  <r>
    <x v="9"/>
    <s v="South"/>
    <x v="4"/>
    <x v="0"/>
    <x v="0"/>
    <s v="AUD"/>
    <d v="2024-09-24T00:00:00"/>
    <d v="2024-10-10T00:00:00"/>
    <n v="40873.17"/>
    <n v="0.85009999999999997"/>
    <n v="34746.28"/>
    <n v="321893"/>
    <n v="40370"/>
    <n v="149591.25"/>
    <n v="2024"/>
    <s v="September"/>
    <s v="Q3"/>
    <s v="Australia | ABC | BCD"/>
    <n v="0.12541434576085841"/>
    <n v="4.3052450506931965"/>
    <x v="0"/>
  </r>
  <r>
    <x v="24"/>
    <s v="North"/>
    <x v="2"/>
    <x v="0"/>
    <x v="0"/>
    <s v="SGD"/>
    <d v="2024-09-25T00:00:00"/>
    <d v="2024-11-04T00:00:00"/>
    <n v="42817.66"/>
    <n v="0.96389999999999998"/>
    <n v="41271.94"/>
    <n v="470197"/>
    <n v="28117"/>
    <n v="158240.32000000001"/>
    <n v="2024"/>
    <s v="September"/>
    <s v="Q3"/>
    <s v="USA | DEF | GHI"/>
    <n v="5.979833984478846E-2"/>
    <n v="3.8340896987153985"/>
    <x v="0"/>
  </r>
  <r>
    <x v="18"/>
    <s v="West"/>
    <x v="0"/>
    <x v="0"/>
    <x v="2"/>
    <s v="INR"/>
    <d v="2024-09-27T00:00:00"/>
    <d v="2024-10-25T00:00:00"/>
    <n v="40195.29"/>
    <n v="1.135"/>
    <n v="45621.65"/>
    <n v="858083"/>
    <n v="4400"/>
    <n v="51146.63"/>
    <n v="2024"/>
    <s v="September"/>
    <s v="Q3"/>
    <s v="USA | DEF | GHI"/>
    <n v="5.1277090910786024E-3"/>
    <n v="1.1211043440997859"/>
    <x v="0"/>
  </r>
  <r>
    <x v="7"/>
    <s v="East"/>
    <x v="0"/>
    <x v="3"/>
    <x v="1"/>
    <s v="USD"/>
    <d v="2024-09-30T00:00:00"/>
    <d v="2024-11-25T00:00:00"/>
    <n v="13988.65"/>
    <n v="1.1604000000000001"/>
    <n v="16232.43"/>
    <n v="923671"/>
    <n v="12367"/>
    <n v="56711.75"/>
    <n v="2024"/>
    <s v="September"/>
    <s v="Q3"/>
    <s v="Australia | ABC | BCD"/>
    <n v="1.3388966417696345E-2"/>
    <n v="3.4937313760170228"/>
    <x v="0"/>
  </r>
  <r>
    <x v="16"/>
    <s v="South"/>
    <x v="2"/>
    <x v="5"/>
    <x v="1"/>
    <s v="AUD"/>
    <d v="2024-10-01T00:00:00"/>
    <d v="2024-11-20T00:00:00"/>
    <n v="15238.4"/>
    <n v="0.4209"/>
    <n v="6413.84"/>
    <n v="715034"/>
    <n v="8794"/>
    <n v="245427.20000000001"/>
    <n v="2024"/>
    <s v="October"/>
    <s v="Q4"/>
    <s v="Australia | ABC | BCD"/>
    <n v="1.2298715865259553E-2"/>
    <n v="38.26525139386078"/>
    <x v="0"/>
  </r>
  <r>
    <x v="13"/>
    <s v="West"/>
    <x v="1"/>
    <x v="4"/>
    <x v="2"/>
    <s v="SGD"/>
    <d v="2024-10-02T00:00:00"/>
    <d v="2024-10-10T00:00:00"/>
    <n v="48585.89"/>
    <n v="0.98980000000000001"/>
    <n v="48090.31"/>
    <n v="915115"/>
    <n v="47156"/>
    <n v="232255.84"/>
    <n v="2024"/>
    <s v="October"/>
    <s v="Q4"/>
    <s v="Australia | ABC | BCD"/>
    <n v="5.153013555673331E-2"/>
    <n v="4.8295766860309284"/>
    <x v="0"/>
  </r>
  <r>
    <x v="10"/>
    <s v="East"/>
    <x v="4"/>
    <x v="4"/>
    <x v="0"/>
    <s v="GBP"/>
    <d v="2024-10-03T00:00:00"/>
    <d v="2024-11-17T00:00:00"/>
    <n v="5739.58"/>
    <n v="0.58120000000000005"/>
    <n v="3335.84"/>
    <n v="857311"/>
    <n v="1674"/>
    <n v="150170.04"/>
    <n v="2024"/>
    <s v="October"/>
    <s v="Q4"/>
    <s v="India | XYZ | PQR | TEST"/>
    <n v="1.9526169616393583E-3"/>
    <n v="45.017159096359535"/>
    <x v="0"/>
  </r>
  <r>
    <x v="50"/>
    <s v="East"/>
    <x v="0"/>
    <x v="4"/>
    <x v="0"/>
    <s v="GBP"/>
    <d v="2024-10-04T00:00:00"/>
    <d v="2024-11-16T00:00:00"/>
    <n v="1661.35"/>
    <n v="1.1599999999999999"/>
    <n v="1927.17"/>
    <n v="840116"/>
    <n v="7069"/>
    <n v="137880.69"/>
    <n v="2024"/>
    <s v="October"/>
    <s v="Q4"/>
    <s v="UK | JKL | MNO | PQR"/>
    <n v="8.4143142137514341E-3"/>
    <n v="71.545680972617873"/>
    <x v="0"/>
  </r>
  <r>
    <x v="42"/>
    <s v="East"/>
    <x v="2"/>
    <x v="3"/>
    <x v="2"/>
    <s v="SGD"/>
    <d v="2024-10-05T00:00:00"/>
    <d v="2024-10-10T00:00:00"/>
    <n v="46466.1"/>
    <n v="0.33679999999999999"/>
    <n v="15649.78"/>
    <n v="870623"/>
    <n v="28029"/>
    <n v="148194.75"/>
    <n v="2024"/>
    <s v="October"/>
    <s v="Q4"/>
    <s v="India | XYZ | PQR | TEST"/>
    <n v="3.2194187380760672E-2"/>
    <n v="9.4694462158573476"/>
    <x v="0"/>
  </r>
  <r>
    <x v="25"/>
    <s v="West"/>
    <x v="0"/>
    <x v="4"/>
    <x v="1"/>
    <s v="AUD"/>
    <d v="2024-10-07T00:00:00"/>
    <d v="2024-10-19T00:00:00"/>
    <n v="43672.6"/>
    <n v="1.0941000000000001"/>
    <n v="47782.19"/>
    <n v="174660"/>
    <n v="47833"/>
    <n v="76570.13"/>
    <n v="2024"/>
    <s v="October"/>
    <s v="Q4"/>
    <s v="USA | DEF | GHI"/>
    <n v="0.27386350624069622"/>
    <n v="1.6024826404984787"/>
    <x v="0"/>
  </r>
  <r>
    <x v="26"/>
    <s v="North"/>
    <x v="1"/>
    <x v="4"/>
    <x v="1"/>
    <s v="AUD"/>
    <d v="2024-10-08T00:00:00"/>
    <d v="2024-11-25T00:00:00"/>
    <n v="46125.53"/>
    <n v="1.1969000000000001"/>
    <n v="55207.65"/>
    <n v="793041"/>
    <n v="6023"/>
    <n v="111323.01"/>
    <n v="2024"/>
    <s v="October"/>
    <s v="Q4"/>
    <s v="Australia | ABC | BCD"/>
    <n v="7.5948154004647928E-3"/>
    <n v="2.0164417431279902"/>
    <x v="1"/>
  </r>
  <r>
    <x v="16"/>
    <s v="South"/>
    <x v="0"/>
    <x v="5"/>
    <x v="1"/>
    <s v="SGD"/>
    <d v="2024-10-09T00:00:00"/>
    <d v="2024-11-24T00:00:00"/>
    <n v="22810.799999999999"/>
    <n v="2.3800000000000002E-2"/>
    <n v="542.9"/>
    <n v="132292"/>
    <n v="5515"/>
    <n v="34902.629999999997"/>
    <n v="2024"/>
    <s v="October"/>
    <s v="Q4"/>
    <s v="UK | JKL | MNO | PQR"/>
    <n v="4.1688083935536538E-2"/>
    <n v="64.289242954503592"/>
    <x v="0"/>
  </r>
  <r>
    <x v="38"/>
    <s v="South"/>
    <x v="2"/>
    <x v="3"/>
    <x v="0"/>
    <s v="USD"/>
    <d v="2024-10-09T00:00:00"/>
    <d v="2024-11-15T00:00:00"/>
    <n v="29177.33"/>
    <n v="0.86509999999999998"/>
    <n v="25241.31"/>
    <n v="315420"/>
    <n v="28230"/>
    <n v="5383.26"/>
    <n v="2024"/>
    <s v="October"/>
    <s v="Q4"/>
    <s v="USA | DEF | GHI"/>
    <n v="8.9499714666159413E-2"/>
    <n v="0.21327181513162352"/>
    <x v="0"/>
  </r>
  <r>
    <x v="31"/>
    <s v="West"/>
    <x v="1"/>
    <x v="2"/>
    <x v="1"/>
    <s v="USD"/>
    <d v="2024-10-10T00:00:00"/>
    <d v="2024-11-07T00:00:00"/>
    <n v="43798.29"/>
    <n v="1.1637999999999999"/>
    <n v="50972.45"/>
    <n v="781555"/>
    <n v="21433"/>
    <n v="171092.71"/>
    <n v="2024"/>
    <s v="October"/>
    <s v="Q4"/>
    <s v="USA | DEF | GHI"/>
    <n v="2.7423533852384028E-2"/>
    <n v="3.3565722267617115"/>
    <x v="0"/>
  </r>
  <r>
    <x v="57"/>
    <s v="South"/>
    <x v="4"/>
    <x v="5"/>
    <x v="1"/>
    <s v="INR"/>
    <d v="2024-10-11T00:00:00"/>
    <d v="2024-12-04T00:00:00"/>
    <n v="31977.49"/>
    <n v="7.4399999999999994E-2"/>
    <n v="2379.13"/>
    <n v="559855"/>
    <n v="2798"/>
    <n v="83232.55"/>
    <n v="2024"/>
    <s v="October"/>
    <s v="Q4"/>
    <s v="India | XYZ | PQR | TEST"/>
    <n v="4.9977226246081573E-3"/>
    <n v="34.984448096573118"/>
    <x v="0"/>
  </r>
  <r>
    <x v="49"/>
    <s v="South"/>
    <x v="1"/>
    <x v="1"/>
    <x v="1"/>
    <s v="USD"/>
    <d v="2024-10-11T00:00:00"/>
    <d v="2024-11-25T00:00:00"/>
    <n v="39101.9"/>
    <n v="0.23200000000000001"/>
    <n v="9071.64"/>
    <n v="694219"/>
    <n v="14632"/>
    <n v="77746.009999999995"/>
    <n v="2024"/>
    <s v="October"/>
    <s v="Q4"/>
    <s v="USA | DEF | GHI"/>
    <n v="2.1076922412091862E-2"/>
    <n v="8.5702265522000438"/>
    <x v="0"/>
  </r>
  <r>
    <x v="43"/>
    <s v="South"/>
    <x v="1"/>
    <x v="1"/>
    <x v="2"/>
    <s v="AUD"/>
    <d v="2024-10-12T00:00:00"/>
    <d v="2024-11-28T00:00:00"/>
    <n v="35167.160000000003"/>
    <n v="1.0216000000000001"/>
    <n v="35926.769999999997"/>
    <n v="844328"/>
    <n v="35124"/>
    <n v="102440.39"/>
    <n v="2024"/>
    <s v="October"/>
    <s v="Q4"/>
    <s v="USA | DEF | GHI"/>
    <n v="4.1599946940051737E-2"/>
    <n v="2.8513665436664639"/>
    <x v="0"/>
  </r>
  <r>
    <x v="33"/>
    <s v="South"/>
    <x v="0"/>
    <x v="5"/>
    <x v="0"/>
    <s v="SGD"/>
    <d v="2024-10-13T00:00:00"/>
    <d v="2024-11-09T00:00:00"/>
    <n v="3387.03"/>
    <n v="0.35709999999999997"/>
    <n v="1209.51"/>
    <n v="679983"/>
    <n v="5134"/>
    <n v="130897.29"/>
    <n v="2024"/>
    <s v="October"/>
    <s v="Q4"/>
    <s v="USA | DEF | GHI"/>
    <n v="7.5501887547188683E-3"/>
    <n v="108.22340451918545"/>
    <x v="0"/>
  </r>
  <r>
    <x v="3"/>
    <s v="North"/>
    <x v="0"/>
    <x v="1"/>
    <x v="2"/>
    <s v="USD"/>
    <d v="2024-10-13T00:00:00"/>
    <d v="2024-10-30T00:00:00"/>
    <n v="31423.67"/>
    <n v="0.8165"/>
    <n v="25657.43"/>
    <n v="765948"/>
    <n v="43300"/>
    <n v="171809.5"/>
    <n v="2024"/>
    <s v="October"/>
    <s v="Q4"/>
    <s v="USA | DEF | GHI"/>
    <n v="5.653125277433977E-2"/>
    <n v="6.696286416839099"/>
    <x v="0"/>
  </r>
  <r>
    <x v="6"/>
    <s v="East"/>
    <x v="0"/>
    <x v="3"/>
    <x v="0"/>
    <s v="AUD"/>
    <d v="2024-10-15T00:00:00"/>
    <d v="2024-12-13T00:00:00"/>
    <n v="28273.81"/>
    <n v="0.49619999999999997"/>
    <n v="14029.46"/>
    <n v="617723"/>
    <n v="5313"/>
    <n v="72729.19"/>
    <n v="2024"/>
    <s v="October"/>
    <s v="Q4"/>
    <s v="USA | DEF | GHI"/>
    <n v="8.6009424936419714E-3"/>
    <n v="5.1840334553147454"/>
    <x v="0"/>
  </r>
  <r>
    <x v="18"/>
    <s v="East"/>
    <x v="1"/>
    <x v="3"/>
    <x v="1"/>
    <s v="GBP"/>
    <d v="2024-10-15T00:00:00"/>
    <d v="2024-11-11T00:00:00"/>
    <n v="24727.42"/>
    <n v="0.79179999999999995"/>
    <n v="19579.169999999998"/>
    <n v="198811"/>
    <n v="19767"/>
    <n v="210969.5"/>
    <n v="2024"/>
    <s v="October"/>
    <s v="Q4"/>
    <s v="USA | DEF | GHI"/>
    <n v="9.9426088093717155E-2"/>
    <n v="10.775201400263649"/>
    <x v="0"/>
  </r>
  <r>
    <x v="12"/>
    <s v="West"/>
    <x v="0"/>
    <x v="0"/>
    <x v="2"/>
    <s v="USD"/>
    <d v="2024-10-16T00:00:00"/>
    <d v="2024-12-04T00:00:00"/>
    <n v="34105.480000000003"/>
    <n v="0.55969999999999998"/>
    <n v="19088.84"/>
    <n v="370351"/>
    <n v="48987"/>
    <n v="102838.75"/>
    <n v="2024"/>
    <s v="October"/>
    <s v="Q4"/>
    <s v="India | XYZ | PQR | TEST"/>
    <n v="0.13227181781607178"/>
    <n v="5.3873755555602125"/>
    <x v="0"/>
  </r>
  <r>
    <x v="9"/>
    <s v="North"/>
    <x v="2"/>
    <x v="3"/>
    <x v="0"/>
    <s v="USD"/>
    <d v="2024-10-16T00:00:00"/>
    <d v="2024-10-28T00:00:00"/>
    <n v="2225.5300000000002"/>
    <n v="0.33729999999999999"/>
    <n v="750.67"/>
    <n v="244053"/>
    <n v="9244"/>
    <n v="185435.45"/>
    <n v="2024"/>
    <s v="October"/>
    <s v="Q4"/>
    <s v="Australia | ABC | BCD"/>
    <n v="3.7877018516469782E-2"/>
    <n v="247.02658957997525"/>
    <x v="0"/>
  </r>
  <r>
    <x v="28"/>
    <s v="South"/>
    <x v="0"/>
    <x v="0"/>
    <x v="2"/>
    <s v="GBP"/>
    <d v="2024-10-17T00:00:00"/>
    <d v="2024-12-14T00:00:00"/>
    <n v="32191.48"/>
    <n v="0.1578"/>
    <n v="5079.82"/>
    <n v="708260"/>
    <n v="18953"/>
    <n v="107203.41"/>
    <n v="2024"/>
    <s v="October"/>
    <s v="Q4"/>
    <s v="Australia | ABC | BCD"/>
    <n v="2.6759946912150907E-2"/>
    <n v="21.103781236343021"/>
    <x v="0"/>
  </r>
  <r>
    <x v="0"/>
    <s v="North"/>
    <x v="0"/>
    <x v="4"/>
    <x v="2"/>
    <s v="INR"/>
    <d v="2024-10-17T00:00:00"/>
    <d v="2024-12-12T00:00:00"/>
    <n v="46499.77"/>
    <n v="0.51200000000000001"/>
    <n v="23807.88"/>
    <n v="652053"/>
    <n v="37562"/>
    <n v="104169.32"/>
    <n v="2024"/>
    <s v="October"/>
    <s v="Q4"/>
    <s v="USA | DEF | GHI"/>
    <n v="5.7605746772118216E-2"/>
    <n v="4.3754135185493208"/>
    <x v="0"/>
  </r>
  <r>
    <x v="19"/>
    <s v="West"/>
    <x v="4"/>
    <x v="3"/>
    <x v="2"/>
    <s v="SGD"/>
    <d v="2024-10-19T00:00:00"/>
    <d v="2024-11-20T00:00:00"/>
    <n v="43916.800000000003"/>
    <n v="0.18029999999999999"/>
    <n v="7918.2"/>
    <n v="352402"/>
    <n v="39878"/>
    <n v="198100.29"/>
    <n v="2024"/>
    <s v="October"/>
    <s v="Q4"/>
    <s v="Australia | ABC | BCD"/>
    <n v="0.11316053824893162"/>
    <n v="25.018348867166782"/>
    <x v="0"/>
  </r>
  <r>
    <x v="14"/>
    <s v="North"/>
    <x v="4"/>
    <x v="5"/>
    <x v="2"/>
    <s v="USD"/>
    <d v="2024-10-21T00:00:00"/>
    <d v="2024-12-19T00:00:00"/>
    <n v="3069.39"/>
    <n v="0.86970000000000003"/>
    <n v="2669.45"/>
    <n v="830231"/>
    <n v="1404"/>
    <n v="18555.18"/>
    <n v="2024"/>
    <s v="October"/>
    <s v="Q4"/>
    <s v="UK | JKL | MNO | PQR"/>
    <n v="1.6910956107396616E-3"/>
    <n v="6.9509374590271413"/>
    <x v="0"/>
  </r>
  <r>
    <x v="16"/>
    <s v="West"/>
    <x v="3"/>
    <x v="4"/>
    <x v="2"/>
    <s v="USD"/>
    <d v="2024-10-21T00:00:00"/>
    <d v="2024-11-16T00:00:00"/>
    <n v="19473.509999999998"/>
    <n v="0.86380000000000001"/>
    <n v="16821.22"/>
    <n v="781754"/>
    <n v="47615"/>
    <n v="98504.37"/>
    <n v="2024"/>
    <s v="October"/>
    <s v="Q4"/>
    <s v="USA | DEF | GHI"/>
    <n v="6.0907907090977466E-2"/>
    <n v="5.8559587235646395"/>
    <x v="0"/>
  </r>
  <r>
    <x v="19"/>
    <s v="North"/>
    <x v="0"/>
    <x v="0"/>
    <x v="0"/>
    <s v="INR"/>
    <d v="2024-10-24T00:00:00"/>
    <d v="2024-12-20T00:00:00"/>
    <n v="47047.8"/>
    <n v="0.89880000000000004"/>
    <n v="42286.559999999998"/>
    <n v="171223"/>
    <n v="1656"/>
    <n v="117510.18"/>
    <n v="2024"/>
    <s v="October"/>
    <s v="Q4"/>
    <s v="USA | DEF | GHI"/>
    <n v="9.6715978577644364E-3"/>
    <n v="2.7789013814318309"/>
    <x v="0"/>
  </r>
  <r>
    <x v="55"/>
    <s v="East"/>
    <x v="1"/>
    <x v="0"/>
    <x v="0"/>
    <s v="USD"/>
    <d v="2024-10-24T00:00:00"/>
    <d v="2024-12-07T00:00:00"/>
    <n v="3170.54"/>
    <n v="1.1805000000000001"/>
    <n v="3742.82"/>
    <n v="720380"/>
    <n v="42484"/>
    <n v="102906.35"/>
    <n v="2024"/>
    <s v="October"/>
    <s v="Q4"/>
    <s v="USA | DEF | GHI"/>
    <n v="5.8974430161859021E-2"/>
    <n v="27.494335821653191"/>
    <x v="0"/>
  </r>
  <r>
    <x v="27"/>
    <s v="South"/>
    <x v="4"/>
    <x v="5"/>
    <x v="2"/>
    <s v="GBP"/>
    <d v="2024-10-25T00:00:00"/>
    <d v="2024-11-05T00:00:00"/>
    <n v="34179.83"/>
    <n v="0.2056"/>
    <n v="7027.37"/>
    <n v="786459"/>
    <n v="16085"/>
    <n v="131418.51"/>
    <n v="2024"/>
    <s v="October"/>
    <s v="Q4"/>
    <s v="India | XYZ | PQR | TEST"/>
    <n v="2.0452432993964084E-2"/>
    <n v="18.700952134297754"/>
    <x v="0"/>
  </r>
  <r>
    <x v="30"/>
    <s v="West"/>
    <x v="2"/>
    <x v="0"/>
    <x v="1"/>
    <s v="USD"/>
    <d v="2024-10-27T00:00:00"/>
    <d v="2024-11-06T00:00:00"/>
    <n v="42736.5"/>
    <n v="1.0243"/>
    <n v="43775"/>
    <n v="911085"/>
    <n v="35071"/>
    <n v="98102.3"/>
    <n v="2024"/>
    <s v="October"/>
    <s v="Q4"/>
    <s v="India | XYZ | PQR | TEST"/>
    <n v="3.8493664147692036E-2"/>
    <n v="2.2410576813249574"/>
    <x v="0"/>
  </r>
  <r>
    <x v="10"/>
    <s v="East"/>
    <x v="4"/>
    <x v="3"/>
    <x v="0"/>
    <s v="GBP"/>
    <d v="2024-10-28T00:00:00"/>
    <d v="2024-11-15T00:00:00"/>
    <n v="38580.99"/>
    <n v="0.50570000000000004"/>
    <n v="19510.41"/>
    <n v="680030"/>
    <n v="2084"/>
    <n v="127019.32"/>
    <n v="2024"/>
    <s v="October"/>
    <s v="Q4"/>
    <s v="USA | DEF | GHI"/>
    <n v="3.064570680705263E-3"/>
    <n v="6.5103357643432407"/>
    <x v="0"/>
  </r>
  <r>
    <x v="52"/>
    <s v="West"/>
    <x v="3"/>
    <x v="0"/>
    <x v="2"/>
    <s v="GBP"/>
    <d v="2024-10-29T00:00:00"/>
    <d v="2024-12-09T00:00:00"/>
    <n v="12378.79"/>
    <n v="0.88900000000000001"/>
    <n v="11004.74"/>
    <n v="901638"/>
    <n v="2544"/>
    <n v="228741.28"/>
    <n v="2024"/>
    <s v="October"/>
    <s v="Q4"/>
    <s v="India | XYZ | PQR | TEST"/>
    <n v="2.8215314793742056E-3"/>
    <n v="20.785705068906672"/>
    <x v="0"/>
  </r>
  <r>
    <x v="55"/>
    <s v="East"/>
    <x v="1"/>
    <x v="0"/>
    <x v="1"/>
    <s v="GBP"/>
    <d v="2024-11-02T00:00:00"/>
    <d v="2024-12-23T00:00:00"/>
    <n v="28594.240000000002"/>
    <n v="0.55679999999999996"/>
    <n v="15921.27"/>
    <n v="910374"/>
    <n v="9277"/>
    <n v="73193.34"/>
    <n v="2024"/>
    <s v="November"/>
    <s v="Q4"/>
    <s v="UK | JKL | MNO | PQR"/>
    <n v="1.0190317386041342E-2"/>
    <n v="4.5972048712194438"/>
    <x v="0"/>
  </r>
  <r>
    <x v="27"/>
    <s v="West"/>
    <x v="1"/>
    <x v="1"/>
    <x v="1"/>
    <s v="INR"/>
    <d v="2024-11-02T00:00:00"/>
    <d v="2024-12-18T00:00:00"/>
    <n v="39554.39"/>
    <n v="0.58850000000000002"/>
    <n v="23277.759999999998"/>
    <n v="708199"/>
    <n v="45769"/>
    <n v="134890.73000000001"/>
    <n v="2024"/>
    <s v="November"/>
    <s v="Q4"/>
    <s v="USA | DEF | GHI"/>
    <n v="6.4627315203777472E-2"/>
    <n v="5.7948329220681032"/>
    <x v="0"/>
  </r>
  <r>
    <x v="32"/>
    <s v="West"/>
    <x v="0"/>
    <x v="0"/>
    <x v="1"/>
    <s v="SGD"/>
    <d v="2024-11-02T00:00:00"/>
    <d v="2024-12-02T00:00:00"/>
    <n v="7428.47"/>
    <n v="0.89119999999999999"/>
    <n v="6620.25"/>
    <n v="293114"/>
    <n v="5665"/>
    <n v="23749.14"/>
    <n v="2024"/>
    <s v="November"/>
    <s v="Q4"/>
    <s v="India | XYZ | PQR | TEST"/>
    <n v="1.932695128857714E-2"/>
    <n v="3.5873479098221366"/>
    <x v="0"/>
  </r>
  <r>
    <x v="55"/>
    <s v="West"/>
    <x v="1"/>
    <x v="0"/>
    <x v="0"/>
    <s v="AUD"/>
    <d v="2024-11-04T00:00:00"/>
    <d v="2025-01-03T00:00:00"/>
    <n v="27587.09"/>
    <n v="0.50180000000000002"/>
    <n v="13843.2"/>
    <n v="206694"/>
    <n v="34076"/>
    <n v="93635.94"/>
    <n v="2024"/>
    <s v="November"/>
    <s v="Q4"/>
    <s v="India | XYZ | PQR | TEST"/>
    <n v="0.16486206662989733"/>
    <n v="6.7640386615811368"/>
    <x v="0"/>
  </r>
  <r>
    <x v="27"/>
    <s v="East"/>
    <x v="4"/>
    <x v="3"/>
    <x v="1"/>
    <s v="GBP"/>
    <d v="2024-11-04T00:00:00"/>
    <d v="2024-11-19T00:00:00"/>
    <n v="27161.119999999999"/>
    <n v="0.72389999999999999"/>
    <n v="19661.93"/>
    <n v="988866"/>
    <n v="23189"/>
    <n v="226108.82"/>
    <n v="2024"/>
    <s v="November"/>
    <s v="Q4"/>
    <s v="USA | DEF | GHI"/>
    <n v="2.3450093339239086E-2"/>
    <n v="11.499828348488679"/>
    <x v="0"/>
  </r>
  <r>
    <x v="15"/>
    <s v="East"/>
    <x v="3"/>
    <x v="3"/>
    <x v="1"/>
    <s v="AUD"/>
    <d v="2024-11-04T00:00:00"/>
    <d v="2024-11-16T00:00:00"/>
    <n v="33172.92"/>
    <n v="0.1009"/>
    <n v="3347.15"/>
    <n v="993952"/>
    <n v="35728"/>
    <n v="55435.94"/>
    <n v="2024"/>
    <s v="November"/>
    <s v="Q4"/>
    <s v="USA | DEF | GHI"/>
    <n v="3.5945397765686872E-2"/>
    <n v="16.562131963013311"/>
    <x v="0"/>
  </r>
  <r>
    <x v="4"/>
    <s v="East"/>
    <x v="2"/>
    <x v="1"/>
    <x v="0"/>
    <s v="SGD"/>
    <d v="2024-11-06T00:00:00"/>
    <d v="2024-12-12T00:00:00"/>
    <n v="1770.86"/>
    <n v="0.64329999999999998"/>
    <n v="1139.19"/>
    <n v="441319"/>
    <n v="876"/>
    <n v="9097.91"/>
    <n v="2024"/>
    <s v="November"/>
    <s v="Q4"/>
    <s v="UK | JKL | MNO | PQR"/>
    <n v="1.9849587260009202E-3"/>
    <n v="7.986297281401697"/>
    <x v="0"/>
  </r>
  <r>
    <x v="55"/>
    <s v="East"/>
    <x v="4"/>
    <x v="5"/>
    <x v="0"/>
    <s v="USD"/>
    <d v="2024-11-07T00:00:00"/>
    <d v="2024-12-01T00:00:00"/>
    <n v="2534"/>
    <n v="0.91800000000000004"/>
    <n v="2326.21"/>
    <n v="992750"/>
    <n v="1803"/>
    <n v="227963.23"/>
    <n v="2024"/>
    <s v="November"/>
    <s v="Q4"/>
    <s v="USA | DEF | GHI"/>
    <n v="1.8161672122890958E-3"/>
    <n v="97.997700121657118"/>
    <x v="0"/>
  </r>
  <r>
    <x v="52"/>
    <s v="South"/>
    <x v="1"/>
    <x v="0"/>
    <x v="2"/>
    <s v="AUD"/>
    <d v="2024-11-08T00:00:00"/>
    <d v="2024-12-04T00:00:00"/>
    <n v="43943.25"/>
    <n v="0.74550000000000005"/>
    <n v="32759.69"/>
    <n v="636258"/>
    <n v="24788"/>
    <n v="42791.93"/>
    <n v="2024"/>
    <s v="November"/>
    <s v="Q4"/>
    <s v="India | XYZ | PQR | TEST"/>
    <n v="3.8959038628983839E-2"/>
    <n v="1.3062373300846255"/>
    <x v="0"/>
  </r>
  <r>
    <x v="40"/>
    <s v="East"/>
    <x v="0"/>
    <x v="1"/>
    <x v="0"/>
    <s v="USD"/>
    <d v="2024-11-08T00:00:00"/>
    <d v="2024-11-28T00:00:00"/>
    <n v="13133.08"/>
    <n v="0.78120000000000001"/>
    <n v="10259.56"/>
    <n v="631314"/>
    <n v="5666"/>
    <n v="228045.31"/>
    <n v="2024"/>
    <s v="November"/>
    <s v="Q4"/>
    <s v="USA | DEF | GHI"/>
    <n v="8.9749316504940495E-3"/>
    <n v="22.227591631609933"/>
    <x v="0"/>
  </r>
  <r>
    <x v="36"/>
    <s v="East"/>
    <x v="3"/>
    <x v="4"/>
    <x v="0"/>
    <s v="USD"/>
    <d v="2024-11-09T00:00:00"/>
    <d v="2024-11-25T00:00:00"/>
    <n v="24268.7"/>
    <n v="0.23400000000000001"/>
    <n v="5678.88"/>
    <n v="413277"/>
    <n v="23711"/>
    <n v="210790.86"/>
    <n v="2024"/>
    <s v="November"/>
    <s v="Q4"/>
    <s v="Australia | ABC | BCD"/>
    <n v="5.737314198467372E-2"/>
    <n v="37.118386019778548"/>
    <x v="0"/>
  </r>
  <r>
    <x v="30"/>
    <s v="West"/>
    <x v="4"/>
    <x v="5"/>
    <x v="0"/>
    <s v="INR"/>
    <d v="2024-11-10T00:00:00"/>
    <d v="2025-01-08T00:00:00"/>
    <n v="7106.64"/>
    <n v="1.0810999999999999"/>
    <n v="7682.99"/>
    <n v="541756"/>
    <n v="20369"/>
    <n v="168388.76"/>
    <n v="2024"/>
    <s v="November"/>
    <s v="Q4"/>
    <s v="UK | JKL | MNO | PQR"/>
    <n v="3.7598106896831782E-2"/>
    <n v="21.917086967443666"/>
    <x v="0"/>
  </r>
  <r>
    <x v="27"/>
    <s v="North"/>
    <x v="4"/>
    <x v="1"/>
    <x v="0"/>
    <s v="GBP"/>
    <d v="2024-11-11T00:00:00"/>
    <d v="2024-12-10T00:00:00"/>
    <n v="34188.58"/>
    <n v="1.0843"/>
    <n v="37070.68"/>
    <n v="655414"/>
    <n v="37396"/>
    <n v="78732.72"/>
    <n v="2024"/>
    <s v="November"/>
    <s v="Q4"/>
    <s v="USA | DEF | GHI"/>
    <n v="5.7057066220739867E-2"/>
    <n v="2.1238542157845499"/>
    <x v="0"/>
  </r>
  <r>
    <x v="32"/>
    <s v="South"/>
    <x v="3"/>
    <x v="5"/>
    <x v="1"/>
    <s v="INR"/>
    <d v="2024-11-13T00:00:00"/>
    <d v="2025-01-09T00:00:00"/>
    <n v="22028.79"/>
    <n v="0.57389999999999997"/>
    <n v="12642.32"/>
    <n v="830738"/>
    <n v="6854"/>
    <n v="176780.51"/>
    <n v="2024"/>
    <s v="November"/>
    <s v="Q4"/>
    <s v="India | XYZ | PQR | TEST"/>
    <n v="8.2504953426952906E-3"/>
    <n v="13.983233298951459"/>
    <x v="0"/>
  </r>
  <r>
    <x v="21"/>
    <s v="North"/>
    <x v="2"/>
    <x v="5"/>
    <x v="0"/>
    <s v="USD"/>
    <d v="2024-11-13T00:00:00"/>
    <d v="2024-12-05T00:00:00"/>
    <n v="7909.15"/>
    <n v="0.25609999999999999"/>
    <n v="2025.53"/>
    <n v="889535"/>
    <n v="33438"/>
    <n v="189941.86"/>
    <n v="2024"/>
    <s v="November"/>
    <s v="Q4"/>
    <s v="UK | JKL | MNO | PQR"/>
    <n v="3.7590426458767784E-2"/>
    <n v="93.773906088776755"/>
    <x v="0"/>
  </r>
  <r>
    <x v="27"/>
    <s v="West"/>
    <x v="3"/>
    <x v="1"/>
    <x v="2"/>
    <s v="SGD"/>
    <d v="2024-11-13T00:00:00"/>
    <d v="2024-11-30T00:00:00"/>
    <n v="47470.42"/>
    <n v="1.1519999999999999"/>
    <n v="54685.919999999998"/>
    <n v="288711"/>
    <n v="7885"/>
    <n v="108168.35"/>
    <n v="2024"/>
    <s v="November"/>
    <s v="Q4"/>
    <s v="UK | JKL | MNO | PQR"/>
    <n v="2.7311048072293748E-2"/>
    <n v="1.9779926898916578"/>
    <x v="1"/>
  </r>
  <r>
    <x v="40"/>
    <s v="West"/>
    <x v="4"/>
    <x v="5"/>
    <x v="2"/>
    <s v="GBP"/>
    <d v="2024-11-13T00:00:00"/>
    <d v="2024-11-18T00:00:00"/>
    <n v="45046.52"/>
    <n v="0.56369999999999998"/>
    <n v="25392.720000000001"/>
    <n v="311603"/>
    <n v="44507"/>
    <n v="138916.54"/>
    <n v="2024"/>
    <s v="November"/>
    <s v="Q4"/>
    <s v="USA | DEF | GHI"/>
    <n v="0.14283238608100693"/>
    <n v="5.4707231048899052"/>
    <x v="0"/>
  </r>
  <r>
    <x v="2"/>
    <s v="West"/>
    <x v="4"/>
    <x v="4"/>
    <x v="0"/>
    <s v="SGD"/>
    <d v="2024-11-14T00:00:00"/>
    <d v="2024-12-19T00:00:00"/>
    <n v="7325.73"/>
    <n v="0.24740000000000001"/>
    <n v="1812.39"/>
    <n v="645173"/>
    <n v="32355"/>
    <n v="29721.41"/>
    <n v="2024"/>
    <s v="November"/>
    <s v="Q4"/>
    <s v="Australia | ABC | BCD"/>
    <n v="5.0149339789482821E-2"/>
    <n v="16.399014560883693"/>
    <x v="0"/>
  </r>
  <r>
    <x v="17"/>
    <s v="South"/>
    <x v="1"/>
    <x v="1"/>
    <x v="2"/>
    <s v="AUD"/>
    <d v="2024-11-16T00:00:00"/>
    <d v="2024-11-27T00:00:00"/>
    <n v="10054.280000000001"/>
    <n v="0.17730000000000001"/>
    <n v="1782.62"/>
    <n v="349320"/>
    <n v="16356"/>
    <n v="6673.38"/>
    <n v="2024"/>
    <s v="November"/>
    <s v="Q4"/>
    <s v="Australia | ABC | BCD"/>
    <n v="4.6822397801442803E-2"/>
    <n v="3.7435796748605989"/>
    <x v="0"/>
  </r>
  <r>
    <x v="53"/>
    <s v="West"/>
    <x v="2"/>
    <x v="1"/>
    <x v="0"/>
    <s v="AUD"/>
    <d v="2024-11-17T00:00:00"/>
    <d v="2025-01-05T00:00:00"/>
    <n v="41618.99"/>
    <n v="0.8891"/>
    <n v="37003.440000000002"/>
    <n v="728709"/>
    <n v="34597"/>
    <n v="27895.98"/>
    <n v="2024"/>
    <s v="November"/>
    <s v="Q4"/>
    <s v="USA | DEF | GHI"/>
    <n v="4.7477113635209664E-2"/>
    <n v="0.75387531537608388"/>
    <x v="0"/>
  </r>
  <r>
    <x v="50"/>
    <s v="East"/>
    <x v="4"/>
    <x v="2"/>
    <x v="2"/>
    <s v="INR"/>
    <d v="2024-11-17T00:00:00"/>
    <d v="2024-12-05T00:00:00"/>
    <n v="23939.37"/>
    <n v="0.46820000000000001"/>
    <n v="11208.41"/>
    <n v="521333"/>
    <n v="6950"/>
    <n v="88410.28"/>
    <n v="2024"/>
    <s v="November"/>
    <s v="Q4"/>
    <s v="Australia | ABC | BCD"/>
    <n v="1.333121056982773E-2"/>
    <n v="7.8878520682237712"/>
    <x v="0"/>
  </r>
  <r>
    <x v="52"/>
    <s v="West"/>
    <x v="2"/>
    <x v="1"/>
    <x v="0"/>
    <s v="USD"/>
    <d v="2024-11-19T00:00:00"/>
    <d v="2024-12-12T00:00:00"/>
    <n v="30943.4"/>
    <n v="0.83289999999999997"/>
    <n v="25772.76"/>
    <n v="633870"/>
    <n v="37605"/>
    <n v="197890.36"/>
    <n v="2024"/>
    <s v="November"/>
    <s v="Q4"/>
    <s v="USA | DEF | GHI"/>
    <n v="5.932604477258744E-2"/>
    <n v="7.6782758230007184"/>
    <x v="0"/>
  </r>
  <r>
    <x v="49"/>
    <s v="North"/>
    <x v="0"/>
    <x v="5"/>
    <x v="0"/>
    <s v="GBP"/>
    <d v="2024-11-19T00:00:00"/>
    <d v="2024-12-05T00:00:00"/>
    <n v="21244.99"/>
    <n v="1.0753999999999999"/>
    <n v="22846.86"/>
    <n v="747463"/>
    <n v="32145"/>
    <n v="191803.98"/>
    <n v="2024"/>
    <s v="November"/>
    <s v="Q4"/>
    <s v="Australia | ABC | BCD"/>
    <n v="4.3005473180612284E-2"/>
    <n v="8.395200916012092"/>
    <x v="0"/>
  </r>
  <r>
    <x v="43"/>
    <s v="West"/>
    <x v="0"/>
    <x v="3"/>
    <x v="1"/>
    <s v="GBP"/>
    <d v="2024-11-20T00:00:00"/>
    <d v="2024-12-26T00:00:00"/>
    <n v="7819.78"/>
    <n v="0.37040000000000001"/>
    <n v="2896.45"/>
    <n v="274955"/>
    <n v="43266"/>
    <n v="42765.09"/>
    <n v="2024"/>
    <s v="November"/>
    <s v="Q4"/>
    <s v="UK | JKL | MNO | PQR"/>
    <n v="0.15735665836227747"/>
    <n v="14.764656734968668"/>
    <x v="0"/>
  </r>
  <r>
    <x v="51"/>
    <s v="South"/>
    <x v="3"/>
    <x v="2"/>
    <x v="0"/>
    <s v="SGD"/>
    <d v="2024-11-20T00:00:00"/>
    <d v="2024-12-07T00:00:00"/>
    <n v="13999.02"/>
    <n v="0.19020000000000001"/>
    <n v="2662.61"/>
    <n v="863403"/>
    <n v="12362"/>
    <n v="184722.37"/>
    <n v="2024"/>
    <s v="November"/>
    <s v="Q4"/>
    <s v="India | XYZ | PQR | TEST"/>
    <n v="1.4317763547265877E-2"/>
    <n v="69.376427640548172"/>
    <x v="0"/>
  </r>
  <r>
    <x v="57"/>
    <s v="North"/>
    <x v="3"/>
    <x v="3"/>
    <x v="1"/>
    <s v="GBP"/>
    <d v="2024-11-21T00:00:00"/>
    <d v="2025-01-18T00:00:00"/>
    <n v="43165.33"/>
    <n v="0.7087"/>
    <n v="30591.27"/>
    <n v="31753"/>
    <n v="44158"/>
    <n v="206248.21"/>
    <n v="2024"/>
    <s v="November"/>
    <s v="Q4"/>
    <s v="USA | DEF | GHI"/>
    <n v="1.3906717475514125"/>
    <n v="6.7420610520583155"/>
    <x v="0"/>
  </r>
  <r>
    <x v="6"/>
    <s v="South"/>
    <x v="0"/>
    <x v="2"/>
    <x v="2"/>
    <s v="AUD"/>
    <d v="2024-11-22T00:00:00"/>
    <d v="2024-12-11T00:00:00"/>
    <n v="24102.37"/>
    <n v="0.74729999999999996"/>
    <n v="18011.7"/>
    <n v="998984"/>
    <n v="36892"/>
    <n v="85361.54"/>
    <n v="2024"/>
    <s v="November"/>
    <s v="Q4"/>
    <s v="UK | JKL | MNO | PQR"/>
    <n v="3.6929520392719004E-2"/>
    <n v="4.7392272800457471"/>
    <x v="0"/>
  </r>
  <r>
    <x v="8"/>
    <s v="South"/>
    <x v="1"/>
    <x v="2"/>
    <x v="0"/>
    <s v="GBP"/>
    <d v="2024-11-25T00:00:00"/>
    <d v="2025-01-24T00:00:00"/>
    <n v="43838.51"/>
    <n v="0.18729999999999999"/>
    <n v="8210.9500000000007"/>
    <n v="617488"/>
    <n v="15368"/>
    <n v="231579.87"/>
    <n v="2024"/>
    <s v="November"/>
    <s v="Q4"/>
    <s v="Australia | ABC | BCD"/>
    <n v="2.4887933044852692E-2"/>
    <n v="28.20378518928991"/>
    <x v="0"/>
  </r>
  <r>
    <x v="59"/>
    <s v="West"/>
    <x v="0"/>
    <x v="1"/>
    <x v="0"/>
    <s v="SGD"/>
    <d v="2024-11-25T00:00:00"/>
    <d v="2025-01-18T00:00:00"/>
    <n v="34992.32"/>
    <n v="0.40510000000000002"/>
    <n v="14175.39"/>
    <n v="676216"/>
    <n v="45164"/>
    <n v="82901.91"/>
    <n v="2024"/>
    <s v="November"/>
    <s v="Q4"/>
    <s v="UK | JKL | MNO | PQR"/>
    <n v="6.6789309924639467E-2"/>
    <n v="5.8482983536960891"/>
    <x v="0"/>
  </r>
  <r>
    <x v="22"/>
    <s v="East"/>
    <x v="1"/>
    <x v="1"/>
    <x v="1"/>
    <s v="AUD"/>
    <d v="2024-11-26T00:00:00"/>
    <d v="2024-12-29T00:00:00"/>
    <n v="47492.35"/>
    <n v="0.45269999999999999"/>
    <n v="21499.79"/>
    <n v="810152"/>
    <n v="5138"/>
    <n v="145610.84"/>
    <n v="2024"/>
    <s v="November"/>
    <s v="Q4"/>
    <s v="India | XYZ | PQR | TEST"/>
    <n v="6.3420197691297434E-3"/>
    <n v="6.7726633608979432"/>
    <x v="0"/>
  </r>
  <r>
    <x v="15"/>
    <s v="South"/>
    <x v="1"/>
    <x v="4"/>
    <x v="2"/>
    <s v="USD"/>
    <d v="2024-11-27T00:00:00"/>
    <d v="2024-12-31T00:00:00"/>
    <n v="28153.64"/>
    <n v="0.99709999999999999"/>
    <n v="28071.99"/>
    <n v="973798"/>
    <n v="37590"/>
    <n v="127958.75"/>
    <n v="2024"/>
    <s v="November"/>
    <s v="Q4"/>
    <s v="UK | JKL | MNO | PQR"/>
    <n v="3.86014347944851E-2"/>
    <n v="4.5582358072940323"/>
    <x v="0"/>
  </r>
  <r>
    <x v="34"/>
    <s v="West"/>
    <x v="0"/>
    <x v="2"/>
    <x v="1"/>
    <s v="AUD"/>
    <d v="2024-11-29T00:00:00"/>
    <d v="2025-01-07T00:00:00"/>
    <n v="37793.01"/>
    <n v="0.92459999999999998"/>
    <n v="34943.42"/>
    <n v="366699"/>
    <n v="7410"/>
    <n v="76907.53"/>
    <n v="2024"/>
    <s v="November"/>
    <s v="Q4"/>
    <s v="India | XYZ | PQR | TEST"/>
    <n v="2.0207308991843448E-2"/>
    <n v="2.2009159378217702"/>
    <x v="0"/>
  </r>
  <r>
    <x v="15"/>
    <s v="East"/>
    <x v="4"/>
    <x v="0"/>
    <x v="1"/>
    <s v="SGD"/>
    <d v="2024-11-30T00:00:00"/>
    <d v="2024-12-20T00:00:00"/>
    <n v="48202.45"/>
    <n v="1.0565"/>
    <n v="50925.89"/>
    <n v="992486"/>
    <n v="9596"/>
    <n v="93934.51"/>
    <n v="2024"/>
    <s v="November"/>
    <s v="Q4"/>
    <s v="Australia | ABC | BCD"/>
    <n v="9.6686502378874866E-3"/>
    <n v="1.8445334975981764"/>
    <x v="0"/>
  </r>
  <r>
    <x v="54"/>
    <s v="East"/>
    <x v="4"/>
    <x v="0"/>
    <x v="1"/>
    <s v="AUD"/>
    <d v="2024-12-01T00:00:00"/>
    <d v="2025-01-07T00:00:00"/>
    <n v="43167.94"/>
    <n v="0.70009999999999994"/>
    <n v="30221.87"/>
    <n v="53993"/>
    <n v="36368"/>
    <n v="180752.64000000001"/>
    <n v="2024"/>
    <s v="December"/>
    <s v="Q4"/>
    <s v="Australia | ABC | BCD"/>
    <n v="0.67356879595503116"/>
    <n v="5.9808555857066432"/>
    <x v="0"/>
  </r>
  <r>
    <x v="30"/>
    <s v="East"/>
    <x v="2"/>
    <x v="2"/>
    <x v="0"/>
    <s v="AUD"/>
    <d v="2024-12-02T00:00:00"/>
    <d v="2025-01-12T00:00:00"/>
    <n v="5390.14"/>
    <n v="0.80940000000000001"/>
    <n v="4362.78"/>
    <n v="454114"/>
    <n v="24038"/>
    <n v="90335.42"/>
    <n v="2024"/>
    <s v="December"/>
    <s v="Q4"/>
    <s v="India | XYZ | PQR | TEST"/>
    <n v="5.293384480548937E-2"/>
    <n v="20.705930622217945"/>
    <x v="0"/>
  </r>
  <r>
    <x v="6"/>
    <s v="North"/>
    <x v="0"/>
    <x v="5"/>
    <x v="1"/>
    <s v="INR"/>
    <d v="2024-12-02T00:00:00"/>
    <d v="2025-01-04T00:00:00"/>
    <n v="18224.3"/>
    <n v="0.873"/>
    <n v="15909.81"/>
    <n v="274132"/>
    <n v="12753"/>
    <n v="13340.23"/>
    <n v="2024"/>
    <s v="December"/>
    <s v="Q4"/>
    <s v="Australia | ABC | BCD"/>
    <n v="4.6521383858870911E-2"/>
    <n v="0.83849084307103605"/>
    <x v="0"/>
  </r>
  <r>
    <x v="34"/>
    <s v="West"/>
    <x v="4"/>
    <x v="3"/>
    <x v="2"/>
    <s v="GBP"/>
    <d v="2024-12-02T00:00:00"/>
    <d v="2024-12-31T00:00:00"/>
    <n v="9305.59"/>
    <n v="0.33"/>
    <n v="3070.84"/>
    <n v="291444"/>
    <n v="32417"/>
    <n v="40754.03"/>
    <n v="2024"/>
    <s v="December"/>
    <s v="Q4"/>
    <s v="Australia | ABC | BCD"/>
    <n v="0.11122891533193341"/>
    <n v="13.27129710437535"/>
    <x v="0"/>
  </r>
  <r>
    <x v="26"/>
    <s v="North"/>
    <x v="3"/>
    <x v="0"/>
    <x v="2"/>
    <s v="INR"/>
    <d v="2024-12-03T00:00:00"/>
    <d v="2024-12-27T00:00:00"/>
    <n v="47623.24"/>
    <n v="0.69689999999999996"/>
    <n v="33188.639999999999"/>
    <n v="117022"/>
    <n v="9752"/>
    <n v="117933.75999999999"/>
    <n v="2024"/>
    <s v="December"/>
    <s v="Q4"/>
    <s v="USA | DEF | GHI"/>
    <n v="8.3334757566953216E-2"/>
    <n v="3.5534375617681229"/>
    <x v="0"/>
  </r>
  <r>
    <x v="56"/>
    <s v="North"/>
    <x v="4"/>
    <x v="2"/>
    <x v="0"/>
    <s v="SGD"/>
    <d v="2024-12-04T00:00:00"/>
    <d v="2025-01-10T00:00:00"/>
    <n v="35947.910000000003"/>
    <n v="0.79249999999999998"/>
    <n v="28488.720000000001"/>
    <n v="159600"/>
    <n v="24925"/>
    <n v="144052.39000000001"/>
    <n v="2024"/>
    <s v="December"/>
    <s v="Q4"/>
    <s v="UK | JKL | MNO | PQR"/>
    <n v="0.15617167919799499"/>
    <n v="5.0564711226057195"/>
    <x v="0"/>
  </r>
  <r>
    <x v="52"/>
    <s v="East"/>
    <x v="0"/>
    <x v="4"/>
    <x v="1"/>
    <s v="SGD"/>
    <d v="2024-12-04T00:00:00"/>
    <d v="2025-01-04T00:00:00"/>
    <n v="19387.46"/>
    <n v="0.38319999999999999"/>
    <n v="7429.27"/>
    <n v="962424"/>
    <n v="29648"/>
    <n v="203094.52"/>
    <n v="2024"/>
    <s v="December"/>
    <s v="Q4"/>
    <s v="Australia | ABC | BCD"/>
    <n v="3.080554932129706E-2"/>
    <n v="27.337076186489384"/>
    <x v="0"/>
  </r>
  <r>
    <x v="42"/>
    <s v="North"/>
    <x v="4"/>
    <x v="1"/>
    <x v="1"/>
    <s v="SGD"/>
    <d v="2024-12-05T00:00:00"/>
    <d v="2025-02-03T00:00:00"/>
    <n v="3572.06"/>
    <n v="1.0611999999999999"/>
    <n v="3790.67"/>
    <n v="55168"/>
    <n v="7361"/>
    <n v="16760.830000000002"/>
    <n v="2024"/>
    <s v="December"/>
    <s v="Q4"/>
    <s v="UK | JKL | MNO | PQR"/>
    <n v="0.13342879930394433"/>
    <n v="4.4216009307061812"/>
    <x v="0"/>
  </r>
  <r>
    <x v="13"/>
    <s v="West"/>
    <x v="4"/>
    <x v="3"/>
    <x v="1"/>
    <s v="SGD"/>
    <d v="2024-12-05T00:00:00"/>
    <d v="2024-12-30T00:00:00"/>
    <n v="43471.97"/>
    <n v="1.0662"/>
    <n v="46349.81"/>
    <n v="458324"/>
    <n v="26633"/>
    <n v="195172.61"/>
    <n v="2024"/>
    <s v="December"/>
    <s v="Q4"/>
    <s v="Australia | ABC | BCD"/>
    <n v="5.8109546958047147E-2"/>
    <n v="4.2108610585458708"/>
    <x v="0"/>
  </r>
  <r>
    <x v="41"/>
    <s v="South"/>
    <x v="4"/>
    <x v="4"/>
    <x v="0"/>
    <s v="USD"/>
    <d v="2024-12-07T00:00:00"/>
    <d v="2024-12-31T00:00:00"/>
    <n v="22755.35"/>
    <n v="0.72189999999999999"/>
    <n v="16427.09"/>
    <n v="61028"/>
    <n v="24832"/>
    <n v="192942.99"/>
    <n v="2024"/>
    <s v="December"/>
    <s v="Q4"/>
    <s v="Australia | ABC | BCD"/>
    <n v="0.40689519564789933"/>
    <n v="11.745415043078232"/>
    <x v="0"/>
  </r>
  <r>
    <x v="15"/>
    <s v="North"/>
    <x v="3"/>
    <x v="5"/>
    <x v="0"/>
    <s v="SGD"/>
    <d v="2024-12-08T00:00:00"/>
    <d v="2025-01-03T00:00:00"/>
    <n v="43351.39"/>
    <n v="0.1545"/>
    <n v="6697.79"/>
    <n v="623015"/>
    <n v="44298"/>
    <n v="130151.11"/>
    <n v="2024"/>
    <s v="December"/>
    <s v="Q4"/>
    <s v="UK | JKL | MNO | PQR"/>
    <n v="7.1102621927240914E-2"/>
    <n v="19.431948448667395"/>
    <x v="0"/>
  </r>
  <r>
    <x v="27"/>
    <s v="North"/>
    <x v="0"/>
    <x v="2"/>
    <x v="2"/>
    <s v="INR"/>
    <d v="2024-12-10T00:00:00"/>
    <d v="2025-01-26T00:00:00"/>
    <n v="3302.01"/>
    <n v="0.46410000000000001"/>
    <n v="1532.46"/>
    <n v="446801"/>
    <n v="45001"/>
    <n v="81600.23"/>
    <n v="2024"/>
    <s v="December"/>
    <s v="Q4"/>
    <s v="UK | JKL | MNO | PQR"/>
    <n v="0.10071821683478775"/>
    <n v="53.24786943868029"/>
    <x v="0"/>
  </r>
  <r>
    <x v="50"/>
    <s v="East"/>
    <x v="1"/>
    <x v="4"/>
    <x v="2"/>
    <s v="INR"/>
    <d v="2024-12-10T00:00:00"/>
    <d v="2024-12-29T00:00:00"/>
    <n v="23860.3"/>
    <n v="0.2636"/>
    <n v="6289.58"/>
    <n v="514098"/>
    <n v="48241"/>
    <n v="193245.36"/>
    <n v="2024"/>
    <s v="December"/>
    <s v="Q4"/>
    <s v="Australia | ABC | BCD"/>
    <n v="9.3836194655493699E-2"/>
    <n v="30.724684319143726"/>
    <x v="0"/>
  </r>
  <r>
    <x v="40"/>
    <s v="North"/>
    <x v="4"/>
    <x v="1"/>
    <x v="2"/>
    <s v="SGD"/>
    <d v="2024-12-11T00:00:00"/>
    <d v="2025-01-07T00:00:00"/>
    <n v="16292.52"/>
    <n v="0.13220000000000001"/>
    <n v="2153.87"/>
    <n v="537786"/>
    <n v="38679"/>
    <n v="79998.2"/>
    <n v="2024"/>
    <s v="December"/>
    <s v="Q4"/>
    <s v="USA | DEF | GHI"/>
    <n v="7.192266068659281E-2"/>
    <n v="37.141610217886871"/>
    <x v="0"/>
  </r>
  <r>
    <x v="34"/>
    <s v="North"/>
    <x v="4"/>
    <x v="2"/>
    <x v="1"/>
    <s v="INR"/>
    <d v="2024-12-11T00:00:00"/>
    <d v="2024-12-22T00:00:00"/>
    <n v="27348.84"/>
    <n v="0.40389999999999998"/>
    <n v="11046.2"/>
    <n v="74076"/>
    <n v="41058"/>
    <n v="119830.06"/>
    <n v="2024"/>
    <s v="December"/>
    <s v="Q4"/>
    <s v="USA | DEF | GHI"/>
    <n v="0.55426858901668552"/>
    <n v="10.848079882674584"/>
    <x v="0"/>
  </r>
  <r>
    <x v="7"/>
    <s v="North"/>
    <x v="4"/>
    <x v="4"/>
    <x v="0"/>
    <s v="SGD"/>
    <d v="2024-12-13T00:00:00"/>
    <d v="2025-02-09T00:00:00"/>
    <n v="7800.84"/>
    <n v="0.84960000000000002"/>
    <n v="6627.59"/>
    <n v="480392"/>
    <n v="40427"/>
    <n v="6286.54"/>
    <n v="2024"/>
    <s v="December"/>
    <s v="Q4"/>
    <s v="UK | JKL | MNO | PQR"/>
    <n v="8.4154190744225546E-2"/>
    <n v="0.94854087232312201"/>
    <x v="0"/>
  </r>
  <r>
    <x v="14"/>
    <s v="East"/>
    <x v="4"/>
    <x v="4"/>
    <x v="2"/>
    <s v="GBP"/>
    <d v="2024-12-13T00:00:00"/>
    <d v="2024-12-26T00:00:00"/>
    <n v="22056.21"/>
    <n v="0.51790000000000003"/>
    <n v="11422.91"/>
    <n v="154462"/>
    <n v="7674"/>
    <n v="112298.45"/>
    <n v="2024"/>
    <s v="December"/>
    <s v="Q4"/>
    <s v="Australia | ABC | BCD"/>
    <n v="4.9682122463777498E-2"/>
    <n v="9.8309843988966037"/>
    <x v="0"/>
  </r>
  <r>
    <x v="17"/>
    <s v="West"/>
    <x v="3"/>
    <x v="5"/>
    <x v="0"/>
    <s v="GBP"/>
    <d v="2024-12-15T00:00:00"/>
    <d v="2025-01-26T00:00:00"/>
    <n v="10071.16"/>
    <n v="0.8115"/>
    <n v="8172.75"/>
    <n v="122537"/>
    <n v="11952"/>
    <n v="209511.83"/>
    <n v="2024"/>
    <s v="December"/>
    <s v="Q4"/>
    <s v="Australia | ABC | BCD"/>
    <n v="9.7537886515909486E-2"/>
    <n v="25.635414028325837"/>
    <x v="0"/>
  </r>
  <r>
    <x v="29"/>
    <s v="West"/>
    <x v="3"/>
    <x v="0"/>
    <x v="1"/>
    <s v="AUD"/>
    <d v="2024-12-17T00:00:00"/>
    <d v="2025-02-08T00:00:00"/>
    <n v="40937.54"/>
    <n v="0.44840000000000002"/>
    <n v="18356.39"/>
    <n v="658388"/>
    <n v="45069"/>
    <n v="166424.65"/>
    <n v="2024"/>
    <s v="December"/>
    <s v="Q4"/>
    <s v="Australia | ABC | BCD"/>
    <n v="6.8453556261657264E-2"/>
    <n v="9.0663060656261933"/>
    <x v="0"/>
  </r>
  <r>
    <x v="40"/>
    <s v="West"/>
    <x v="0"/>
    <x v="1"/>
    <x v="2"/>
    <s v="GBP"/>
    <d v="2024-12-17T00:00:00"/>
    <d v="2025-02-02T00:00:00"/>
    <n v="17186.07"/>
    <n v="1.0343"/>
    <n v="17775.55"/>
    <n v="350536"/>
    <n v="29806"/>
    <n v="124439.15"/>
    <n v="2024"/>
    <s v="December"/>
    <s v="Q4"/>
    <s v="India | XYZ | PQR | TEST"/>
    <n v="8.5029782960951233E-2"/>
    <n v="7.0005794476120284"/>
    <x v="0"/>
  </r>
  <r>
    <x v="43"/>
    <s v="North"/>
    <x v="4"/>
    <x v="0"/>
    <x v="2"/>
    <s v="AUD"/>
    <d v="2024-12-17T00:00:00"/>
    <d v="2025-01-31T00:00:00"/>
    <n v="49026.09"/>
    <n v="0.27389999999999998"/>
    <n v="13428.25"/>
    <n v="456772"/>
    <n v="31504"/>
    <n v="20030.68"/>
    <n v="2024"/>
    <s v="December"/>
    <s v="Q4"/>
    <s v="USA | DEF | GHI"/>
    <n v="6.8970952685366002E-2"/>
    <n v="1.4916820881350883"/>
    <x v="0"/>
  </r>
  <r>
    <x v="49"/>
    <s v="West"/>
    <x v="2"/>
    <x v="1"/>
    <x v="0"/>
    <s v="INR"/>
    <d v="2024-12-17T00:00:00"/>
    <d v="2025-01-22T00:00:00"/>
    <n v="32796.67"/>
    <n v="0.55259999999999998"/>
    <n v="18123.439999999999"/>
    <n v="440321"/>
    <n v="23150"/>
    <n v="91291.75"/>
    <n v="2024"/>
    <s v="December"/>
    <s v="Q4"/>
    <s v="UK | JKL | MNO | PQR"/>
    <n v="5.2575280306867034E-2"/>
    <n v="5.0372197551899642"/>
    <x v="0"/>
  </r>
  <r>
    <x v="16"/>
    <s v="West"/>
    <x v="4"/>
    <x v="2"/>
    <x v="2"/>
    <s v="INR"/>
    <d v="2024-12-18T00:00:00"/>
    <d v="2025-01-17T00:00:00"/>
    <n v="22863.26"/>
    <n v="0.25409999999999999"/>
    <n v="5809.55"/>
    <n v="580871"/>
    <n v="41018"/>
    <n v="198143.69"/>
    <n v="2024"/>
    <s v="December"/>
    <s v="Q4"/>
    <s v="USA | DEF | GHI"/>
    <n v="7.0614645936877551E-2"/>
    <n v="34.106546978681649"/>
    <x v="0"/>
  </r>
  <r>
    <x v="26"/>
    <s v="East"/>
    <x v="2"/>
    <x v="5"/>
    <x v="1"/>
    <s v="INR"/>
    <d v="2024-12-19T00:00:00"/>
    <d v="2025-01-02T00:00:00"/>
    <n v="11069.25"/>
    <n v="0.82599999999999996"/>
    <n v="9143.2000000000007"/>
    <n v="19756"/>
    <n v="19833"/>
    <n v="108113.51"/>
    <n v="2024"/>
    <s v="December"/>
    <s v="Q4"/>
    <s v="UK | JKL | MNO | PQR"/>
    <n v="1.0038975501113585"/>
    <n v="11.824471738559803"/>
    <x v="0"/>
  </r>
  <r>
    <x v="10"/>
    <s v="South"/>
    <x v="1"/>
    <x v="0"/>
    <x v="1"/>
    <s v="INR"/>
    <d v="2024-12-20T00:00:00"/>
    <d v="2025-02-18T00:00:00"/>
    <n v="23247.53"/>
    <n v="0.82799999999999996"/>
    <n v="19248.95"/>
    <n v="978790"/>
    <n v="17437"/>
    <n v="198017.87"/>
    <n v="2024"/>
    <s v="December"/>
    <s v="Q4"/>
    <s v="India | XYZ | PQR | TEST"/>
    <n v="1.7814853032826244E-2"/>
    <n v="10.287203717605376"/>
    <x v="0"/>
  </r>
  <r>
    <x v="58"/>
    <s v="South"/>
    <x v="4"/>
    <x v="1"/>
    <x v="0"/>
    <s v="GBP"/>
    <d v="2024-12-22T00:00:00"/>
    <d v="2025-01-09T00:00:00"/>
    <n v="11083.44"/>
    <n v="0.90529999999999999"/>
    <n v="10033.84"/>
    <n v="858014"/>
    <n v="4200"/>
    <n v="146450.23999999999"/>
    <n v="2024"/>
    <s v="December"/>
    <s v="Q4"/>
    <s v="Australia | ABC | BCD"/>
    <n v="4.8950250229017238E-3"/>
    <n v="14.595632380025991"/>
    <x v="0"/>
  </r>
  <r>
    <x v="28"/>
    <s v="North"/>
    <x v="3"/>
    <x v="5"/>
    <x v="1"/>
    <s v="AUD"/>
    <d v="2024-12-23T00:00:00"/>
    <d v="2025-02-17T00:00:00"/>
    <n v="19680.330000000002"/>
    <n v="1.1861999999999999"/>
    <n v="23344.81"/>
    <n v="840884"/>
    <n v="42830"/>
    <n v="245300.44"/>
    <n v="2024"/>
    <s v="December"/>
    <s v="Q4"/>
    <s v="Australia | ABC | BCD"/>
    <n v="5.0934492748107942E-2"/>
    <n v="10.507707708908319"/>
    <x v="0"/>
  </r>
  <r>
    <x v="56"/>
    <s v="West"/>
    <x v="2"/>
    <x v="2"/>
    <x v="0"/>
    <s v="AUD"/>
    <d v="2024-12-24T00:00:00"/>
    <d v="2025-01-27T00:00:00"/>
    <n v="9972.1200000000008"/>
    <n v="1.1836"/>
    <n v="11803"/>
    <n v="847255"/>
    <n v="30814"/>
    <n v="128046.17"/>
    <n v="2024"/>
    <s v="December"/>
    <s v="Q4"/>
    <s v="Australia | ABC | BCD"/>
    <n v="3.6369215879516789E-2"/>
    <n v="10.848612217232906"/>
    <x v="0"/>
  </r>
  <r>
    <x v="26"/>
    <s v="North"/>
    <x v="2"/>
    <x v="0"/>
    <x v="1"/>
    <s v="USD"/>
    <d v="2024-12-24T00:00:00"/>
    <d v="2025-01-01T00:00:00"/>
    <n v="46404.97"/>
    <n v="0.53100000000000003"/>
    <n v="24641.040000000001"/>
    <n v="489341"/>
    <n v="49629"/>
    <n v="32178.06"/>
    <n v="2024"/>
    <s v="December"/>
    <s v="Q4"/>
    <s v="India | XYZ | PQR | TEST"/>
    <n v="0.10142007311874542"/>
    <n v="1.3058726417391473"/>
    <x v="0"/>
  </r>
  <r>
    <x v="11"/>
    <s v="South"/>
    <x v="4"/>
    <x v="3"/>
    <x v="0"/>
    <s v="AUD"/>
    <d v="2024-12-26T00:00:00"/>
    <d v="2025-01-27T00:00:00"/>
    <n v="1082.8699999999999"/>
    <n v="1.1113999999999999"/>
    <n v="1203.5"/>
    <n v="574607"/>
    <n v="45113"/>
    <n v="181260.35"/>
    <n v="2024"/>
    <s v="December"/>
    <s v="Q4"/>
    <s v="USA | DEF | GHI"/>
    <n v="7.8511051901560547E-2"/>
    <n v="150.61100955546323"/>
    <x v="0"/>
  </r>
  <r>
    <x v="16"/>
    <s v="South"/>
    <x v="0"/>
    <x v="2"/>
    <x v="0"/>
    <s v="AUD"/>
    <d v="2024-12-26T00:00:00"/>
    <d v="2025-01-07T00:00:00"/>
    <n v="5232.93"/>
    <n v="0.72960000000000003"/>
    <n v="3817.95"/>
    <n v="404220"/>
    <n v="43117"/>
    <n v="192145.15"/>
    <n v="2024"/>
    <s v="December"/>
    <s v="Q4"/>
    <s v="USA | DEF | GHI"/>
    <n v="0.10666716144673692"/>
    <n v="50.326785316727566"/>
    <x v="0"/>
  </r>
  <r>
    <x v="36"/>
    <s v="West"/>
    <x v="0"/>
    <x v="0"/>
    <x v="0"/>
    <s v="AUD"/>
    <d v="2024-12-30T00:00:00"/>
    <d v="2025-02-22T00:00:00"/>
    <n v="34460.800000000003"/>
    <n v="0.29449999999999998"/>
    <n v="10148.709999999999"/>
    <n v="650037"/>
    <n v="39872"/>
    <n v="23374.58"/>
    <n v="2024"/>
    <s v="December"/>
    <s v="Q4"/>
    <s v="Australia | ABC | BCD"/>
    <n v="6.1338046911175823E-2"/>
    <n v="2.3032070085754746"/>
    <x v="0"/>
  </r>
  <r>
    <x v="28"/>
    <s v="West"/>
    <x v="3"/>
    <x v="3"/>
    <x v="0"/>
    <s v="SGD"/>
    <d v="2024-12-31T00:00:00"/>
    <d v="2025-01-18T00:00:00"/>
    <n v="10336.66"/>
    <n v="1.0357000000000001"/>
    <n v="10705.68"/>
    <n v="830114"/>
    <n v="17545"/>
    <n v="75550.679999999993"/>
    <n v="2024"/>
    <s v="December"/>
    <s v="Q4"/>
    <s v="India | XYZ | PQR | TEST"/>
    <n v="2.1135651247900889E-2"/>
    <n v="7.0570650346358184"/>
    <x v="0"/>
  </r>
  <r>
    <x v="35"/>
    <s v="West"/>
    <x v="0"/>
    <x v="0"/>
    <x v="0"/>
    <s v="INR"/>
    <d v="2024-12-31T00:00:00"/>
    <d v="2025-01-08T00:00:00"/>
    <n v="15603.19"/>
    <n v="0.1275"/>
    <n v="1989.41"/>
    <n v="159380"/>
    <n v="27154"/>
    <n v="223787.7"/>
    <n v="2024"/>
    <s v="December"/>
    <s v="Q4"/>
    <s v="India | XYZ | PQR | TEST"/>
    <n v="0.17037269418998618"/>
    <n v="112.48948180616364"/>
    <x v="0"/>
  </r>
  <r>
    <x v="50"/>
    <s v="East"/>
    <x v="1"/>
    <x v="0"/>
    <x v="0"/>
    <s v="GBP"/>
    <d v="2025-01-01T00:00:00"/>
    <d v="2025-01-30T00:00:00"/>
    <n v="26463.67"/>
    <n v="0.30470000000000003"/>
    <n v="8063.48"/>
    <n v="353772"/>
    <n v="33946"/>
    <n v="147680.42000000001"/>
    <n v="2025"/>
    <s v="January"/>
    <s v="Q1"/>
    <s v="UK | JKL | MNO | PQR"/>
    <n v="9.5954456542631975E-2"/>
    <n v="18.314725155888031"/>
    <x v="0"/>
  </r>
  <r>
    <x v="9"/>
    <s v="West"/>
    <x v="1"/>
    <x v="5"/>
    <x v="0"/>
    <s v="SGD"/>
    <d v="2025-01-02T00:00:00"/>
    <d v="2025-01-31T00:00:00"/>
    <n v="24885.29"/>
    <n v="0.14019999999999999"/>
    <n v="3488.92"/>
    <n v="717814"/>
    <n v="32248"/>
    <n v="166719.25"/>
    <n v="2025"/>
    <s v="January"/>
    <s v="Q1"/>
    <s v="Australia | ABC | BCD"/>
    <n v="4.4925287052077559E-2"/>
    <n v="47.785346181626402"/>
    <x v="0"/>
  </r>
  <r>
    <x v="33"/>
    <s v="East"/>
    <x v="2"/>
    <x v="0"/>
    <x v="1"/>
    <s v="USD"/>
    <d v="2025-01-02T00:00:00"/>
    <d v="2025-01-19T00:00:00"/>
    <n v="4723.83"/>
    <n v="0.83179999999999998"/>
    <n v="3929.28"/>
    <n v="667711"/>
    <n v="16015"/>
    <n v="29965.82"/>
    <n v="2025"/>
    <s v="January"/>
    <s v="Q1"/>
    <s v="USA | DEF | GHI"/>
    <n v="2.398492761089753E-2"/>
    <n v="7.6262877677335279"/>
    <x v="0"/>
  </r>
  <r>
    <x v="16"/>
    <s v="West"/>
    <x v="1"/>
    <x v="1"/>
    <x v="2"/>
    <s v="INR"/>
    <d v="2025-01-03T00:00:00"/>
    <d v="2025-02-15T00:00:00"/>
    <n v="47367.28"/>
    <n v="0.9708"/>
    <n v="45984.160000000003"/>
    <n v="713956"/>
    <n v="5003"/>
    <n v="145617.35999999999"/>
    <n v="2025"/>
    <s v="January"/>
    <s v="Q1"/>
    <s v="India | XYZ | PQR | TEST"/>
    <n v="7.0074346318260506E-3"/>
    <n v="3.166685223781406"/>
    <x v="0"/>
  </r>
  <r>
    <x v="22"/>
    <s v="West"/>
    <x v="1"/>
    <x v="4"/>
    <x v="2"/>
    <s v="USD"/>
    <d v="2025-01-04T00:00:00"/>
    <d v="2025-03-04T00:00:00"/>
    <n v="29331.47"/>
    <n v="0.71430000000000005"/>
    <n v="20951.47"/>
    <n v="296643"/>
    <n v="4508"/>
    <n v="143774.93"/>
    <n v="2025"/>
    <s v="January"/>
    <s v="Q1"/>
    <s v="USA | DEF | GHI"/>
    <n v="1.5196717940419966E-2"/>
    <n v="6.8622836488322765"/>
    <x v="0"/>
  </r>
  <r>
    <x v="32"/>
    <s v="North"/>
    <x v="4"/>
    <x v="3"/>
    <x v="1"/>
    <s v="SGD"/>
    <d v="2025-01-04T00:00:00"/>
    <d v="2025-02-05T00:00:00"/>
    <n v="43961.3"/>
    <n v="0.98609999999999998"/>
    <n v="43350.239999999998"/>
    <n v="874446"/>
    <n v="10608"/>
    <n v="176128.14"/>
    <n v="2025"/>
    <s v="January"/>
    <s v="Q1"/>
    <s v="USA | DEF | GHI"/>
    <n v="1.2131109296628952E-2"/>
    <n v="4.0629103783508471"/>
    <x v="0"/>
  </r>
  <r>
    <x v="41"/>
    <s v="West"/>
    <x v="0"/>
    <x v="2"/>
    <x v="2"/>
    <s v="INR"/>
    <d v="2025-01-06T00:00:00"/>
    <d v="2025-01-27T00:00:00"/>
    <n v="33630.699999999997"/>
    <n v="1.1423000000000001"/>
    <n v="38416.35"/>
    <n v="713176"/>
    <n v="8167"/>
    <n v="168041.71"/>
    <n v="2025"/>
    <s v="January"/>
    <s v="Q1"/>
    <s v="Australia | ABC | BCD"/>
    <n v="1.1451591192076008E-2"/>
    <n v="4.3742237354668001"/>
    <x v="0"/>
  </r>
  <r>
    <x v="55"/>
    <s v="North"/>
    <x v="0"/>
    <x v="1"/>
    <x v="2"/>
    <s v="GBP"/>
    <d v="2025-01-08T00:00:00"/>
    <d v="2025-02-02T00:00:00"/>
    <n v="39064.949999999997"/>
    <n v="0.68540000000000001"/>
    <n v="26775.119999999999"/>
    <n v="99083"/>
    <n v="3547"/>
    <n v="43117.08"/>
    <n v="2025"/>
    <s v="January"/>
    <s v="Q1"/>
    <s v="UK | JKL | MNO | PQR"/>
    <n v="3.5798270137157737E-2"/>
    <n v="1.6103412421681025"/>
    <x v="0"/>
  </r>
  <r>
    <x v="5"/>
    <s v="West"/>
    <x v="3"/>
    <x v="2"/>
    <x v="0"/>
    <s v="USD"/>
    <d v="2025-01-08T00:00:00"/>
    <d v="2025-01-16T00:00:00"/>
    <n v="29592.639999999999"/>
    <n v="0.21290000000000001"/>
    <n v="6300.27"/>
    <n v="669580"/>
    <n v="47363"/>
    <n v="156835.26999999999"/>
    <n v="2025"/>
    <s v="January"/>
    <s v="Q1"/>
    <s v="Australia | ABC | BCD"/>
    <n v="7.0735386361599803E-2"/>
    <n v="24.893420440711267"/>
    <x v="0"/>
  </r>
  <r>
    <x v="1"/>
    <s v="East"/>
    <x v="3"/>
    <x v="2"/>
    <x v="2"/>
    <s v="INR"/>
    <d v="2025-01-09T00:00:00"/>
    <d v="2025-01-22T00:00:00"/>
    <n v="21008.799999999999"/>
    <n v="0.73770000000000002"/>
    <n v="15498.19"/>
    <n v="350404"/>
    <n v="3852"/>
    <n v="158359.04999999999"/>
    <n v="2025"/>
    <s v="January"/>
    <s v="Q1"/>
    <s v="USA | DEF | GHI"/>
    <n v="1.0993025193776327E-2"/>
    <n v="10.217906090969331"/>
    <x v="0"/>
  </r>
  <r>
    <x v="1"/>
    <s v="East"/>
    <x v="1"/>
    <x v="3"/>
    <x v="2"/>
    <s v="GBP"/>
    <d v="2025-01-11T00:00:00"/>
    <d v="2025-03-06T00:00:00"/>
    <n v="29888.35"/>
    <n v="0.9859"/>
    <n v="29466.92"/>
    <n v="544117"/>
    <n v="5591"/>
    <n v="42302.82"/>
    <n v="2025"/>
    <s v="January"/>
    <s v="Q1"/>
    <s v="India | XYZ | PQR | TEST"/>
    <n v="1.0275363570702625E-2"/>
    <n v="1.435603721053982"/>
    <x v="0"/>
  </r>
  <r>
    <x v="17"/>
    <s v="South"/>
    <x v="0"/>
    <x v="0"/>
    <x v="0"/>
    <s v="SGD"/>
    <d v="2025-01-11T00:00:00"/>
    <d v="2025-02-28T00:00:00"/>
    <n v="17790.89"/>
    <n v="0.54959999999999998"/>
    <n v="9777.8700000000008"/>
    <n v="629284"/>
    <n v="4611"/>
    <n v="61304.38"/>
    <n v="2025"/>
    <s v="January"/>
    <s v="Q1"/>
    <s v="UK | JKL | MNO | PQR"/>
    <n v="7.327375239160697E-3"/>
    <n v="6.2697070016271432"/>
    <x v="0"/>
  </r>
  <r>
    <x v="51"/>
    <s v="South"/>
    <x v="4"/>
    <x v="4"/>
    <x v="2"/>
    <s v="USD"/>
    <d v="2025-01-11T00:00:00"/>
    <d v="2025-02-22T00:00:00"/>
    <n v="48853.74"/>
    <n v="0.63429999999999997"/>
    <n v="30987.93"/>
    <n v="306745"/>
    <n v="6688"/>
    <n v="208993.95"/>
    <n v="2025"/>
    <s v="January"/>
    <s v="Q1"/>
    <s v="India | XYZ | PQR | TEST"/>
    <n v="2.1803126375328042E-2"/>
    <n v="6.7443662742235446"/>
    <x v="0"/>
  </r>
  <r>
    <x v="58"/>
    <s v="East"/>
    <x v="4"/>
    <x v="2"/>
    <x v="2"/>
    <s v="GBP"/>
    <d v="2025-01-12T00:00:00"/>
    <d v="2025-02-21T00:00:00"/>
    <n v="49942.239999999998"/>
    <n v="1.0551999999999999"/>
    <n v="52699.05"/>
    <n v="231092"/>
    <n v="40106"/>
    <n v="128680.96000000001"/>
    <n v="2025"/>
    <s v="January"/>
    <s v="Q1"/>
    <s v="USA | DEF | GHI"/>
    <n v="0.17354992816713691"/>
    <n v="2.4418079642801911"/>
    <x v="0"/>
  </r>
  <r>
    <x v="12"/>
    <s v="West"/>
    <x v="2"/>
    <x v="2"/>
    <x v="2"/>
    <s v="SGD"/>
    <d v="2025-01-12T00:00:00"/>
    <d v="2025-02-16T00:00:00"/>
    <n v="49492.59"/>
    <n v="0.25040000000000001"/>
    <n v="12392.94"/>
    <n v="765781"/>
    <n v="10171"/>
    <n v="15733.72"/>
    <n v="2025"/>
    <s v="January"/>
    <s v="Q1"/>
    <s v="USA | DEF | GHI"/>
    <n v="1.3281865180776228E-2"/>
    <n v="1.2695712236160264"/>
    <x v="0"/>
  </r>
  <r>
    <x v="10"/>
    <s v="South"/>
    <x v="2"/>
    <x v="2"/>
    <x v="1"/>
    <s v="GBP"/>
    <d v="2025-01-12T00:00:00"/>
    <d v="2025-01-31T00:00:00"/>
    <n v="27051.39"/>
    <n v="0.23549999999999999"/>
    <n v="6370.6"/>
    <n v="561752"/>
    <n v="43149"/>
    <n v="65946.94"/>
    <n v="2025"/>
    <s v="January"/>
    <s v="Q1"/>
    <s v="Australia | ABC | BCD"/>
    <n v="7.6811475526566877E-2"/>
    <n v="10.351762785294948"/>
    <x v="0"/>
  </r>
  <r>
    <x v="55"/>
    <s v="North"/>
    <x v="0"/>
    <x v="5"/>
    <x v="2"/>
    <s v="AUD"/>
    <d v="2025-01-13T00:00:00"/>
    <d v="2025-03-12T00:00:00"/>
    <n v="31455"/>
    <n v="1.0402"/>
    <n v="32719.49"/>
    <n v="830628"/>
    <n v="47890"/>
    <n v="232498.79"/>
    <n v="2025"/>
    <s v="January"/>
    <s v="Q1"/>
    <s v="UK | JKL | MNO | PQR"/>
    <n v="5.7655171749567795E-2"/>
    <n v="7.1058194977977953"/>
    <x v="0"/>
  </r>
  <r>
    <x v="35"/>
    <s v="North"/>
    <x v="0"/>
    <x v="4"/>
    <x v="2"/>
    <s v="GBP"/>
    <d v="2025-01-13T00:00:00"/>
    <d v="2025-02-27T00:00:00"/>
    <n v="9196.8799999999992"/>
    <n v="0.69750000000000001"/>
    <n v="6414.82"/>
    <n v="892725"/>
    <n v="22714"/>
    <n v="18309.82"/>
    <n v="2025"/>
    <s v="January"/>
    <s v="Q1"/>
    <s v="UK | JKL | MNO | PQR"/>
    <n v="2.5443445629953234E-2"/>
    <n v="2.8542998868245721"/>
    <x v="0"/>
  </r>
  <r>
    <x v="11"/>
    <s v="North"/>
    <x v="2"/>
    <x v="4"/>
    <x v="0"/>
    <s v="SGD"/>
    <d v="2025-01-13T00:00:00"/>
    <d v="2025-02-09T00:00:00"/>
    <n v="48718.69"/>
    <n v="0.84619999999999995"/>
    <n v="41225.760000000002"/>
    <n v="112110"/>
    <n v="21813"/>
    <n v="104785.21"/>
    <n v="2025"/>
    <s v="January"/>
    <s v="Q1"/>
    <s v="UK | JKL | MNO | PQR"/>
    <n v="0.19456783516189458"/>
    <n v="2.5417411346691972"/>
    <x v="0"/>
  </r>
  <r>
    <x v="52"/>
    <s v="South"/>
    <x v="0"/>
    <x v="4"/>
    <x v="1"/>
    <s v="GBP"/>
    <d v="2025-01-14T00:00:00"/>
    <d v="2025-03-12T00:00:00"/>
    <n v="32626.71"/>
    <n v="0.18579999999999999"/>
    <n v="6062.04"/>
    <n v="117798"/>
    <n v="9697"/>
    <n v="67712.210000000006"/>
    <n v="2025"/>
    <s v="January"/>
    <s v="Q1"/>
    <s v="UK | JKL | MNO | PQR"/>
    <n v="8.2318884870710873E-2"/>
    <n v="11.169871858318324"/>
    <x v="0"/>
  </r>
  <r>
    <x v="29"/>
    <s v="East"/>
    <x v="0"/>
    <x v="5"/>
    <x v="2"/>
    <s v="USD"/>
    <d v="2025-01-16T00:00:00"/>
    <d v="2025-02-16T00:00:00"/>
    <n v="7838.82"/>
    <n v="0.7087"/>
    <n v="5555.37"/>
    <n v="100259"/>
    <n v="9513"/>
    <n v="55907.03"/>
    <n v="2025"/>
    <s v="January"/>
    <s v="Q1"/>
    <s v="Australia | ABC | BCD"/>
    <n v="9.4884249793036043E-2"/>
    <n v="10.063601524290911"/>
    <x v="0"/>
  </r>
  <r>
    <x v="7"/>
    <s v="North"/>
    <x v="3"/>
    <x v="3"/>
    <x v="1"/>
    <s v="USD"/>
    <d v="2025-01-17T00:00:00"/>
    <d v="2025-03-09T00:00:00"/>
    <n v="26793.99"/>
    <n v="1.0326"/>
    <n v="27667.47"/>
    <n v="797042"/>
    <n v="18412"/>
    <n v="118909.4"/>
    <n v="2025"/>
    <s v="January"/>
    <s v="Q1"/>
    <s v="USA | DEF | GHI"/>
    <n v="2.3100413779951371E-2"/>
    <n v="4.2978053287850315"/>
    <x v="0"/>
  </r>
  <r>
    <x v="3"/>
    <s v="East"/>
    <x v="2"/>
    <x v="5"/>
    <x v="2"/>
    <s v="INR"/>
    <d v="2025-01-19T00:00:00"/>
    <d v="2025-02-01T00:00:00"/>
    <n v="5416.54"/>
    <n v="0.36120000000000002"/>
    <n v="1956.45"/>
    <n v="793790"/>
    <n v="27330"/>
    <n v="48031.82"/>
    <n v="2025"/>
    <s v="January"/>
    <s v="Q1"/>
    <s v="USA | DEF | GHI"/>
    <n v="3.4429761019917106E-2"/>
    <n v="24.550497073781592"/>
    <x v="0"/>
  </r>
  <r>
    <x v="50"/>
    <s v="West"/>
    <x v="2"/>
    <x v="4"/>
    <x v="0"/>
    <s v="SGD"/>
    <d v="2025-01-21T00:00:00"/>
    <d v="2025-03-07T00:00:00"/>
    <n v="4746.66"/>
    <n v="9.9699999999999997E-2"/>
    <n v="473.24"/>
    <n v="29535"/>
    <n v="33338"/>
    <n v="159748.49"/>
    <n v="2025"/>
    <s v="January"/>
    <s v="Q1"/>
    <s v="USA | DEF | GHI"/>
    <n v="1.1287624851870661"/>
    <n v="337.56337165074802"/>
    <x v="0"/>
  </r>
  <r>
    <x v="26"/>
    <s v="East"/>
    <x v="2"/>
    <x v="4"/>
    <x v="2"/>
    <s v="GBP"/>
    <d v="2025-01-23T00:00:00"/>
    <d v="2025-03-20T00:00:00"/>
    <n v="46163.29"/>
    <n v="1.0853999999999999"/>
    <n v="50105.63"/>
    <n v="642829"/>
    <n v="8704"/>
    <n v="92965.84"/>
    <n v="2025"/>
    <s v="January"/>
    <s v="Q1"/>
    <s v="UK | JKL | MNO | PQR"/>
    <n v="1.3540148313159488E-2"/>
    <n v="1.8553970881116553"/>
    <x v="0"/>
  </r>
  <r>
    <x v="35"/>
    <s v="East"/>
    <x v="3"/>
    <x v="0"/>
    <x v="1"/>
    <s v="INR"/>
    <d v="2025-01-23T00:00:00"/>
    <d v="2025-03-15T00:00:00"/>
    <n v="24691.67"/>
    <n v="0.437"/>
    <n v="10790.26"/>
    <n v="239448"/>
    <n v="32058"/>
    <n v="61778.73"/>
    <n v="2025"/>
    <s v="January"/>
    <s v="Q1"/>
    <s v="USA | DEF | GHI"/>
    <n v="0.13388293074070362"/>
    <n v="5.7254162550299998"/>
    <x v="0"/>
  </r>
  <r>
    <x v="56"/>
    <s v="South"/>
    <x v="0"/>
    <x v="3"/>
    <x v="0"/>
    <s v="GBP"/>
    <d v="2025-01-24T00:00:00"/>
    <d v="2025-02-19T00:00:00"/>
    <n v="39336.94"/>
    <n v="0.49990000000000001"/>
    <n v="19664.54"/>
    <n v="712448"/>
    <n v="48272"/>
    <n v="203633.58"/>
    <n v="2025"/>
    <s v="January"/>
    <s v="Q1"/>
    <s v="India | XYZ | PQR | TEST"/>
    <n v="6.775512037369745E-2"/>
    <n v="10.355369614544758"/>
    <x v="0"/>
  </r>
  <r>
    <x v="15"/>
    <s v="East"/>
    <x v="1"/>
    <x v="5"/>
    <x v="0"/>
    <s v="GBP"/>
    <d v="2025-01-24T00:00:00"/>
    <d v="2025-02-03T00:00:00"/>
    <n v="15107.68"/>
    <n v="1.0584"/>
    <n v="15989.97"/>
    <n v="488472"/>
    <n v="22826"/>
    <n v="176577.55"/>
    <n v="2025"/>
    <s v="January"/>
    <s v="Q1"/>
    <s v="India | XYZ | PQR | TEST"/>
    <n v="4.6729392882294177E-2"/>
    <n v="11.043019467828895"/>
    <x v="0"/>
  </r>
  <r>
    <x v="47"/>
    <s v="West"/>
    <x v="4"/>
    <x v="0"/>
    <x v="0"/>
    <s v="AUD"/>
    <d v="2025-01-26T00:00:00"/>
    <d v="2025-02-21T00:00:00"/>
    <n v="7579.08"/>
    <n v="0.38790000000000002"/>
    <n v="2939.93"/>
    <n v="835198"/>
    <n v="49939"/>
    <n v="14703.83"/>
    <n v="2025"/>
    <s v="January"/>
    <s v="Q1"/>
    <s v="USA | DEF | GHI"/>
    <n v="5.9793007167162758E-2"/>
    <n v="5.0014218025599249"/>
    <x v="0"/>
  </r>
  <r>
    <x v="34"/>
    <s v="South"/>
    <x v="4"/>
    <x v="3"/>
    <x v="0"/>
    <s v="USD"/>
    <d v="2025-01-26T00:00:00"/>
    <d v="2025-02-19T00:00:00"/>
    <n v="42775.63"/>
    <n v="0.8286"/>
    <n v="35443.89"/>
    <n v="188501"/>
    <n v="20751"/>
    <n v="171953.41"/>
    <n v="2025"/>
    <s v="January"/>
    <s v="Q1"/>
    <s v="UK | JKL | MNO | PQR"/>
    <n v="0.11008429663503111"/>
    <n v="4.8514260144696308"/>
    <x v="0"/>
  </r>
  <r>
    <x v="48"/>
    <s v="West"/>
    <x v="0"/>
    <x v="0"/>
    <x v="0"/>
    <s v="SGD"/>
    <d v="2025-01-30T00:00:00"/>
    <d v="2025-03-25T00:00:00"/>
    <n v="29856.639999999999"/>
    <n v="0.72960000000000003"/>
    <n v="21783.4"/>
    <n v="259825"/>
    <n v="42714"/>
    <n v="72607"/>
    <n v="2025"/>
    <s v="January"/>
    <s v="Q1"/>
    <s v="Australia | ABC | BCD"/>
    <n v="0.16439526604445301"/>
    <n v="3.3331344050974594"/>
    <x v="0"/>
  </r>
  <r>
    <x v="40"/>
    <s v="South"/>
    <x v="2"/>
    <x v="5"/>
    <x v="2"/>
    <s v="GBP"/>
    <d v="2025-01-30T00:00:00"/>
    <d v="2025-02-10T00:00:00"/>
    <n v="7193.5"/>
    <n v="5.0599999999999999E-2"/>
    <n v="363.99"/>
    <n v="462376"/>
    <n v="1668"/>
    <n v="174061.41"/>
    <n v="2025"/>
    <s v="January"/>
    <s v="Q1"/>
    <s v="USA | DEF | GHI"/>
    <n v="3.607453674066128E-3"/>
    <n v="478.20382428088686"/>
    <x v="0"/>
  </r>
  <r>
    <x v="31"/>
    <s v="South"/>
    <x v="2"/>
    <x v="3"/>
    <x v="0"/>
    <s v="USD"/>
    <d v="2025-02-01T00:00:00"/>
    <d v="2025-03-13T00:00:00"/>
    <n v="27409.89"/>
    <n v="0.89890000000000003"/>
    <n v="24638.75"/>
    <n v="459245"/>
    <n v="38342"/>
    <n v="102853.12"/>
    <n v="2025"/>
    <s v="February"/>
    <s v="Q1"/>
    <s v="Australia | ABC | BCD"/>
    <n v="8.3489205108384409E-2"/>
    <n v="4.174445538024453"/>
    <x v="0"/>
  </r>
  <r>
    <x v="2"/>
    <s v="North"/>
    <x v="4"/>
    <x v="2"/>
    <x v="1"/>
    <s v="INR"/>
    <d v="2025-02-01T00:00:00"/>
    <d v="2025-02-27T00:00:00"/>
    <n v="13728.69"/>
    <n v="0.43880000000000002"/>
    <n v="6024.15"/>
    <n v="594572"/>
    <n v="16989"/>
    <n v="89314.37"/>
    <n v="2025"/>
    <s v="February"/>
    <s v="Q1"/>
    <s v="India | XYZ | PQR | TEST"/>
    <n v="2.8573494883714672E-2"/>
    <n v="14.826053468124133"/>
    <x v="0"/>
  </r>
  <r>
    <x v="3"/>
    <s v="East"/>
    <x v="0"/>
    <x v="1"/>
    <x v="2"/>
    <s v="AUD"/>
    <d v="2025-02-02T00:00:00"/>
    <d v="2025-03-31T00:00:00"/>
    <n v="38655.660000000003"/>
    <n v="1.0161"/>
    <n v="39278.019999999997"/>
    <n v="209903"/>
    <n v="46344"/>
    <n v="152988.34"/>
    <n v="2025"/>
    <s v="February"/>
    <s v="Q1"/>
    <s v="UK | JKL | MNO | PQR"/>
    <n v="0.22078769717440913"/>
    <n v="3.8950115102543359"/>
    <x v="0"/>
  </r>
  <r>
    <x v="44"/>
    <s v="South"/>
    <x v="1"/>
    <x v="2"/>
    <x v="1"/>
    <s v="USD"/>
    <d v="2025-02-04T00:00:00"/>
    <d v="2025-03-06T00:00:00"/>
    <n v="15481.56"/>
    <n v="7.4899999999999994E-2"/>
    <n v="1159.57"/>
    <n v="951529"/>
    <n v="15785"/>
    <n v="126247.49"/>
    <n v="2025"/>
    <s v="February"/>
    <s v="Q1"/>
    <s v="Australia | ABC | BCD"/>
    <n v="1.658908977025398E-2"/>
    <n v="108.87440171787819"/>
    <x v="0"/>
  </r>
  <r>
    <x v="32"/>
    <s v="North"/>
    <x v="3"/>
    <x v="0"/>
    <x v="1"/>
    <s v="USD"/>
    <d v="2025-02-04T00:00:00"/>
    <d v="2025-03-01T00:00:00"/>
    <n v="3801.1"/>
    <n v="0.70520000000000005"/>
    <n v="2680.54"/>
    <n v="537276"/>
    <n v="34907"/>
    <n v="43571.02"/>
    <n v="2025"/>
    <s v="February"/>
    <s v="Q1"/>
    <s v="India | XYZ | PQR | TEST"/>
    <n v="6.4970331822005817E-2"/>
    <n v="16.254568109410791"/>
    <x v="0"/>
  </r>
  <r>
    <x v="57"/>
    <s v="North"/>
    <x v="1"/>
    <x v="2"/>
    <x v="0"/>
    <s v="INR"/>
    <d v="2025-02-04T00:00:00"/>
    <d v="2025-02-14T00:00:00"/>
    <n v="29457.759999999998"/>
    <n v="0.61150000000000004"/>
    <n v="18013.419999999998"/>
    <n v="678169"/>
    <n v="25944"/>
    <n v="23333.47"/>
    <n v="2025"/>
    <s v="February"/>
    <s v="Q1"/>
    <s v="USA | DEF | GHI"/>
    <n v="3.8255950950279352E-2"/>
    <n v="1.2953381423405441"/>
    <x v="0"/>
  </r>
  <r>
    <x v="26"/>
    <s v="East"/>
    <x v="3"/>
    <x v="0"/>
    <x v="2"/>
    <s v="SGD"/>
    <d v="2025-02-04T00:00:00"/>
    <d v="2025-02-10T00:00:00"/>
    <n v="18497.599999999999"/>
    <n v="9.0399999999999994E-2"/>
    <n v="1672.18"/>
    <n v="262838"/>
    <n v="48134"/>
    <n v="165990.57999999999"/>
    <n v="2025"/>
    <s v="February"/>
    <s v="Q1"/>
    <s v="USA | DEF | GHI"/>
    <n v="0.18313181503435577"/>
    <n v="99.26597615089284"/>
    <x v="0"/>
  </r>
  <r>
    <x v="26"/>
    <s v="East"/>
    <x v="4"/>
    <x v="3"/>
    <x v="1"/>
    <s v="SGD"/>
    <d v="2025-02-05T00:00:00"/>
    <d v="2025-04-06T00:00:00"/>
    <n v="46375.95"/>
    <n v="1.0532999999999999"/>
    <n v="48847.79"/>
    <n v="19717"/>
    <n v="19655"/>
    <n v="144150.66"/>
    <n v="2025"/>
    <s v="February"/>
    <s v="Q1"/>
    <s v="UK | JKL | MNO | PQR"/>
    <n v="0.9968555054014302"/>
    <n v="2.9510170265635356"/>
    <x v="0"/>
  </r>
  <r>
    <x v="1"/>
    <s v="South"/>
    <x v="1"/>
    <x v="0"/>
    <x v="0"/>
    <s v="GBP"/>
    <d v="2025-02-06T00:00:00"/>
    <d v="2025-03-15T00:00:00"/>
    <n v="41306.019999999997"/>
    <n v="0.68030000000000002"/>
    <n v="28100.49"/>
    <n v="705350"/>
    <n v="38482"/>
    <n v="57037.06"/>
    <n v="2025"/>
    <s v="February"/>
    <s v="Q1"/>
    <s v="Australia | ABC | BCD"/>
    <n v="5.4557311972779472E-2"/>
    <n v="2.0297532178264506"/>
    <x v="0"/>
  </r>
  <r>
    <x v="18"/>
    <s v="West"/>
    <x v="1"/>
    <x v="5"/>
    <x v="0"/>
    <s v="AUD"/>
    <d v="2025-02-08T00:00:00"/>
    <d v="2025-03-09T00:00:00"/>
    <n v="9852.9500000000007"/>
    <n v="0.96919999999999995"/>
    <n v="9549.48"/>
    <n v="720737"/>
    <n v="34944"/>
    <n v="140159.57"/>
    <n v="2025"/>
    <s v="February"/>
    <s v="Q1"/>
    <s v="Australia | ABC | BCD"/>
    <n v="4.848370487431615E-2"/>
    <n v="14.677193941450216"/>
    <x v="0"/>
  </r>
  <r>
    <x v="46"/>
    <s v="East"/>
    <x v="1"/>
    <x v="0"/>
    <x v="1"/>
    <s v="AUD"/>
    <d v="2025-02-08T00:00:00"/>
    <d v="2025-02-28T00:00:00"/>
    <n v="42153.279999999999"/>
    <n v="0.34"/>
    <n v="14332.12"/>
    <n v="825451"/>
    <n v="34263"/>
    <n v="123726.27"/>
    <n v="2025"/>
    <s v="February"/>
    <s v="Q1"/>
    <s v="India | XYZ | PQR | TEST"/>
    <n v="4.1508217931773055E-2"/>
    <n v="8.6327961250673315"/>
    <x v="0"/>
  </r>
  <r>
    <x v="54"/>
    <s v="East"/>
    <x v="3"/>
    <x v="2"/>
    <x v="0"/>
    <s v="USD"/>
    <d v="2025-02-09T00:00:00"/>
    <d v="2025-04-08T00:00:00"/>
    <n v="21656.68"/>
    <n v="1.0035000000000001"/>
    <n v="21732.48"/>
    <n v="503152"/>
    <n v="1370"/>
    <n v="188510.94"/>
    <n v="2025"/>
    <s v="February"/>
    <s v="Q1"/>
    <s v="Australia | ABC | BCD"/>
    <n v="2.7228352466053996E-3"/>
    <n v="8.6741568380598988"/>
    <x v="0"/>
  </r>
  <r>
    <x v="16"/>
    <s v="South"/>
    <x v="2"/>
    <x v="4"/>
    <x v="2"/>
    <s v="GBP"/>
    <d v="2025-02-09T00:00:00"/>
    <d v="2025-04-05T00:00:00"/>
    <n v="29438.799999999999"/>
    <n v="0.96799999999999997"/>
    <n v="28496.76"/>
    <n v="901090"/>
    <n v="46603"/>
    <n v="79498.13"/>
    <n v="2025"/>
    <s v="February"/>
    <s v="Q1"/>
    <s v="USA | DEF | GHI"/>
    <n v="5.1718474292246054E-2"/>
    <n v="2.7897252178844196"/>
    <x v="0"/>
  </r>
  <r>
    <x v="55"/>
    <s v="South"/>
    <x v="2"/>
    <x v="0"/>
    <x v="2"/>
    <s v="SGD"/>
    <d v="2025-02-09T00:00:00"/>
    <d v="2025-03-30T00:00:00"/>
    <n v="33705.949999999997"/>
    <n v="0.112"/>
    <n v="3775.07"/>
    <n v="370491"/>
    <n v="35584"/>
    <n v="106426.73"/>
    <n v="2025"/>
    <s v="February"/>
    <s v="Q1"/>
    <s v="UK | JKL | MNO | PQR"/>
    <n v="9.6045517974795602E-2"/>
    <n v="28.191988492928605"/>
    <x v="0"/>
  </r>
  <r>
    <x v="11"/>
    <s v="South"/>
    <x v="2"/>
    <x v="3"/>
    <x v="0"/>
    <s v="SGD"/>
    <d v="2025-02-10T00:00:00"/>
    <d v="2025-03-21T00:00:00"/>
    <n v="2583.0100000000002"/>
    <n v="0.97870000000000001"/>
    <n v="2527.9899999999998"/>
    <n v="117458"/>
    <n v="40477"/>
    <n v="217668.67"/>
    <n v="2025"/>
    <s v="February"/>
    <s v="Q1"/>
    <s v="USA | DEF | GHI"/>
    <n v="0.34460828551482231"/>
    <n v="86.103453732016362"/>
    <x v="0"/>
  </r>
  <r>
    <x v="6"/>
    <s v="East"/>
    <x v="4"/>
    <x v="4"/>
    <x v="2"/>
    <s v="USD"/>
    <d v="2025-02-11T00:00:00"/>
    <d v="2025-03-24T00:00:00"/>
    <n v="38233.980000000003"/>
    <n v="0.54420000000000002"/>
    <n v="20806.93"/>
    <n v="979045"/>
    <n v="37094"/>
    <n v="162533"/>
    <n v="2025"/>
    <s v="February"/>
    <s v="Q1"/>
    <s v="UK | JKL | MNO | PQR"/>
    <n v="3.7887941820856037E-2"/>
    <n v="7.8114839623144787"/>
    <x v="0"/>
  </r>
  <r>
    <x v="27"/>
    <s v="West"/>
    <x v="3"/>
    <x v="2"/>
    <x v="2"/>
    <s v="GBP"/>
    <d v="2025-02-12T00:00:00"/>
    <d v="2025-03-17T00:00:00"/>
    <n v="31019.96"/>
    <n v="0.8659"/>
    <n v="26860.18"/>
    <n v="539298"/>
    <n v="28066"/>
    <n v="208489.45"/>
    <n v="2025"/>
    <s v="February"/>
    <s v="Q1"/>
    <s v="USA | DEF | GHI"/>
    <n v="5.2041728320891233E-2"/>
    <n v="7.7620272835103865"/>
    <x v="0"/>
  </r>
  <r>
    <x v="3"/>
    <s v="East"/>
    <x v="0"/>
    <x v="3"/>
    <x v="0"/>
    <s v="GBP"/>
    <d v="2025-02-12T00:00:00"/>
    <d v="2025-02-25T00:00:00"/>
    <n v="31145.22"/>
    <n v="0.36980000000000002"/>
    <n v="11517.5"/>
    <n v="264432"/>
    <n v="38132"/>
    <n v="130490.66"/>
    <n v="2025"/>
    <s v="February"/>
    <s v="Q1"/>
    <s v="Australia | ABC | BCD"/>
    <n v="0.14420342469897743"/>
    <n v="11.329772954200131"/>
    <x v="0"/>
  </r>
  <r>
    <x v="14"/>
    <s v="West"/>
    <x v="1"/>
    <x v="2"/>
    <x v="1"/>
    <s v="SGD"/>
    <d v="2025-02-14T00:00:00"/>
    <d v="2025-03-17T00:00:00"/>
    <n v="3278.52"/>
    <n v="0.76359999999999995"/>
    <n v="2503.48"/>
    <n v="714791"/>
    <n v="38688"/>
    <n v="35188.699999999997"/>
    <n v="2025"/>
    <s v="February"/>
    <s v="Q1"/>
    <s v="India | XYZ | PQR | TEST"/>
    <n v="5.4124912037224866E-2"/>
    <n v="14.055914167478868"/>
    <x v="0"/>
  </r>
  <r>
    <x v="48"/>
    <s v="North"/>
    <x v="3"/>
    <x v="0"/>
    <x v="1"/>
    <s v="SGD"/>
    <d v="2025-02-14T00:00:00"/>
    <d v="2025-03-17T00:00:00"/>
    <n v="9234.49"/>
    <n v="0.45019999999999999"/>
    <n v="4157.37"/>
    <n v="183021"/>
    <n v="28848"/>
    <n v="64692.93"/>
    <n v="2025"/>
    <s v="February"/>
    <s v="Q1"/>
    <s v="UK | JKL | MNO | PQR"/>
    <n v="0.15762125657711409"/>
    <n v="15.561022954415893"/>
    <x v="0"/>
  </r>
  <r>
    <x v="29"/>
    <s v="North"/>
    <x v="4"/>
    <x v="0"/>
    <x v="2"/>
    <s v="INR"/>
    <d v="2025-02-14T00:00:00"/>
    <d v="2025-03-12T00:00:00"/>
    <n v="48100.7"/>
    <n v="0.55600000000000005"/>
    <n v="26743.99"/>
    <n v="493100"/>
    <n v="38558"/>
    <n v="216195.7"/>
    <n v="2025"/>
    <s v="February"/>
    <s v="Q1"/>
    <s v="India | XYZ | PQR | TEST"/>
    <n v="7.8195092273372541E-2"/>
    <n v="8.0838984758818704"/>
    <x v="0"/>
  </r>
  <r>
    <x v="36"/>
    <s v="West"/>
    <x v="3"/>
    <x v="2"/>
    <x v="0"/>
    <s v="INR"/>
    <d v="2025-02-14T00:00:00"/>
    <d v="2025-03-06T00:00:00"/>
    <n v="31368.55"/>
    <n v="8.1299999999999997E-2"/>
    <n v="2550.2600000000002"/>
    <n v="402716"/>
    <n v="32784"/>
    <n v="77670.61"/>
    <n v="2025"/>
    <s v="February"/>
    <s v="Q1"/>
    <s v="UK | JKL | MNO | PQR"/>
    <n v="8.1407244807755338E-2"/>
    <n v="30.455957431791266"/>
    <x v="0"/>
  </r>
  <r>
    <x v="55"/>
    <s v="East"/>
    <x v="0"/>
    <x v="0"/>
    <x v="2"/>
    <s v="USD"/>
    <d v="2025-02-16T00:00:00"/>
    <d v="2025-04-13T00:00:00"/>
    <n v="8823.31"/>
    <n v="0.51290000000000002"/>
    <n v="4525.4799999999996"/>
    <n v="301369"/>
    <n v="10289"/>
    <n v="57751.87"/>
    <n v="2025"/>
    <s v="February"/>
    <s v="Q1"/>
    <s v="USA | DEF | GHI"/>
    <n v="3.4140870494310964E-2"/>
    <n v="12.761490493826072"/>
    <x v="0"/>
  </r>
  <r>
    <x v="51"/>
    <s v="East"/>
    <x v="0"/>
    <x v="0"/>
    <x v="0"/>
    <s v="GBP"/>
    <d v="2025-02-16T00:00:00"/>
    <d v="2025-04-04T00:00:00"/>
    <n v="11865.61"/>
    <n v="0.41620000000000001"/>
    <n v="4938.47"/>
    <n v="880196"/>
    <n v="41627"/>
    <n v="241286.25"/>
    <n v="2025"/>
    <s v="February"/>
    <s v="Q1"/>
    <s v="India | XYZ | PQR | TEST"/>
    <n v="4.7292875677689972E-2"/>
    <n v="48.858502734652632"/>
    <x v="0"/>
  </r>
  <r>
    <x v="53"/>
    <s v="South"/>
    <x v="4"/>
    <x v="2"/>
    <x v="2"/>
    <s v="USD"/>
    <d v="2025-02-17T00:00:00"/>
    <d v="2025-04-12T00:00:00"/>
    <n v="15207.97"/>
    <n v="0.25169999999999998"/>
    <n v="3827.85"/>
    <n v="591409"/>
    <n v="2677"/>
    <n v="242040.68"/>
    <n v="2025"/>
    <s v="February"/>
    <s v="Q1"/>
    <s v="USA | DEF | GHI"/>
    <n v="4.5264782916729371E-3"/>
    <n v="63.231495487022741"/>
    <x v="0"/>
  </r>
  <r>
    <x v="43"/>
    <s v="West"/>
    <x v="1"/>
    <x v="3"/>
    <x v="2"/>
    <s v="GBP"/>
    <d v="2025-02-18T00:00:00"/>
    <d v="2025-04-13T00:00:00"/>
    <n v="9261.68"/>
    <n v="0.91969999999999996"/>
    <n v="8517.9699999999993"/>
    <n v="523358"/>
    <n v="5869"/>
    <n v="36704.46"/>
    <n v="2025"/>
    <s v="February"/>
    <s v="Q1"/>
    <s v="Australia | ABC | BCD"/>
    <n v="1.1214121117858139E-2"/>
    <n v="4.3090619008989233"/>
    <x v="0"/>
  </r>
  <r>
    <x v="9"/>
    <s v="East"/>
    <x v="1"/>
    <x v="0"/>
    <x v="1"/>
    <s v="USD"/>
    <d v="2025-02-18T00:00:00"/>
    <d v="2025-03-17T00:00:00"/>
    <n v="28551.73"/>
    <n v="0.70350000000000001"/>
    <n v="20086.14"/>
    <n v="998464"/>
    <n v="43822"/>
    <n v="178980.29"/>
    <n v="2025"/>
    <s v="February"/>
    <s v="Q1"/>
    <s v="Australia | ABC | BCD"/>
    <n v="4.3889414140119223E-2"/>
    <n v="8.9106363890722662"/>
    <x v="0"/>
  </r>
  <r>
    <x v="15"/>
    <s v="East"/>
    <x v="2"/>
    <x v="2"/>
    <x v="0"/>
    <s v="USD"/>
    <d v="2025-02-18T00:00:00"/>
    <d v="2025-03-15T00:00:00"/>
    <n v="7057.15"/>
    <n v="0.14130000000000001"/>
    <n v="997.18"/>
    <n v="152514"/>
    <n v="32593"/>
    <n v="191757.05"/>
    <n v="2025"/>
    <s v="February"/>
    <s v="Q1"/>
    <s v="USA | DEF | GHI"/>
    <n v="0.21370497134689276"/>
    <n v="192.29933412222468"/>
    <x v="0"/>
  </r>
  <r>
    <x v="32"/>
    <s v="West"/>
    <x v="0"/>
    <x v="0"/>
    <x v="0"/>
    <s v="AUD"/>
    <d v="2025-02-18T00:00:00"/>
    <d v="2025-03-12T00:00:00"/>
    <n v="6009.34"/>
    <n v="0.1139"/>
    <n v="684.46"/>
    <n v="461914"/>
    <n v="29515"/>
    <n v="141461.32999999999"/>
    <n v="2025"/>
    <s v="February"/>
    <s v="Q1"/>
    <s v="Australia | ABC | BCD"/>
    <n v="6.3897175664734129E-2"/>
    <n v="206.67581743272066"/>
    <x v="0"/>
  </r>
  <r>
    <x v="22"/>
    <s v="East"/>
    <x v="0"/>
    <x v="5"/>
    <x v="0"/>
    <s v="USD"/>
    <d v="2025-02-19T00:00:00"/>
    <d v="2025-03-11T00:00:00"/>
    <n v="34336.75"/>
    <n v="0.71899999999999997"/>
    <n v="24688.12"/>
    <n v="835618"/>
    <n v="5465"/>
    <n v="133749.13"/>
    <n v="2025"/>
    <s v="February"/>
    <s v="Q1"/>
    <s v="India | XYZ | PQR | TEST"/>
    <n v="6.5400697447876898E-3"/>
    <n v="5.4175502225361836"/>
    <x v="0"/>
  </r>
  <r>
    <x v="28"/>
    <s v="East"/>
    <x v="1"/>
    <x v="4"/>
    <x v="1"/>
    <s v="AUD"/>
    <d v="2025-02-21T00:00:00"/>
    <d v="2025-04-21T00:00:00"/>
    <n v="27532.22"/>
    <n v="6.0299999999999999E-2"/>
    <n v="1660.19"/>
    <n v="515719"/>
    <n v="24426"/>
    <n v="157063.53"/>
    <n v="2025"/>
    <s v="February"/>
    <s v="Q1"/>
    <s v="UK | JKL | MNO | PQR"/>
    <n v="4.7363001944857569E-2"/>
    <n v="94.605755967690442"/>
    <x v="0"/>
  </r>
  <r>
    <x v="26"/>
    <s v="South"/>
    <x v="3"/>
    <x v="5"/>
    <x v="2"/>
    <s v="SGD"/>
    <d v="2025-02-23T00:00:00"/>
    <d v="2025-04-09T00:00:00"/>
    <n v="29251.62"/>
    <n v="0.81259999999999999"/>
    <n v="23769.87"/>
    <n v="746677"/>
    <n v="43697"/>
    <n v="109633.37"/>
    <n v="2025"/>
    <s v="February"/>
    <s v="Q1"/>
    <s v="USA | DEF | GHI"/>
    <n v="5.852195795504616E-2"/>
    <n v="4.612283113033433"/>
    <x v="0"/>
  </r>
  <r>
    <x v="12"/>
    <s v="South"/>
    <x v="2"/>
    <x v="3"/>
    <x v="1"/>
    <s v="INR"/>
    <d v="2025-02-24T00:00:00"/>
    <d v="2025-04-19T00:00:00"/>
    <n v="28091.82"/>
    <n v="0.78939999999999999"/>
    <n v="22175.68"/>
    <n v="553842"/>
    <n v="13892"/>
    <n v="93713.95"/>
    <n v="2025"/>
    <s v="February"/>
    <s v="Q1"/>
    <s v="USA | DEF | GHI"/>
    <n v="2.5082965900022028E-2"/>
    <n v="4.2259786396629098"/>
    <x v="0"/>
  </r>
  <r>
    <x v="56"/>
    <s v="North"/>
    <x v="3"/>
    <x v="5"/>
    <x v="2"/>
    <s v="AUD"/>
    <d v="2025-02-24T00:00:00"/>
    <d v="2025-04-07T00:00:00"/>
    <n v="49980.68"/>
    <n v="1.169"/>
    <n v="58427.41"/>
    <n v="114998"/>
    <n v="16343"/>
    <n v="165931.78"/>
    <n v="2025"/>
    <s v="February"/>
    <s v="Q1"/>
    <s v="India | XYZ | PQR | TEST"/>
    <n v="0.14211551505243569"/>
    <n v="2.8399646672683247"/>
    <x v="1"/>
  </r>
  <r>
    <x v="23"/>
    <s v="West"/>
    <x v="0"/>
    <x v="1"/>
    <x v="1"/>
    <s v="INR"/>
    <d v="2025-02-24T00:00:00"/>
    <d v="2025-04-01T00:00:00"/>
    <n v="13349.17"/>
    <n v="0.38059999999999999"/>
    <n v="5080.6899999999996"/>
    <n v="364280"/>
    <n v="9970"/>
    <n v="13944.88"/>
    <n v="2025"/>
    <s v="February"/>
    <s v="Q1"/>
    <s v="UK | JKL | MNO | PQR"/>
    <n v="2.7369056769517952E-2"/>
    <n v="2.7446823167719345"/>
    <x v="0"/>
  </r>
  <r>
    <x v="21"/>
    <s v="South"/>
    <x v="3"/>
    <x v="1"/>
    <x v="2"/>
    <s v="GBP"/>
    <d v="2025-02-24T00:00:00"/>
    <d v="2025-03-01T00:00:00"/>
    <n v="6578"/>
    <n v="0.40660000000000002"/>
    <n v="2674.61"/>
    <n v="425287"/>
    <n v="47574"/>
    <n v="144385.78"/>
    <n v="2025"/>
    <s v="February"/>
    <s v="Q1"/>
    <s v="UK | JKL | MNO | PQR"/>
    <n v="0.11186328291248028"/>
    <n v="53.983863067886531"/>
    <x v="0"/>
  </r>
  <r>
    <x v="8"/>
    <s v="South"/>
    <x v="1"/>
    <x v="2"/>
    <x v="0"/>
    <s v="SGD"/>
    <d v="2025-02-25T00:00:00"/>
    <d v="2025-04-16T00:00:00"/>
    <n v="13199.16"/>
    <n v="0.92779999999999996"/>
    <n v="12246.18"/>
    <n v="474478"/>
    <n v="16298"/>
    <n v="185716.66"/>
    <n v="2025"/>
    <s v="February"/>
    <s v="Q1"/>
    <s v="India | XYZ | PQR | TEST"/>
    <n v="3.4349327049936984E-2"/>
    <n v="15.165272762608421"/>
    <x v="0"/>
  </r>
  <r>
    <x v="42"/>
    <s v="South"/>
    <x v="3"/>
    <x v="1"/>
    <x v="1"/>
    <s v="INR"/>
    <d v="2025-02-25T00:00:00"/>
    <d v="2025-03-10T00:00:00"/>
    <n v="22198.3"/>
    <n v="1.0936999999999999"/>
    <n v="24278.28"/>
    <n v="68104"/>
    <n v="8237"/>
    <n v="131935.01999999999"/>
    <n v="2025"/>
    <s v="February"/>
    <s v="Q1"/>
    <s v="USA | DEF | GHI"/>
    <n v="0.12094737460354751"/>
    <n v="5.4342820002075927"/>
    <x v="0"/>
  </r>
  <r>
    <x v="20"/>
    <s v="East"/>
    <x v="3"/>
    <x v="5"/>
    <x v="1"/>
    <s v="SGD"/>
    <d v="2025-02-26T00:00:00"/>
    <d v="2025-03-29T00:00:00"/>
    <n v="41343.629999999997"/>
    <n v="9.7799999999999998E-2"/>
    <n v="4043.41"/>
    <n v="342427"/>
    <n v="42196"/>
    <n v="23170.43"/>
    <n v="2025"/>
    <s v="February"/>
    <s v="Q1"/>
    <s v="India | XYZ | PQR | TEST"/>
    <n v="0.12322626428406638"/>
    <n v="5.730418137166402"/>
    <x v="0"/>
  </r>
  <r>
    <x v="45"/>
    <s v="East"/>
    <x v="3"/>
    <x v="0"/>
    <x v="2"/>
    <s v="GBP"/>
    <d v="2025-02-28T00:00:00"/>
    <d v="2025-04-29T00:00:00"/>
    <n v="20546.95"/>
    <n v="3.44E-2"/>
    <n v="706.82"/>
    <n v="228337"/>
    <n v="10778"/>
    <n v="100183.21"/>
    <n v="2025"/>
    <s v="February"/>
    <s v="Q1"/>
    <s v="UK | JKL | MNO | PQR"/>
    <n v="4.7202161717111113E-2"/>
    <n v="141.73793893777764"/>
    <x v="0"/>
  </r>
  <r>
    <x v="23"/>
    <s v="North"/>
    <x v="1"/>
    <x v="3"/>
    <x v="1"/>
    <s v="INR"/>
    <d v="2025-02-28T00:00:00"/>
    <d v="2025-04-22T00:00:00"/>
    <n v="36390.019999999997"/>
    <n v="0.61639999999999995"/>
    <n v="22430.81"/>
    <n v="522357"/>
    <n v="41714"/>
    <n v="173679.9"/>
    <n v="2025"/>
    <s v="February"/>
    <s v="Q1"/>
    <s v="India | XYZ | PQR | TEST"/>
    <n v="7.9857262370371218E-2"/>
    <n v="7.7429169967558007"/>
    <x v="0"/>
  </r>
  <r>
    <x v="17"/>
    <s v="West"/>
    <x v="0"/>
    <x v="0"/>
    <x v="1"/>
    <s v="AUD"/>
    <d v="2025-03-01T00:00:00"/>
    <d v="2025-04-26T00:00:00"/>
    <n v="45946.15"/>
    <n v="0.95679999999999998"/>
    <n v="43961.279999999999"/>
    <n v="120553"/>
    <n v="11503"/>
    <n v="183399.97"/>
    <n v="2025"/>
    <s v="March"/>
    <s v="Q1"/>
    <s v="Australia | ABC | BCD"/>
    <n v="9.5418612560450589E-2"/>
    <n v="4.1718523664461094"/>
    <x v="0"/>
  </r>
  <r>
    <x v="53"/>
    <s v="West"/>
    <x v="2"/>
    <x v="0"/>
    <x v="2"/>
    <s v="AUD"/>
    <d v="2025-03-03T00:00:00"/>
    <d v="2025-03-15T00:00:00"/>
    <n v="42477.56"/>
    <n v="1.0342"/>
    <n v="43930.29"/>
    <n v="86054"/>
    <n v="24583"/>
    <n v="177611.81"/>
    <n v="2025"/>
    <s v="March"/>
    <s v="Q1"/>
    <s v="USA | DEF | GHI"/>
    <n v="0.2856694633602157"/>
    <n v="4.0430375032807655"/>
    <x v="0"/>
  </r>
  <r>
    <x v="43"/>
    <s v="South"/>
    <x v="1"/>
    <x v="3"/>
    <x v="2"/>
    <s v="SGD"/>
    <d v="2025-03-04T00:00:00"/>
    <d v="2025-04-21T00:00:00"/>
    <n v="32812.36"/>
    <n v="0.63119999999999998"/>
    <n v="20711.16"/>
    <n v="398368"/>
    <n v="2946"/>
    <n v="175922.49"/>
    <n v="2025"/>
    <s v="March"/>
    <s v="Q1"/>
    <s v="Australia | ABC | BCD"/>
    <n v="7.3951723029962247E-3"/>
    <n v="8.4940915912001067"/>
    <x v="0"/>
  </r>
  <r>
    <x v="32"/>
    <s v="North"/>
    <x v="1"/>
    <x v="0"/>
    <x v="2"/>
    <s v="USD"/>
    <d v="2025-03-04T00:00:00"/>
    <d v="2025-04-08T00:00:00"/>
    <n v="38109.370000000003"/>
    <n v="6.0600000000000001E-2"/>
    <n v="2309.4299999999998"/>
    <n v="123054"/>
    <n v="2249"/>
    <n v="199298.52"/>
    <n v="2025"/>
    <s v="March"/>
    <s v="Q1"/>
    <s v="Australia | ABC | BCD"/>
    <n v="1.8276529003526908E-2"/>
    <n v="86.297709824502149"/>
    <x v="0"/>
  </r>
  <r>
    <x v="8"/>
    <s v="West"/>
    <x v="4"/>
    <x v="4"/>
    <x v="1"/>
    <s v="AUD"/>
    <d v="2025-03-06T00:00:00"/>
    <d v="2025-04-08T00:00:00"/>
    <n v="1919.47"/>
    <n v="0.60229999999999995"/>
    <n v="1156.0999999999999"/>
    <n v="694578"/>
    <n v="42065"/>
    <n v="5212.57"/>
    <n v="2025"/>
    <s v="March"/>
    <s v="Q1"/>
    <s v="UK | JKL | MNO | PQR"/>
    <n v="6.0561952725251882E-2"/>
    <n v="4.5087535680304471"/>
    <x v="0"/>
  </r>
  <r>
    <x v="19"/>
    <s v="East"/>
    <x v="0"/>
    <x v="0"/>
    <x v="2"/>
    <s v="GBP"/>
    <d v="2025-03-06T00:00:00"/>
    <d v="2025-04-06T00:00:00"/>
    <n v="34031.15"/>
    <n v="0.8024"/>
    <n v="27306.59"/>
    <n v="644960"/>
    <n v="17157"/>
    <n v="199984.71"/>
    <n v="2025"/>
    <s v="March"/>
    <s v="Q1"/>
    <s v="India | XYZ | PQR | TEST"/>
    <n v="2.660164971471099E-2"/>
    <n v="7.3236793755646525"/>
    <x v="0"/>
  </r>
  <r>
    <x v="31"/>
    <s v="West"/>
    <x v="0"/>
    <x v="0"/>
    <x v="0"/>
    <s v="SGD"/>
    <d v="2025-03-07T00:00:00"/>
    <d v="2025-03-29T00:00:00"/>
    <n v="8170.15"/>
    <n v="0.9597"/>
    <n v="7840.89"/>
    <n v="296939"/>
    <n v="746"/>
    <n v="28996.98"/>
    <n v="2025"/>
    <s v="March"/>
    <s v="Q1"/>
    <s v="USA | DEF | GHI"/>
    <n v="2.5123005061645659E-3"/>
    <n v="3.6981745694685166"/>
    <x v="0"/>
  </r>
  <r>
    <x v="7"/>
    <s v="East"/>
    <x v="1"/>
    <x v="2"/>
    <x v="2"/>
    <s v="INR"/>
    <d v="2025-03-07T00:00:00"/>
    <d v="2025-03-22T00:00:00"/>
    <n v="1765.89"/>
    <n v="0.58950000000000002"/>
    <n v="1040.99"/>
    <n v="16658"/>
    <n v="573"/>
    <n v="48956.15"/>
    <n v="2025"/>
    <s v="March"/>
    <s v="Q1"/>
    <s v="India | XYZ | PQR | TEST"/>
    <n v="3.4397886901188619E-2"/>
    <n v="47.028453683512808"/>
    <x v="0"/>
  </r>
  <r>
    <x v="27"/>
    <s v="South"/>
    <x v="0"/>
    <x v="3"/>
    <x v="0"/>
    <s v="GBP"/>
    <d v="2025-03-08T00:00:00"/>
    <d v="2025-04-09T00:00:00"/>
    <n v="11723.22"/>
    <n v="0.96689999999999998"/>
    <n v="11335.18"/>
    <n v="739716"/>
    <n v="34044"/>
    <n v="118814.72"/>
    <n v="2025"/>
    <s v="March"/>
    <s v="Q1"/>
    <s v="USA | DEF | GHI"/>
    <n v="4.6023068312703794E-2"/>
    <n v="10.481943824447429"/>
    <x v="0"/>
  </r>
  <r>
    <x v="13"/>
    <s v="South"/>
    <x v="2"/>
    <x v="4"/>
    <x v="0"/>
    <s v="USD"/>
    <d v="2025-03-08T00:00:00"/>
    <d v="2025-03-25T00:00:00"/>
    <n v="6231.8"/>
    <n v="0.2298"/>
    <n v="1432.07"/>
    <n v="809484"/>
    <n v="40206"/>
    <n v="156151.89000000001"/>
    <n v="2025"/>
    <s v="March"/>
    <s v="Q1"/>
    <s v="USA | DEF | GHI"/>
    <n v="4.9668677824391834E-2"/>
    <n v="109.03928578910251"/>
    <x v="0"/>
  </r>
  <r>
    <x v="49"/>
    <s v="North"/>
    <x v="0"/>
    <x v="1"/>
    <x v="2"/>
    <s v="SGD"/>
    <d v="2025-03-09T00:00:00"/>
    <d v="2025-04-18T00:00:00"/>
    <n v="15341.49"/>
    <n v="0.78779999999999994"/>
    <n v="12086.03"/>
    <n v="562436"/>
    <n v="17633"/>
    <n v="83120.44"/>
    <n v="2025"/>
    <s v="March"/>
    <s v="Q1"/>
    <s v="UK | JKL | MNO | PQR"/>
    <n v="3.135112261661771E-2"/>
    <n v="6.8773981199781895"/>
    <x v="0"/>
  </r>
  <r>
    <x v="7"/>
    <s v="West"/>
    <x v="2"/>
    <x v="1"/>
    <x v="2"/>
    <s v="INR"/>
    <d v="2025-03-10T00:00:00"/>
    <d v="2025-04-02T00:00:00"/>
    <n v="18400.34"/>
    <n v="0.81110000000000004"/>
    <n v="14924.52"/>
    <n v="521174"/>
    <n v="48368"/>
    <n v="114497.88"/>
    <n v="2025"/>
    <s v="March"/>
    <s v="Q1"/>
    <s v="India | XYZ | PQR | TEST"/>
    <n v="9.2805857544697168E-2"/>
    <n v="7.6717964798867904"/>
    <x v="0"/>
  </r>
  <r>
    <x v="8"/>
    <s v="South"/>
    <x v="2"/>
    <x v="4"/>
    <x v="0"/>
    <s v="GBP"/>
    <d v="2025-03-11T00:00:00"/>
    <d v="2025-04-26T00:00:00"/>
    <n v="35067.1"/>
    <n v="0.3513"/>
    <n v="12319.07"/>
    <n v="173459"/>
    <n v="4032"/>
    <n v="220883.5"/>
    <n v="2025"/>
    <s v="March"/>
    <s v="Q1"/>
    <s v="UK | JKL | MNO | PQR"/>
    <n v="2.324468606414196E-2"/>
    <n v="17.930209017401477"/>
    <x v="0"/>
  </r>
  <r>
    <x v="28"/>
    <s v="South"/>
    <x v="3"/>
    <x v="1"/>
    <x v="0"/>
    <s v="USD"/>
    <d v="2025-03-13T00:00:00"/>
    <d v="2025-05-07T00:00:00"/>
    <n v="23295.41"/>
    <n v="0.51339999999999997"/>
    <n v="11959.86"/>
    <n v="775990"/>
    <n v="36522"/>
    <n v="167158.47"/>
    <n v="2025"/>
    <s v="March"/>
    <s v="Q1"/>
    <s v="Australia | ABC | BCD"/>
    <n v="4.7065039497931671E-2"/>
    <n v="13.976624308311301"/>
    <x v="0"/>
  </r>
  <r>
    <x v="32"/>
    <s v="South"/>
    <x v="1"/>
    <x v="5"/>
    <x v="1"/>
    <s v="GBP"/>
    <d v="2025-03-13T00:00:00"/>
    <d v="2025-05-02T00:00:00"/>
    <n v="16575.09"/>
    <n v="0.27179999999999999"/>
    <n v="4505.1099999999997"/>
    <n v="202800"/>
    <n v="34218"/>
    <n v="21703.23"/>
    <n v="2025"/>
    <s v="March"/>
    <s v="Q1"/>
    <s v="Australia | ABC | BCD"/>
    <n v="0.16872781065088757"/>
    <n v="4.8174694957503812"/>
    <x v="0"/>
  </r>
  <r>
    <x v="53"/>
    <s v="North"/>
    <x v="2"/>
    <x v="3"/>
    <x v="0"/>
    <s v="SGD"/>
    <d v="2025-03-14T00:00:00"/>
    <d v="2025-04-15T00:00:00"/>
    <n v="28793.35"/>
    <n v="0.41720000000000002"/>
    <n v="12012.59"/>
    <n v="737851"/>
    <n v="15576"/>
    <n v="47405.94"/>
    <n v="2025"/>
    <s v="March"/>
    <s v="Q1"/>
    <s v="UK | JKL | MNO | PQR"/>
    <n v="2.1109953093510749E-2"/>
    <n v="3.9463546162817513"/>
    <x v="0"/>
  </r>
  <r>
    <x v="55"/>
    <s v="West"/>
    <x v="3"/>
    <x v="4"/>
    <x v="2"/>
    <s v="INR"/>
    <d v="2025-03-15T00:00:00"/>
    <d v="2025-04-22T00:00:00"/>
    <n v="16617.990000000002"/>
    <n v="0.50539999999999996"/>
    <n v="8398.73"/>
    <n v="166466"/>
    <n v="19753"/>
    <n v="97232.75"/>
    <n v="2025"/>
    <s v="March"/>
    <s v="Q1"/>
    <s v="UK | JKL | MNO | PQR"/>
    <n v="0.11866086768469238"/>
    <n v="11.577077724846495"/>
    <x v="0"/>
  </r>
  <r>
    <x v="12"/>
    <s v="East"/>
    <x v="3"/>
    <x v="2"/>
    <x v="2"/>
    <s v="AUD"/>
    <d v="2025-03-15T00:00:00"/>
    <d v="2025-04-06T00:00:00"/>
    <n v="46403.69"/>
    <n v="0.12709999999999999"/>
    <n v="5897.91"/>
    <n v="84814"/>
    <n v="23708"/>
    <n v="14378.94"/>
    <n v="2025"/>
    <s v="March"/>
    <s v="Q1"/>
    <s v="USA | DEF | GHI"/>
    <n v="0.27952932298912914"/>
    <n v="2.4379720951998252"/>
    <x v="0"/>
  </r>
  <r>
    <x v="51"/>
    <s v="East"/>
    <x v="2"/>
    <x v="4"/>
    <x v="2"/>
    <s v="USD"/>
    <d v="2025-03-19T00:00:00"/>
    <d v="2025-05-03T00:00:00"/>
    <n v="32717.96"/>
    <n v="8.8400000000000006E-2"/>
    <n v="2892.27"/>
    <n v="109096"/>
    <n v="36666"/>
    <n v="171202.94"/>
    <n v="2025"/>
    <s v="March"/>
    <s v="Q1"/>
    <s v="India | XYZ | PQR | TEST"/>
    <n v="0.33608931583192786"/>
    <n v="59.193277252815264"/>
    <x v="0"/>
  </r>
  <r>
    <x v="13"/>
    <s v="South"/>
    <x v="4"/>
    <x v="0"/>
    <x v="0"/>
    <s v="INR"/>
    <d v="2025-03-19T00:00:00"/>
    <d v="2025-04-08T00:00:00"/>
    <n v="1437.56"/>
    <n v="0.06"/>
    <n v="86.25"/>
    <n v="831533"/>
    <n v="45369"/>
    <n v="121441.32"/>
    <n v="2025"/>
    <s v="March"/>
    <s v="Q1"/>
    <s v="UK | JKL | MNO | PQR"/>
    <n v="5.456067287768495E-2"/>
    <n v="1408.0153043478263"/>
    <x v="0"/>
  </r>
  <r>
    <x v="14"/>
    <s v="West"/>
    <x v="1"/>
    <x v="5"/>
    <x v="2"/>
    <s v="USD"/>
    <d v="2025-03-20T00:00:00"/>
    <d v="2025-04-12T00:00:00"/>
    <n v="28821.279999999999"/>
    <n v="0.91120000000000001"/>
    <n v="26261.95"/>
    <n v="194019"/>
    <n v="40139"/>
    <n v="214755.89"/>
    <n v="2025"/>
    <s v="March"/>
    <s v="Q1"/>
    <s v="UK | JKL | MNO | PQR"/>
    <n v="0.20688180023605934"/>
    <n v="8.1774540732885406"/>
    <x v="0"/>
  </r>
  <r>
    <x v="23"/>
    <s v="South"/>
    <x v="0"/>
    <x v="1"/>
    <x v="1"/>
    <s v="USD"/>
    <d v="2025-03-21T00:00:00"/>
    <d v="2025-04-26T00:00:00"/>
    <n v="3071.97"/>
    <n v="0.34689999999999999"/>
    <n v="1065.67"/>
    <n v="35422"/>
    <n v="15173"/>
    <n v="159731.1"/>
    <n v="2025"/>
    <s v="March"/>
    <s v="Q1"/>
    <s v="UK | JKL | MNO | PQR"/>
    <n v="0.42834961323471288"/>
    <n v="149.88795781057925"/>
    <x v="0"/>
  </r>
  <r>
    <x v="31"/>
    <s v="North"/>
    <x v="2"/>
    <x v="2"/>
    <x v="2"/>
    <s v="INR"/>
    <d v="2025-03-22T00:00:00"/>
    <d v="2025-04-26T00:00:00"/>
    <n v="44471.43"/>
    <n v="1.7899999999999999E-2"/>
    <n v="796.04"/>
    <n v="934879"/>
    <n v="9207"/>
    <n v="112775.18"/>
    <n v="2025"/>
    <s v="March"/>
    <s v="Q1"/>
    <s v="India | XYZ | PQR | TEST"/>
    <n v="9.8483333137229529E-3"/>
    <n v="141.67024270137179"/>
    <x v="0"/>
  </r>
  <r>
    <x v="5"/>
    <s v="East"/>
    <x v="0"/>
    <x v="4"/>
    <x v="1"/>
    <s v="USD"/>
    <d v="2025-03-24T00:00:00"/>
    <d v="2025-05-13T00:00:00"/>
    <n v="3856.7"/>
    <n v="0.74419999999999997"/>
    <n v="2870.16"/>
    <n v="564718"/>
    <n v="2764"/>
    <n v="184903.58"/>
    <n v="2025"/>
    <s v="March"/>
    <s v="Q1"/>
    <s v="Australia | ABC | BCD"/>
    <n v="4.8944783059863507E-3"/>
    <n v="64.422742982969595"/>
    <x v="0"/>
  </r>
  <r>
    <x v="18"/>
    <s v="East"/>
    <x v="0"/>
    <x v="5"/>
    <x v="1"/>
    <s v="INR"/>
    <d v="2025-03-26T00:00:00"/>
    <d v="2025-05-21T00:00:00"/>
    <n v="42623.9"/>
    <n v="0.36099999999999999"/>
    <n v="15387.23"/>
    <n v="674845"/>
    <n v="9542"/>
    <n v="78023.839999999997"/>
    <n v="2025"/>
    <s v="March"/>
    <s v="Q1"/>
    <s v="Australia | ABC | BCD"/>
    <n v="1.4139543154353963E-2"/>
    <n v="5.0706878366021693"/>
    <x v="0"/>
  </r>
  <r>
    <x v="11"/>
    <s v="South"/>
    <x v="1"/>
    <x v="5"/>
    <x v="2"/>
    <s v="GBP"/>
    <d v="2025-03-27T00:00:00"/>
    <d v="2025-04-26T00:00:00"/>
    <n v="31858.26"/>
    <n v="0.23180000000000001"/>
    <n v="7384.74"/>
    <n v="699237"/>
    <n v="28420"/>
    <n v="101917.68"/>
    <n v="2025"/>
    <s v="March"/>
    <s v="Q1"/>
    <s v="Australia | ABC | BCD"/>
    <n v="4.0644302289495553E-2"/>
    <n v="13.801119606106646"/>
    <x v="0"/>
  </r>
  <r>
    <x v="49"/>
    <s v="East"/>
    <x v="1"/>
    <x v="3"/>
    <x v="1"/>
    <s v="USD"/>
    <d v="2025-03-27T00:00:00"/>
    <d v="2025-04-03T00:00:00"/>
    <n v="32636.959999999999"/>
    <n v="0.58299999999999996"/>
    <n v="19027.349999999999"/>
    <n v="667667"/>
    <n v="30287"/>
    <n v="223554.29"/>
    <n v="2025"/>
    <s v="March"/>
    <s v="Q1"/>
    <s v="USA | DEF | GHI"/>
    <n v="4.5362433668280744E-2"/>
    <n v="11.749102738952089"/>
    <x v="0"/>
  </r>
  <r>
    <x v="18"/>
    <s v="West"/>
    <x v="1"/>
    <x v="4"/>
    <x v="0"/>
    <s v="GBP"/>
    <d v="2025-03-28T00:00:00"/>
    <d v="2025-04-20T00:00:00"/>
    <n v="30253.18"/>
    <n v="0.95820000000000005"/>
    <n v="28988.6"/>
    <n v="584842"/>
    <n v="24587"/>
    <n v="51199.89"/>
    <n v="2025"/>
    <s v="March"/>
    <s v="Q1"/>
    <s v="UK | JKL | MNO | PQR"/>
    <n v="4.2040414334127849E-2"/>
    <n v="1.7662077506330076"/>
    <x v="0"/>
  </r>
  <r>
    <x v="4"/>
    <s v="East"/>
    <x v="0"/>
    <x v="2"/>
    <x v="2"/>
    <s v="SGD"/>
    <d v="2025-03-28T00:00:00"/>
    <d v="2025-04-20T00:00:00"/>
    <n v="15171.21"/>
    <n v="5.1999999999999998E-2"/>
    <n v="788.9"/>
    <n v="977693"/>
    <n v="39266"/>
    <n v="188609.19"/>
    <n v="2025"/>
    <s v="March"/>
    <s v="Q1"/>
    <s v="India | XYZ | PQR | TEST"/>
    <n v="4.0161891309439673E-2"/>
    <n v="239.07870452528837"/>
    <x v="0"/>
  </r>
  <r>
    <x v="47"/>
    <s v="South"/>
    <x v="2"/>
    <x v="1"/>
    <x v="0"/>
    <s v="INR"/>
    <d v="2025-03-28T00:00:00"/>
    <d v="2025-04-13T00:00:00"/>
    <n v="6386.39"/>
    <n v="1.0410999999999999"/>
    <n v="6648.87"/>
    <n v="148205"/>
    <n v="1073"/>
    <n v="92769.36"/>
    <n v="2025"/>
    <s v="March"/>
    <s v="Q1"/>
    <s v="USA | DEF | GHI"/>
    <n v="7.2399716608751389E-3"/>
    <n v="13.95265060077878"/>
    <x v="0"/>
  </r>
  <r>
    <x v="35"/>
    <s v="South"/>
    <x v="4"/>
    <x v="0"/>
    <x v="2"/>
    <s v="AUD"/>
    <d v="2025-03-30T00:00:00"/>
    <d v="2025-04-24T00:00:00"/>
    <n v="21208.87"/>
    <n v="0.43020000000000003"/>
    <n v="9124.06"/>
    <n v="571671"/>
    <n v="737"/>
    <n v="176700.55"/>
    <n v="2025"/>
    <s v="March"/>
    <s v="Q1"/>
    <s v="Australia | ABC | BCD"/>
    <n v="1.2892030556036602E-3"/>
    <n v="19.366438844111066"/>
    <x v="0"/>
  </r>
  <r>
    <x v="1"/>
    <s v="North"/>
    <x v="0"/>
    <x v="5"/>
    <x v="0"/>
    <s v="SGD"/>
    <d v="2025-03-31T00:00:00"/>
    <d v="2025-04-15T00:00:00"/>
    <n v="45622.04"/>
    <n v="0.40450000000000003"/>
    <n v="18454.12"/>
    <n v="236088"/>
    <n v="36338"/>
    <n v="184666.92"/>
    <n v="2025"/>
    <s v="March"/>
    <s v="Q1"/>
    <s v="UK | JKL | MNO | PQR"/>
    <n v="0.15391718342313035"/>
    <n v="10.006812570851388"/>
    <x v="0"/>
  </r>
  <r>
    <x v="23"/>
    <s v="South"/>
    <x v="0"/>
    <x v="4"/>
    <x v="2"/>
    <s v="INR"/>
    <d v="2025-04-03T00:00:00"/>
    <d v="2025-04-27T00:00:00"/>
    <n v="5294.12"/>
    <n v="0.17080000000000001"/>
    <n v="904.24"/>
    <n v="210070"/>
    <n v="7434"/>
    <n v="204912.21"/>
    <n v="2025"/>
    <s v="April"/>
    <s v="Q2"/>
    <s v="India | XYZ | PQR | TEST"/>
    <n v="3.538820393202266E-2"/>
    <n v="226.61263602583384"/>
    <x v="0"/>
  </r>
  <r>
    <x v="5"/>
    <s v="East"/>
    <x v="2"/>
    <x v="2"/>
    <x v="0"/>
    <s v="INR"/>
    <d v="2025-04-04T00:00:00"/>
    <d v="2025-04-17T00:00:00"/>
    <n v="7770.82"/>
    <n v="0.72699999999999998"/>
    <n v="5649.39"/>
    <n v="939496"/>
    <n v="49148"/>
    <n v="130512.18"/>
    <n v="2025"/>
    <s v="April"/>
    <s v="Q2"/>
    <s v="India | XYZ | PQR | TEST"/>
    <n v="5.2313155138499788E-2"/>
    <n v="23.101995082654938"/>
    <x v="0"/>
  </r>
  <r>
    <x v="11"/>
    <s v="North"/>
    <x v="1"/>
    <x v="5"/>
    <x v="1"/>
    <s v="USD"/>
    <d v="2025-04-05T00:00:00"/>
    <d v="2025-06-02T00:00:00"/>
    <n v="6086.79"/>
    <n v="0.78310000000000002"/>
    <n v="4766.57"/>
    <n v="656195"/>
    <n v="27053"/>
    <n v="30400.45"/>
    <n v="2025"/>
    <s v="April"/>
    <s v="Q2"/>
    <s v="USA | DEF | GHI"/>
    <n v="4.12270742690816E-2"/>
    <n v="6.3778461241521684"/>
    <x v="0"/>
  </r>
  <r>
    <x v="22"/>
    <s v="East"/>
    <x v="4"/>
    <x v="1"/>
    <x v="2"/>
    <s v="USD"/>
    <d v="2025-04-05T00:00:00"/>
    <d v="2025-04-21T00:00:00"/>
    <n v="6243.81"/>
    <n v="0.1246"/>
    <n v="777.98"/>
    <n v="166130"/>
    <n v="15892"/>
    <n v="52023.35"/>
    <n v="2025"/>
    <s v="April"/>
    <s v="Q2"/>
    <s v="USA | DEF | GHI"/>
    <n v="9.566002528140613E-2"/>
    <n v="66.869778143396999"/>
    <x v="0"/>
  </r>
  <r>
    <x v="28"/>
    <s v="West"/>
    <x v="2"/>
    <x v="1"/>
    <x v="0"/>
    <s v="GBP"/>
    <d v="2025-04-06T00:00:00"/>
    <d v="2025-05-08T00:00:00"/>
    <n v="14327.05"/>
    <n v="8.5999999999999993E-2"/>
    <n v="1232.1300000000001"/>
    <n v="756925"/>
    <n v="37891"/>
    <n v="158745.54"/>
    <n v="2025"/>
    <s v="April"/>
    <s v="Q2"/>
    <s v="India | XYZ | PQR | TEST"/>
    <n v="5.0059120784754101E-2"/>
    <n v="128.83830439969807"/>
    <x v="0"/>
  </r>
  <r>
    <x v="15"/>
    <s v="West"/>
    <x v="4"/>
    <x v="1"/>
    <x v="0"/>
    <s v="AUD"/>
    <d v="2025-04-07T00:00:00"/>
    <d v="2025-05-02T00:00:00"/>
    <n v="47974.29"/>
    <n v="0.2107"/>
    <n v="10108.18"/>
    <n v="338429"/>
    <n v="16233"/>
    <n v="197486.73"/>
    <n v="2025"/>
    <s v="April"/>
    <s v="Q2"/>
    <s v="UK | JKL | MNO | PQR"/>
    <n v="4.7965747616191282E-2"/>
    <n v="19.537318290730873"/>
    <x v="0"/>
  </r>
  <r>
    <x v="21"/>
    <s v="West"/>
    <x v="0"/>
    <x v="2"/>
    <x v="0"/>
    <s v="SGD"/>
    <d v="2025-04-07T00:00:00"/>
    <d v="2025-04-23T00:00:00"/>
    <n v="44299.519999999997"/>
    <n v="0.28689999999999999"/>
    <n v="12709.53"/>
    <n v="314598"/>
    <n v="12784"/>
    <n v="5387.32"/>
    <n v="2025"/>
    <s v="April"/>
    <s v="Q2"/>
    <s v="UK | JKL | MNO | PQR"/>
    <n v="4.0635986242760602E-2"/>
    <n v="0.42388034805378322"/>
    <x v="0"/>
  </r>
  <r>
    <x v="11"/>
    <s v="North"/>
    <x v="3"/>
    <x v="1"/>
    <x v="2"/>
    <s v="INR"/>
    <d v="2025-04-08T00:00:00"/>
    <d v="2025-05-22T00:00:00"/>
    <n v="11823.87"/>
    <n v="0.68300000000000005"/>
    <n v="8075.7"/>
    <n v="992188"/>
    <n v="32617"/>
    <n v="39457.629999999997"/>
    <n v="2025"/>
    <s v="April"/>
    <s v="Q2"/>
    <s v="Australia | ABC | BCD"/>
    <n v="3.287381020532399E-2"/>
    <n v="4.8859702564483571"/>
    <x v="0"/>
  </r>
  <r>
    <x v="31"/>
    <s v="East"/>
    <x v="0"/>
    <x v="1"/>
    <x v="2"/>
    <s v="GBP"/>
    <d v="2025-04-08T00:00:00"/>
    <d v="2025-05-11T00:00:00"/>
    <n v="21834.76"/>
    <n v="0.32019999999999998"/>
    <n v="6991.49"/>
    <n v="67287"/>
    <n v="17684"/>
    <n v="123948.82"/>
    <n v="2025"/>
    <s v="April"/>
    <s v="Q2"/>
    <s v="India | XYZ | PQR | TEST"/>
    <n v="0.26281451097537412"/>
    <n v="17.728527109385841"/>
    <x v="0"/>
  </r>
  <r>
    <x v="3"/>
    <s v="North"/>
    <x v="4"/>
    <x v="0"/>
    <x v="0"/>
    <s v="GBP"/>
    <d v="2025-04-12T00:00:00"/>
    <d v="2025-04-21T00:00:00"/>
    <n v="2068.21"/>
    <n v="8.6699999999999999E-2"/>
    <n v="179.31"/>
    <n v="956335"/>
    <n v="42435"/>
    <n v="113640.67"/>
    <n v="2025"/>
    <s v="April"/>
    <s v="Q2"/>
    <s v="Australia | ABC | BCD"/>
    <n v="4.4372526363669632E-2"/>
    <n v="633.76649378171874"/>
    <x v="0"/>
  </r>
  <r>
    <x v="52"/>
    <s v="South"/>
    <x v="0"/>
    <x v="2"/>
    <x v="2"/>
    <s v="USD"/>
    <d v="2025-04-13T00:00:00"/>
    <d v="2025-05-29T00:00:00"/>
    <n v="9579.3700000000008"/>
    <n v="0.93720000000000003"/>
    <n v="8977.7900000000009"/>
    <n v="497192"/>
    <n v="45673"/>
    <n v="122240.14"/>
    <n v="2025"/>
    <s v="April"/>
    <s v="Q2"/>
    <s v="USA | DEF | GHI"/>
    <n v="9.186189641023991E-2"/>
    <n v="13.615838641803828"/>
    <x v="0"/>
  </r>
  <r>
    <x v="45"/>
    <s v="South"/>
    <x v="0"/>
    <x v="2"/>
    <x v="2"/>
    <s v="SGD"/>
    <d v="2025-04-14T00:00:00"/>
    <d v="2025-04-20T00:00:00"/>
    <n v="47262.7"/>
    <n v="1.1394"/>
    <n v="53851.12"/>
    <n v="246540"/>
    <n v="10042"/>
    <n v="88737.61"/>
    <n v="2025"/>
    <s v="April"/>
    <s v="Q2"/>
    <s v="India | XYZ | PQR | TEST"/>
    <n v="4.0731727103106997E-2"/>
    <n v="1.6478322085037413"/>
    <x v="1"/>
  </r>
  <r>
    <x v="56"/>
    <s v="North"/>
    <x v="0"/>
    <x v="0"/>
    <x v="0"/>
    <s v="SGD"/>
    <d v="2025-04-15T00:00:00"/>
    <d v="2025-04-30T00:00:00"/>
    <n v="16061.86"/>
    <n v="0.57989999999999997"/>
    <n v="9314.27"/>
    <n v="265652"/>
    <n v="3761"/>
    <n v="138163.98000000001"/>
    <n v="2025"/>
    <s v="April"/>
    <s v="Q2"/>
    <s v="USA | DEF | GHI"/>
    <n v="1.4157619743122581E-2"/>
    <n v="14.833581160949812"/>
    <x v="0"/>
  </r>
  <r>
    <x v="55"/>
    <s v="West"/>
    <x v="3"/>
    <x v="3"/>
    <x v="0"/>
    <s v="GBP"/>
    <d v="2025-04-16T00:00:00"/>
    <d v="2025-05-19T00:00:00"/>
    <n v="11811.31"/>
    <n v="0.32990000000000003"/>
    <n v="3896.55"/>
    <n v="619918"/>
    <n v="41374"/>
    <n v="202894.58"/>
    <n v="2025"/>
    <s v="April"/>
    <s v="Q2"/>
    <s v="USA | DEF | GHI"/>
    <n v="6.6741085111256648E-2"/>
    <n v="52.070313482439587"/>
    <x v="0"/>
  </r>
  <r>
    <x v="28"/>
    <s v="West"/>
    <x v="4"/>
    <x v="0"/>
    <x v="2"/>
    <s v="USD"/>
    <d v="2025-04-16T00:00:00"/>
    <d v="2025-05-06T00:00:00"/>
    <n v="4862.7"/>
    <n v="0.53859999999999997"/>
    <n v="2619.0500000000002"/>
    <n v="610870"/>
    <n v="29466"/>
    <n v="26564.87"/>
    <n v="2025"/>
    <s v="April"/>
    <s v="Q2"/>
    <s v="Australia | ABC | BCD"/>
    <n v="4.8236122251870281E-2"/>
    <n v="10.142941142780778"/>
    <x v="0"/>
  </r>
  <r>
    <x v="58"/>
    <s v="South"/>
    <x v="1"/>
    <x v="1"/>
    <x v="1"/>
    <s v="GBP"/>
    <d v="2025-04-17T00:00:00"/>
    <d v="2025-06-13T00:00:00"/>
    <n v="6210.23"/>
    <n v="0.60160000000000002"/>
    <n v="3736.07"/>
    <n v="847995"/>
    <n v="40445"/>
    <n v="59040.27"/>
    <n v="2025"/>
    <s v="April"/>
    <s v="Q2"/>
    <s v="USA | DEF | GHI"/>
    <n v="4.7694856691372002E-2"/>
    <n v="15.802774037959672"/>
    <x v="0"/>
  </r>
  <r>
    <x v="20"/>
    <s v="West"/>
    <x v="0"/>
    <x v="2"/>
    <x v="1"/>
    <s v="INR"/>
    <d v="2025-04-17T00:00:00"/>
    <d v="2025-05-17T00:00:00"/>
    <n v="34680.97"/>
    <n v="0.23350000000000001"/>
    <n v="8098.01"/>
    <n v="160494"/>
    <n v="4821"/>
    <n v="109466.78"/>
    <n v="2025"/>
    <s v="April"/>
    <s v="Q2"/>
    <s v="Australia | ABC | BCD"/>
    <n v="3.0038506112378034E-2"/>
    <n v="13.517738308547408"/>
    <x v="0"/>
  </r>
  <r>
    <x v="58"/>
    <s v="West"/>
    <x v="4"/>
    <x v="1"/>
    <x v="1"/>
    <s v="INR"/>
    <d v="2025-04-18T00:00:00"/>
    <d v="2025-05-01T00:00:00"/>
    <n v="7026.19"/>
    <n v="0.25019999999999998"/>
    <n v="1757.95"/>
    <n v="445945"/>
    <n v="531"/>
    <n v="65102.44"/>
    <n v="2025"/>
    <s v="April"/>
    <s v="Q2"/>
    <s v="Australia | ABC | BCD"/>
    <n v="1.1907297985177545E-3"/>
    <n v="37.033157939645612"/>
    <x v="0"/>
  </r>
  <r>
    <x v="28"/>
    <s v="South"/>
    <x v="1"/>
    <x v="5"/>
    <x v="2"/>
    <s v="AUD"/>
    <d v="2025-04-20T00:00:00"/>
    <d v="2025-04-25T00:00:00"/>
    <n v="14859.11"/>
    <n v="0.36530000000000001"/>
    <n v="5428.03"/>
    <n v="625448"/>
    <n v="38105"/>
    <n v="249731.07"/>
    <n v="2025"/>
    <s v="April"/>
    <s v="Q2"/>
    <s v="USA | DEF | GHI"/>
    <n v="6.0924329440656934E-2"/>
    <n v="46.00768050287121"/>
    <x v="0"/>
  </r>
  <r>
    <x v="39"/>
    <s v="South"/>
    <x v="0"/>
    <x v="1"/>
    <x v="2"/>
    <s v="USD"/>
    <d v="2025-04-21T00:00:00"/>
    <d v="2025-06-10T00:00:00"/>
    <n v="33831.199999999997"/>
    <n v="0.87790000000000001"/>
    <n v="29700.41"/>
    <n v="362058"/>
    <n v="29370"/>
    <n v="7791.93"/>
    <n v="2025"/>
    <s v="April"/>
    <s v="Q2"/>
    <s v="Australia | ABC | BCD"/>
    <n v="8.1119599622159991E-2"/>
    <n v="0.26235092377512637"/>
    <x v="0"/>
  </r>
  <r>
    <x v="44"/>
    <s v="West"/>
    <x v="3"/>
    <x v="3"/>
    <x v="0"/>
    <s v="AUD"/>
    <d v="2025-04-21T00:00:00"/>
    <d v="2025-06-10T00:00:00"/>
    <n v="37383.03"/>
    <n v="0.497"/>
    <n v="18579.37"/>
    <n v="276641"/>
    <n v="40132"/>
    <n v="53000.76"/>
    <n v="2025"/>
    <s v="April"/>
    <s v="Q2"/>
    <s v="Australia | ABC | BCD"/>
    <n v="0.14506887988403744"/>
    <n v="2.8526672325272604"/>
    <x v="0"/>
  </r>
  <r>
    <x v="15"/>
    <s v="North"/>
    <x v="0"/>
    <x v="1"/>
    <x v="0"/>
    <s v="SGD"/>
    <d v="2025-04-21T00:00:00"/>
    <d v="2025-05-29T00:00:00"/>
    <n v="34159.15"/>
    <n v="0.16789999999999999"/>
    <n v="5735.32"/>
    <n v="769767"/>
    <n v="2495"/>
    <n v="117545.26"/>
    <n v="2025"/>
    <s v="April"/>
    <s v="Q2"/>
    <s v="Australia | ABC | BCD"/>
    <n v="3.2412405312256826E-3"/>
    <n v="20.49497848419966"/>
    <x v="0"/>
  </r>
  <r>
    <x v="40"/>
    <s v="North"/>
    <x v="1"/>
    <x v="5"/>
    <x v="2"/>
    <s v="SGD"/>
    <d v="2025-04-22T00:00:00"/>
    <d v="2025-06-06T00:00:00"/>
    <n v="8246.0300000000007"/>
    <n v="0.71809999999999996"/>
    <n v="5921.47"/>
    <n v="345281"/>
    <n v="47751"/>
    <n v="228972.61"/>
    <n v="2025"/>
    <s v="April"/>
    <s v="Q2"/>
    <s v="USA | DEF | GHI"/>
    <n v="0.13829605451791441"/>
    <n v="38.668204010152877"/>
    <x v="0"/>
  </r>
  <r>
    <x v="48"/>
    <s v="South"/>
    <x v="4"/>
    <x v="2"/>
    <x v="1"/>
    <s v="AUD"/>
    <d v="2025-04-22T00:00:00"/>
    <d v="2025-04-27T00:00:00"/>
    <n v="28484.51"/>
    <n v="1.0736000000000001"/>
    <n v="30580.97"/>
    <n v="218205"/>
    <n v="5199"/>
    <n v="182067.3"/>
    <n v="2025"/>
    <s v="April"/>
    <s v="Q2"/>
    <s v="Australia | ABC | BCD"/>
    <n v="2.382621846428817E-2"/>
    <n v="5.9536142901941957"/>
    <x v="0"/>
  </r>
  <r>
    <x v="44"/>
    <s v="South"/>
    <x v="3"/>
    <x v="0"/>
    <x v="0"/>
    <s v="AUD"/>
    <d v="2025-04-23T00:00:00"/>
    <d v="2025-05-16T00:00:00"/>
    <n v="32656.09"/>
    <n v="0.31519999999999998"/>
    <n v="10293.200000000001"/>
    <n v="640437"/>
    <n v="15575"/>
    <n v="104437.16"/>
    <n v="2025"/>
    <s v="April"/>
    <s v="Q2"/>
    <s v="UK | JKL | MNO | PQR"/>
    <n v="2.4319331956148691E-2"/>
    <n v="10.146228578090389"/>
    <x v="0"/>
  </r>
  <r>
    <x v="21"/>
    <s v="East"/>
    <x v="4"/>
    <x v="4"/>
    <x v="1"/>
    <s v="GBP"/>
    <d v="2025-04-23T00:00:00"/>
    <d v="2025-05-16T00:00:00"/>
    <n v="36608.699999999997"/>
    <n v="0.23530000000000001"/>
    <n v="8614.0300000000007"/>
    <n v="199131"/>
    <n v="26873"/>
    <n v="199153.57"/>
    <n v="2025"/>
    <s v="April"/>
    <s v="Q2"/>
    <s v="India | XYZ | PQR | TEST"/>
    <n v="0.13495136367516861"/>
    <n v="23.119674530968663"/>
    <x v="0"/>
  </r>
  <r>
    <x v="37"/>
    <s v="North"/>
    <x v="2"/>
    <x v="0"/>
    <x v="1"/>
    <s v="GBP"/>
    <d v="2025-04-23T00:00:00"/>
    <d v="2025-05-07T00:00:00"/>
    <n v="24111.759999999998"/>
    <n v="0.72430000000000005"/>
    <n v="17464.150000000001"/>
    <n v="102422"/>
    <n v="4299"/>
    <n v="69457.539999999994"/>
    <n v="2025"/>
    <s v="April"/>
    <s v="Q2"/>
    <s v="UK | JKL | MNO | PQR"/>
    <n v="4.1973404151451836E-2"/>
    <n v="3.9771497610819875"/>
    <x v="0"/>
  </r>
  <r>
    <x v="20"/>
    <s v="North"/>
    <x v="3"/>
    <x v="4"/>
    <x v="1"/>
    <s v="GBP"/>
    <d v="2025-04-24T00:00:00"/>
    <d v="2025-05-29T00:00:00"/>
    <n v="48401.82"/>
    <n v="0.36120000000000002"/>
    <n v="17482.740000000002"/>
    <n v="922677"/>
    <n v="22298"/>
    <n v="202036.97"/>
    <n v="2025"/>
    <s v="April"/>
    <s v="Q2"/>
    <s v="USA | DEF | GHI"/>
    <n v="2.4166636862087167E-2"/>
    <n v="11.556367594553256"/>
    <x v="0"/>
  </r>
  <r>
    <x v="18"/>
    <s v="North"/>
    <x v="0"/>
    <x v="3"/>
    <x v="1"/>
    <s v="INR"/>
    <d v="2025-04-26T00:00:00"/>
    <d v="2025-05-10T00:00:00"/>
    <n v="30670.04"/>
    <n v="0.22109999999999999"/>
    <n v="6781.15"/>
    <n v="955404"/>
    <n v="40388"/>
    <n v="151954.38"/>
    <n v="2025"/>
    <s v="April"/>
    <s v="Q2"/>
    <s v="Australia | ABC | BCD"/>
    <n v="4.2273216356640754E-2"/>
    <n v="22.408349616215542"/>
    <x v="0"/>
  </r>
  <r>
    <x v="14"/>
    <s v="West"/>
    <x v="0"/>
    <x v="1"/>
    <x v="1"/>
    <s v="SGD"/>
    <d v="2025-04-27T00:00:00"/>
    <d v="2025-05-24T00:00:00"/>
    <n v="15755.57"/>
    <n v="0.40710000000000002"/>
    <n v="6414.09"/>
    <n v="552985"/>
    <n v="43611"/>
    <n v="214954.26"/>
    <n v="2025"/>
    <s v="April"/>
    <s v="Q2"/>
    <s v="Australia | ABC | BCD"/>
    <n v="7.8864706999285689E-2"/>
    <n v="33.512822551601239"/>
    <x v="0"/>
  </r>
  <r>
    <x v="54"/>
    <s v="West"/>
    <x v="4"/>
    <x v="4"/>
    <x v="1"/>
    <s v="AUD"/>
    <d v="2025-04-29T00:00:00"/>
    <d v="2025-06-15T00:00:00"/>
    <n v="20394.48"/>
    <n v="1.9599999999999999E-2"/>
    <n v="399.73"/>
    <n v="917088"/>
    <n v="45044"/>
    <n v="195686.35"/>
    <n v="2025"/>
    <s v="April"/>
    <s v="Q2"/>
    <s v="India | XYZ | PQR | TEST"/>
    <n v="4.9116333438012492E-2"/>
    <n v="489.54631876516646"/>
    <x v="0"/>
  </r>
  <r>
    <x v="49"/>
    <s v="South"/>
    <x v="3"/>
    <x v="1"/>
    <x v="2"/>
    <s v="INR"/>
    <d v="2025-04-29T00:00:00"/>
    <d v="2025-05-18T00:00:00"/>
    <n v="45662.83"/>
    <n v="0.84850000000000003"/>
    <n v="38744.910000000003"/>
    <n v="689091"/>
    <n v="24200"/>
    <n v="190001.39"/>
    <n v="2025"/>
    <s v="April"/>
    <s v="Q2"/>
    <s v="Australia | ABC | BCD"/>
    <n v="3.5118728876157142E-2"/>
    <n v="4.9039058291785942"/>
    <x v="0"/>
  </r>
  <r>
    <x v="19"/>
    <s v="North"/>
    <x v="2"/>
    <x v="3"/>
    <x v="2"/>
    <s v="SGD"/>
    <d v="2025-04-30T00:00:00"/>
    <d v="2025-06-19T00:00:00"/>
    <n v="33317.43"/>
    <n v="0.55030000000000001"/>
    <n v="18334.580000000002"/>
    <n v="292400"/>
    <n v="39041"/>
    <n v="166211.54"/>
    <n v="2025"/>
    <s v="April"/>
    <s v="Q2"/>
    <s v="India | XYZ | PQR | TEST"/>
    <n v="0.13351915184678523"/>
    <n v="9.0654675482067208"/>
    <x v="0"/>
  </r>
  <r>
    <x v="41"/>
    <s v="North"/>
    <x v="1"/>
    <x v="0"/>
    <x v="2"/>
    <s v="SGD"/>
    <d v="2025-04-30T00:00:00"/>
    <d v="2025-06-01T00:00:00"/>
    <n v="5493.96"/>
    <n v="1.0934999999999999"/>
    <n v="6007.65"/>
    <n v="866375"/>
    <n v="29665"/>
    <n v="221734.29"/>
    <n v="2025"/>
    <s v="April"/>
    <s v="Q2"/>
    <s v="USA | DEF | GHI"/>
    <n v="3.4240369355071416E-2"/>
    <n v="36.908656463009663"/>
    <x v="0"/>
  </r>
  <r>
    <x v="28"/>
    <s v="South"/>
    <x v="2"/>
    <x v="4"/>
    <x v="2"/>
    <s v="SGD"/>
    <d v="2025-04-30T00:00:00"/>
    <d v="2025-05-11T00:00:00"/>
    <n v="26067.65"/>
    <n v="0.74509999999999998"/>
    <n v="19423.009999999998"/>
    <n v="306439"/>
    <n v="7571"/>
    <n v="197266.22"/>
    <n v="2025"/>
    <s v="April"/>
    <s v="Q2"/>
    <s v="India | XYZ | PQR | TEST"/>
    <n v="2.4706385283857473E-2"/>
    <n v="10.156315627701371"/>
    <x v="0"/>
  </r>
  <r>
    <x v="15"/>
    <s v="North"/>
    <x v="1"/>
    <x v="3"/>
    <x v="0"/>
    <s v="USD"/>
    <d v="2025-05-01T00:00:00"/>
    <d v="2025-05-18T00:00:00"/>
    <n v="39960.230000000003"/>
    <n v="0.67479999999999996"/>
    <n v="26965.16"/>
    <n v="733153"/>
    <n v="34549"/>
    <n v="212287.09"/>
    <n v="2025"/>
    <s v="May"/>
    <s v="Q2"/>
    <s v="India | XYZ | PQR | TEST"/>
    <n v="4.7123860913069984E-2"/>
    <n v="7.8726434406471162"/>
    <x v="0"/>
  </r>
  <r>
    <x v="11"/>
    <s v="South"/>
    <x v="1"/>
    <x v="2"/>
    <x v="1"/>
    <s v="INR"/>
    <d v="2025-05-02T00:00:00"/>
    <d v="2025-06-30T00:00:00"/>
    <n v="7160.14"/>
    <n v="0.54469999999999996"/>
    <n v="3900.13"/>
    <n v="616472"/>
    <n v="6486"/>
    <n v="13939.06"/>
    <n v="2025"/>
    <s v="May"/>
    <s v="Q2"/>
    <s v="UK | JKL | MNO | PQR"/>
    <n v="1.0521159111849362E-2"/>
    <n v="3.5739988154241011"/>
    <x v="0"/>
  </r>
  <r>
    <x v="25"/>
    <s v="South"/>
    <x v="1"/>
    <x v="1"/>
    <x v="0"/>
    <s v="USD"/>
    <d v="2025-05-02T00:00:00"/>
    <d v="2025-06-28T00:00:00"/>
    <n v="2263.09"/>
    <n v="0.25169999999999998"/>
    <n v="569.62"/>
    <n v="997555"/>
    <n v="37531"/>
    <n v="109493.13"/>
    <n v="2025"/>
    <s v="May"/>
    <s v="Q2"/>
    <s v="UK | JKL | MNO | PQR"/>
    <n v="3.7622988206164068E-2"/>
    <n v="192.22135809838139"/>
    <x v="0"/>
  </r>
  <r>
    <x v="0"/>
    <s v="South"/>
    <x v="0"/>
    <x v="1"/>
    <x v="2"/>
    <s v="AUD"/>
    <d v="2025-05-04T00:00:00"/>
    <d v="2025-06-08T00:00:00"/>
    <n v="49031.99"/>
    <n v="0.3"/>
    <n v="14709.6"/>
    <n v="588043"/>
    <n v="9579"/>
    <n v="98978.57"/>
    <n v="2025"/>
    <s v="May"/>
    <s v="Q2"/>
    <s v="USA | DEF | GHI"/>
    <n v="1.628962507843814E-2"/>
    <n v="6.7288417088160113"/>
    <x v="0"/>
  </r>
  <r>
    <x v="7"/>
    <s v="North"/>
    <x v="3"/>
    <x v="5"/>
    <x v="0"/>
    <s v="USD"/>
    <d v="2025-05-06T00:00:00"/>
    <d v="2025-07-01T00:00:00"/>
    <n v="44199.69"/>
    <n v="0.59570000000000001"/>
    <n v="26329.759999999998"/>
    <n v="334065"/>
    <n v="11605"/>
    <n v="125156.92"/>
    <n v="2025"/>
    <s v="May"/>
    <s v="Q2"/>
    <s v="UK | JKL | MNO | PQR"/>
    <n v="3.4738748447158484E-2"/>
    <n v="4.7534394540626277"/>
    <x v="0"/>
  </r>
  <r>
    <x v="26"/>
    <s v="West"/>
    <x v="4"/>
    <x v="1"/>
    <x v="2"/>
    <s v="AUD"/>
    <d v="2025-05-07T00:00:00"/>
    <d v="2025-06-04T00:00:00"/>
    <n v="18094.96"/>
    <n v="0.89300000000000002"/>
    <n v="16158.8"/>
    <n v="38206"/>
    <n v="41070"/>
    <n v="88607.85"/>
    <n v="2025"/>
    <s v="May"/>
    <s v="Q2"/>
    <s v="Australia | ABC | BCD"/>
    <n v="1.0749620478458881"/>
    <n v="5.4835662301656072"/>
    <x v="0"/>
  </r>
  <r>
    <x v="34"/>
    <s v="North"/>
    <x v="0"/>
    <x v="2"/>
    <x v="2"/>
    <s v="INR"/>
    <d v="2025-05-08T00:00:00"/>
    <d v="2025-05-14T00:00:00"/>
    <n v="30742.44"/>
    <n v="0.22090000000000001"/>
    <n v="6791"/>
    <n v="140182"/>
    <n v="35139"/>
    <n v="186654.39"/>
    <n v="2025"/>
    <s v="May"/>
    <s v="Q2"/>
    <s v="UK | JKL | MNO | PQR"/>
    <n v="0.25066699005578463"/>
    <n v="27.485552937711681"/>
    <x v="0"/>
  </r>
  <r>
    <x v="27"/>
    <s v="West"/>
    <x v="4"/>
    <x v="2"/>
    <x v="1"/>
    <s v="AUD"/>
    <d v="2025-05-11T00:00:00"/>
    <d v="2025-07-02T00:00:00"/>
    <n v="33448.949999999997"/>
    <n v="1.1295999999999999"/>
    <n v="37783.93"/>
    <n v="734233"/>
    <n v="44113"/>
    <n v="63720.58"/>
    <n v="2025"/>
    <s v="May"/>
    <s v="Q2"/>
    <s v="Australia | ABC | BCD"/>
    <n v="6.0080383202607349E-2"/>
    <n v="1.686446592506391"/>
    <x v="0"/>
  </r>
  <r>
    <x v="50"/>
    <s v="South"/>
    <x v="4"/>
    <x v="1"/>
    <x v="1"/>
    <s v="INR"/>
    <d v="2025-05-11T00:00:00"/>
    <d v="2025-06-24T00:00:00"/>
    <n v="19614.61"/>
    <n v="1.036"/>
    <n v="20320.740000000002"/>
    <n v="471607"/>
    <n v="22037"/>
    <n v="110500.97"/>
    <n v="2025"/>
    <s v="May"/>
    <s v="Q2"/>
    <s v="UK | JKL | MNO | PQR"/>
    <n v="4.672746587730886E-2"/>
    <n v="5.437841830563257"/>
    <x v="0"/>
  </r>
  <r>
    <x v="29"/>
    <s v="South"/>
    <x v="3"/>
    <x v="1"/>
    <x v="2"/>
    <s v="USD"/>
    <d v="2025-05-13T00:00:00"/>
    <d v="2025-07-05T00:00:00"/>
    <n v="47630.559999999998"/>
    <n v="7.6700000000000004E-2"/>
    <n v="3653.26"/>
    <n v="823331"/>
    <n v="25817"/>
    <n v="22489.25"/>
    <n v="2025"/>
    <s v="May"/>
    <s v="Q2"/>
    <s v="Australia | ABC | BCD"/>
    <n v="3.1356769027280643E-2"/>
    <n v="6.1559401739815938"/>
    <x v="0"/>
  </r>
  <r>
    <x v="3"/>
    <s v="East"/>
    <x v="3"/>
    <x v="0"/>
    <x v="2"/>
    <s v="AUD"/>
    <d v="2025-05-15T00:00:00"/>
    <d v="2025-06-05T00:00:00"/>
    <n v="8979.51"/>
    <n v="7.9600000000000004E-2"/>
    <n v="714.77"/>
    <n v="345209"/>
    <n v="30314"/>
    <n v="220187.73"/>
    <n v="2025"/>
    <s v="May"/>
    <s v="Q2"/>
    <s v="UK | JKL | MNO | PQR"/>
    <n v="8.7813469521362417E-2"/>
    <n v="308.05396141416122"/>
    <x v="0"/>
  </r>
  <r>
    <x v="3"/>
    <s v="East"/>
    <x v="2"/>
    <x v="4"/>
    <x v="1"/>
    <s v="AUD"/>
    <d v="2025-05-15T00:00:00"/>
    <d v="2025-05-30T00:00:00"/>
    <n v="42191.3"/>
    <n v="1.0529999999999999"/>
    <n v="44427.44"/>
    <n v="199934"/>
    <n v="19353"/>
    <n v="28912.75"/>
    <n v="2025"/>
    <s v="May"/>
    <s v="Q2"/>
    <s v="Australia | ABC | BCD"/>
    <n v="9.6796942991187088E-2"/>
    <n v="0.6507858656722062"/>
    <x v="0"/>
  </r>
  <r>
    <x v="34"/>
    <s v="South"/>
    <x v="2"/>
    <x v="3"/>
    <x v="1"/>
    <s v="GBP"/>
    <d v="2025-05-16T00:00:00"/>
    <d v="2025-06-30T00:00:00"/>
    <n v="25521.19"/>
    <n v="0.94159999999999999"/>
    <n v="24030.75"/>
    <n v="159282"/>
    <n v="24564"/>
    <n v="137407.74"/>
    <n v="2025"/>
    <s v="May"/>
    <s v="Q2"/>
    <s v="Australia | ABC | BCD"/>
    <n v="0.15421704900742081"/>
    <n v="5.7179963172185637"/>
    <x v="0"/>
  </r>
  <r>
    <x v="41"/>
    <s v="West"/>
    <x v="0"/>
    <x v="5"/>
    <x v="2"/>
    <s v="SGD"/>
    <d v="2025-05-17T00:00:00"/>
    <d v="2025-06-13T00:00:00"/>
    <n v="30582.58"/>
    <n v="0.97050000000000003"/>
    <n v="29680.39"/>
    <n v="775179"/>
    <n v="30208"/>
    <n v="136375.88"/>
    <n v="2025"/>
    <s v="May"/>
    <s v="Q2"/>
    <s v="USA | DEF | GHI"/>
    <n v="3.8969063919430225E-2"/>
    <n v="4.5948142864699557"/>
    <x v="0"/>
  </r>
  <r>
    <x v="21"/>
    <s v="North"/>
    <x v="4"/>
    <x v="4"/>
    <x v="0"/>
    <s v="SGD"/>
    <d v="2025-05-18T00:00:00"/>
    <d v="2025-07-14T00:00:00"/>
    <n v="23281.15"/>
    <n v="0.79869999999999997"/>
    <n v="18594.650000000001"/>
    <n v="682875"/>
    <n v="42009"/>
    <n v="151300.76"/>
    <n v="2025"/>
    <s v="May"/>
    <s v="Q2"/>
    <s v="India | XYZ | PQR | TEST"/>
    <n v="6.1517847336628226E-2"/>
    <n v="8.1367898831115397"/>
    <x v="0"/>
  </r>
  <r>
    <x v="50"/>
    <s v="West"/>
    <x v="0"/>
    <x v="1"/>
    <x v="0"/>
    <s v="SGD"/>
    <d v="2025-05-20T00:00:00"/>
    <d v="2025-06-14T00:00:00"/>
    <n v="1767.25"/>
    <n v="0.25650000000000001"/>
    <n v="453.3"/>
    <n v="161195"/>
    <n v="49399"/>
    <n v="206069.23"/>
    <n v="2025"/>
    <s v="May"/>
    <s v="Q2"/>
    <s v="India | XYZ | PQR | TEST"/>
    <n v="0.30645491485467913"/>
    <n v="454.59790425766602"/>
    <x v="0"/>
  </r>
  <r>
    <x v="26"/>
    <s v="West"/>
    <x v="0"/>
    <x v="3"/>
    <x v="0"/>
    <s v="USD"/>
    <d v="2025-05-22T00:00:00"/>
    <d v="2025-07-03T00:00:00"/>
    <n v="28738.75"/>
    <n v="0.40939999999999999"/>
    <n v="11765.64"/>
    <n v="324186"/>
    <n v="27539"/>
    <n v="85511.67"/>
    <n v="2025"/>
    <s v="May"/>
    <s v="Q2"/>
    <s v="India | XYZ | PQR | TEST"/>
    <n v="8.4948147051384079E-2"/>
    <n v="7.2679148775587219"/>
    <x v="0"/>
  </r>
  <r>
    <x v="56"/>
    <s v="North"/>
    <x v="2"/>
    <x v="4"/>
    <x v="1"/>
    <s v="GBP"/>
    <d v="2025-05-22T00:00:00"/>
    <d v="2025-06-27T00:00:00"/>
    <n v="43601.37"/>
    <n v="9.9099999999999994E-2"/>
    <n v="4320.8999999999996"/>
    <n v="525530"/>
    <n v="21113"/>
    <n v="64018.5"/>
    <n v="2025"/>
    <s v="May"/>
    <s v="Q2"/>
    <s v="UK | JKL | MNO | PQR"/>
    <n v="4.0174680798432061E-2"/>
    <n v="14.816010553356941"/>
    <x v="0"/>
  </r>
  <r>
    <x v="59"/>
    <s v="West"/>
    <x v="0"/>
    <x v="1"/>
    <x v="2"/>
    <s v="GBP"/>
    <d v="2025-05-22T00:00:00"/>
    <d v="2025-06-22T00:00:00"/>
    <n v="11381.69"/>
    <n v="0.9345"/>
    <n v="10636.19"/>
    <n v="588381"/>
    <n v="25074"/>
    <n v="33052.769999999997"/>
    <n v="2025"/>
    <s v="May"/>
    <s v="Q2"/>
    <s v="UK | JKL | MNO | PQR"/>
    <n v="4.2615244204010666E-2"/>
    <n v="3.1075761151314518"/>
    <x v="0"/>
  </r>
  <r>
    <x v="50"/>
    <s v="North"/>
    <x v="4"/>
    <x v="4"/>
    <x v="1"/>
    <s v="GBP"/>
    <d v="2025-05-24T00:00:00"/>
    <d v="2025-06-23T00:00:00"/>
    <n v="14701.85"/>
    <n v="0.22409999999999999"/>
    <n v="3294.68"/>
    <n v="147509"/>
    <n v="37841"/>
    <n v="173072.92"/>
    <n v="2025"/>
    <s v="May"/>
    <s v="Q2"/>
    <s v="UK | JKL | MNO | PQR"/>
    <n v="0.25653349965086875"/>
    <n v="52.531025774885578"/>
    <x v="0"/>
  </r>
  <r>
    <x v="39"/>
    <s v="West"/>
    <x v="2"/>
    <x v="5"/>
    <x v="2"/>
    <s v="INR"/>
    <d v="2025-05-25T00:00:00"/>
    <d v="2025-07-03T00:00:00"/>
    <n v="21754.52"/>
    <n v="0.4451"/>
    <n v="9682.94"/>
    <n v="298946"/>
    <n v="44704"/>
    <n v="102376.27"/>
    <n v="2025"/>
    <s v="May"/>
    <s v="Q2"/>
    <s v="USA | DEF | GHI"/>
    <n v="0.14953871267720592"/>
    <n v="10.572849774965041"/>
    <x v="0"/>
  </r>
  <r>
    <x v="30"/>
    <s v="East"/>
    <x v="0"/>
    <x v="2"/>
    <x v="2"/>
    <s v="SGD"/>
    <d v="2025-05-27T00:00:00"/>
    <d v="2025-07-10T00:00:00"/>
    <n v="45939.87"/>
    <n v="0.16350000000000001"/>
    <n v="7511.17"/>
    <n v="394546"/>
    <n v="33685"/>
    <n v="211984.73"/>
    <n v="2025"/>
    <s v="May"/>
    <s v="Q2"/>
    <s v="UK | JKL | MNO | PQR"/>
    <n v="8.5376610078419249E-2"/>
    <n v="28.222597810993495"/>
    <x v="0"/>
  </r>
  <r>
    <x v="34"/>
    <s v="North"/>
    <x v="2"/>
    <x v="3"/>
    <x v="2"/>
    <s v="GBP"/>
    <d v="2025-05-27T00:00:00"/>
    <d v="2025-07-02T00:00:00"/>
    <n v="36642.379999999997"/>
    <n v="0.3659"/>
    <n v="13407.45"/>
    <n v="864602"/>
    <n v="43304"/>
    <n v="228532.21"/>
    <n v="2025"/>
    <s v="May"/>
    <s v="Q2"/>
    <s v="UK | JKL | MNO | PQR"/>
    <n v="5.008547285340538E-2"/>
    <n v="17.045165933865125"/>
    <x v="0"/>
  </r>
  <r>
    <x v="22"/>
    <s v="West"/>
    <x v="0"/>
    <x v="3"/>
    <x v="0"/>
    <s v="INR"/>
    <d v="2025-05-27T00:00:00"/>
    <d v="2025-06-18T00:00:00"/>
    <n v="26464.720000000001"/>
    <n v="1.1013999999999999"/>
    <n v="29148.240000000002"/>
    <n v="22964"/>
    <n v="46002"/>
    <n v="157649.19"/>
    <n v="2025"/>
    <s v="May"/>
    <s v="Q2"/>
    <s v="Australia | ABC | BCD"/>
    <n v="2.0032224351158336"/>
    <n v="5.4085320417287628"/>
    <x v="0"/>
  </r>
  <r>
    <x v="11"/>
    <s v="North"/>
    <x v="3"/>
    <x v="2"/>
    <x v="0"/>
    <s v="AUD"/>
    <d v="2025-05-30T00:00:00"/>
    <d v="2025-07-11T00:00:00"/>
    <n v="49511.53"/>
    <n v="0.37340000000000001"/>
    <n v="18487.61"/>
    <n v="661194"/>
    <n v="4047"/>
    <n v="154359.57"/>
    <n v="2025"/>
    <s v="May"/>
    <s v="Q2"/>
    <s v="Australia | ABC | BCD"/>
    <n v="6.12074519732484E-3"/>
    <n v="8.349352350033346"/>
    <x v="0"/>
  </r>
  <r>
    <x v="8"/>
    <s v="East"/>
    <x v="0"/>
    <x v="3"/>
    <x v="2"/>
    <s v="GBP"/>
    <d v="2025-05-30T00:00:00"/>
    <d v="2025-06-14T00:00:00"/>
    <n v="45878.65"/>
    <n v="0.76129999999999998"/>
    <n v="34927.42"/>
    <n v="932188"/>
    <n v="42333"/>
    <n v="104540.76"/>
    <n v="2025"/>
    <s v="May"/>
    <s v="Q2"/>
    <s v="USA | DEF | GHI"/>
    <n v="4.5412513355675033E-2"/>
    <n v="2.9930856616377621"/>
    <x v="0"/>
  </r>
  <r>
    <x v="30"/>
    <s v="West"/>
    <x v="1"/>
    <x v="3"/>
    <x v="2"/>
    <s v="SGD"/>
    <d v="2025-05-31T00:00:00"/>
    <d v="2025-06-23T00:00:00"/>
    <n v="43418.3"/>
    <n v="0.28989999999999999"/>
    <n v="12586.97"/>
    <n v="746333"/>
    <n v="38776"/>
    <n v="101595.74"/>
    <n v="2025"/>
    <s v="May"/>
    <s v="Q2"/>
    <s v="India | XYZ | PQR | TEST"/>
    <n v="5.1955360408825549E-2"/>
    <n v="8.071500925163086"/>
    <x v="0"/>
  </r>
  <r>
    <x v="47"/>
    <s v="West"/>
    <x v="0"/>
    <x v="0"/>
    <x v="1"/>
    <s v="GBP"/>
    <d v="2025-06-01T00:00:00"/>
    <d v="2025-06-15T00:00:00"/>
    <n v="39111.42"/>
    <n v="0.18440000000000001"/>
    <n v="7212.15"/>
    <n v="164958"/>
    <n v="25698"/>
    <n v="114440.37"/>
    <n v="2025"/>
    <s v="June"/>
    <s v="Q2"/>
    <s v="USA | DEF | GHI"/>
    <n v="0.15578510893682029"/>
    <n v="15.86771905742393"/>
    <x v="0"/>
  </r>
  <r>
    <x v="0"/>
    <s v="South"/>
    <x v="2"/>
    <x v="4"/>
    <x v="2"/>
    <s v="USD"/>
    <d v="2025-06-02T00:00:00"/>
    <d v="2025-06-15T00:00:00"/>
    <n v="16140.92"/>
    <n v="0.84909999999999997"/>
    <n v="13705.26"/>
    <n v="559249"/>
    <n v="8963"/>
    <n v="110365.75"/>
    <n v="2025"/>
    <s v="June"/>
    <s v="Q2"/>
    <s v="Australia | ABC | BCD"/>
    <n v="1.6026850293876252E-2"/>
    <n v="8.0528023547163645"/>
    <x v="0"/>
  </r>
  <r>
    <x v="3"/>
    <s v="South"/>
    <x v="2"/>
    <x v="5"/>
    <x v="2"/>
    <s v="SGD"/>
    <d v="2025-06-03T00:00:00"/>
    <d v="2025-07-08T00:00:00"/>
    <n v="23892.48"/>
    <n v="1.0464"/>
    <n v="25001.09"/>
    <n v="990269"/>
    <n v="17952"/>
    <n v="139393.59"/>
    <n v="2025"/>
    <s v="June"/>
    <s v="Q2"/>
    <s v="UK | JKL | MNO | PQR"/>
    <n v="1.8128407533710537E-2"/>
    <n v="5.5755005081778437"/>
    <x v="0"/>
  </r>
  <r>
    <x v="13"/>
    <s v="North"/>
    <x v="3"/>
    <x v="1"/>
    <x v="1"/>
    <s v="AUD"/>
    <d v="2025-06-04T00:00:00"/>
    <d v="2025-07-28T00:00:00"/>
    <n v="48389.78"/>
    <n v="0.82179999999999997"/>
    <n v="39766.720000000001"/>
    <n v="507126"/>
    <n v="8771"/>
    <n v="163606.03"/>
    <n v="2025"/>
    <s v="June"/>
    <s v="Q2"/>
    <s v="USA | DEF | GHI"/>
    <n v="1.7295504470289436E-2"/>
    <n v="4.1141444403762746"/>
    <x v="0"/>
  </r>
  <r>
    <x v="37"/>
    <s v="South"/>
    <x v="4"/>
    <x v="5"/>
    <x v="2"/>
    <s v="SGD"/>
    <d v="2025-06-05T00:00:00"/>
    <d v="2025-06-28T00:00:00"/>
    <n v="38902.85"/>
    <n v="0.37969999999999998"/>
    <n v="14771.41"/>
    <n v="100581"/>
    <n v="36347"/>
    <n v="116902.81"/>
    <n v="2025"/>
    <s v="June"/>
    <s v="Q2"/>
    <s v="India | XYZ | PQR | TEST"/>
    <n v="0.36137043775663397"/>
    <n v="7.9141266812037578"/>
    <x v="0"/>
  </r>
  <r>
    <x v="50"/>
    <s v="South"/>
    <x v="2"/>
    <x v="2"/>
    <x v="1"/>
    <s v="AUD"/>
    <d v="2025-06-07T00:00:00"/>
    <d v="2025-07-12T00:00:00"/>
    <n v="9357.77"/>
    <n v="0.99809999999999999"/>
    <n v="9339.99"/>
    <n v="640025"/>
    <n v="9452"/>
    <n v="199680.94"/>
    <n v="2025"/>
    <s v="June"/>
    <s v="Q2"/>
    <s v="India | XYZ | PQR | TEST"/>
    <n v="1.4768173118237568E-2"/>
    <n v="21.379138521561586"/>
    <x v="0"/>
  </r>
  <r>
    <x v="19"/>
    <s v="North"/>
    <x v="2"/>
    <x v="4"/>
    <x v="2"/>
    <s v="GBP"/>
    <d v="2025-06-08T00:00:00"/>
    <d v="2025-07-23T00:00:00"/>
    <n v="9140.18"/>
    <n v="0.35880000000000001"/>
    <n v="3279.5"/>
    <n v="406077"/>
    <n v="8271"/>
    <n v="72806.740000000005"/>
    <n v="2025"/>
    <s v="June"/>
    <s v="Q2"/>
    <s v="Australia | ABC | BCD"/>
    <n v="2.0368058274662194E-2"/>
    <n v="22.200561061137371"/>
    <x v="0"/>
  </r>
  <r>
    <x v="22"/>
    <s v="East"/>
    <x v="1"/>
    <x v="5"/>
    <x v="0"/>
    <s v="SGD"/>
    <d v="2025-06-12T00:00:00"/>
    <d v="2025-08-11T00:00:00"/>
    <n v="8735.2900000000009"/>
    <n v="0.3528"/>
    <n v="3081.81"/>
    <n v="570383"/>
    <n v="37806"/>
    <n v="64142.61"/>
    <n v="2025"/>
    <s v="June"/>
    <s v="Q2"/>
    <s v="Australia | ABC | BCD"/>
    <n v="6.6281779085281295E-2"/>
    <n v="20.813291539712054"/>
    <x v="0"/>
  </r>
  <r>
    <x v="23"/>
    <s v="East"/>
    <x v="0"/>
    <x v="5"/>
    <x v="1"/>
    <s v="AUD"/>
    <d v="2025-06-12T00:00:00"/>
    <d v="2025-07-07T00:00:00"/>
    <n v="41514.28"/>
    <n v="0.82509999999999994"/>
    <n v="34253.43"/>
    <n v="325697"/>
    <n v="17890"/>
    <n v="172933.71"/>
    <n v="2025"/>
    <s v="June"/>
    <s v="Q2"/>
    <s v="India | XYZ | PQR | TEST"/>
    <n v="5.4928353653856191E-2"/>
    <n v="5.0486538136472756"/>
    <x v="0"/>
  </r>
  <r>
    <x v="33"/>
    <s v="North"/>
    <x v="0"/>
    <x v="0"/>
    <x v="1"/>
    <s v="GBP"/>
    <d v="2025-06-12T00:00:00"/>
    <d v="2025-07-03T00:00:00"/>
    <n v="11132.15"/>
    <n v="0.25130000000000002"/>
    <n v="2797.51"/>
    <n v="271824"/>
    <n v="40640"/>
    <n v="92226.71"/>
    <n v="2025"/>
    <s v="June"/>
    <s v="Q2"/>
    <s v="Australia | ABC | BCD"/>
    <n v="0.14950850550356112"/>
    <n v="32.967428177200439"/>
    <x v="0"/>
  </r>
  <r>
    <x v="2"/>
    <s v="South"/>
    <x v="0"/>
    <x v="3"/>
    <x v="2"/>
    <s v="AUD"/>
    <d v="2025-06-14T00:00:00"/>
    <d v="2025-08-12T00:00:00"/>
    <n v="22575"/>
    <n v="0.63590000000000002"/>
    <n v="14355.44"/>
    <n v="489123"/>
    <n v="1105"/>
    <n v="181998.74"/>
    <n v="2025"/>
    <s v="June"/>
    <s v="Q2"/>
    <s v="UK | JKL | MNO | PQR"/>
    <n v="2.2591454501219529E-3"/>
    <n v="12.678032857230429"/>
    <x v="0"/>
  </r>
  <r>
    <x v="51"/>
    <s v="North"/>
    <x v="3"/>
    <x v="1"/>
    <x v="2"/>
    <s v="SGD"/>
    <d v="2025-06-14T00:00:00"/>
    <d v="2025-07-12T00:00:00"/>
    <n v="28172.5"/>
    <n v="0.1321"/>
    <n v="3721.59"/>
    <n v="896982"/>
    <n v="33910"/>
    <n v="213535.68"/>
    <n v="2025"/>
    <s v="June"/>
    <s v="Q2"/>
    <s v="India | XYZ | PQR | TEST"/>
    <n v="3.7804549032199083E-2"/>
    <n v="57.377540244895322"/>
    <x v="0"/>
  </r>
  <r>
    <x v="49"/>
    <s v="West"/>
    <x v="2"/>
    <x v="1"/>
    <x v="1"/>
    <s v="GBP"/>
    <d v="2025-06-16T00:00:00"/>
    <d v="2025-07-18T00:00:00"/>
    <n v="9125.36"/>
    <n v="0.51800000000000002"/>
    <n v="4726.9399999999996"/>
    <n v="735443"/>
    <n v="19906"/>
    <n v="127658.47"/>
    <n v="2025"/>
    <s v="June"/>
    <s v="Q2"/>
    <s v="Australia | ABC | BCD"/>
    <n v="2.7066679538727E-2"/>
    <n v="27.006577193702483"/>
    <x v="0"/>
  </r>
  <r>
    <x v="12"/>
    <s v="West"/>
    <x v="4"/>
    <x v="1"/>
    <x v="1"/>
    <s v="GBP"/>
    <d v="2025-06-18T00:00:00"/>
    <d v="2025-08-07T00:00:00"/>
    <n v="4203.5"/>
    <n v="0.18190000000000001"/>
    <n v="764.62"/>
    <n v="979047"/>
    <n v="8671"/>
    <n v="199750.04"/>
    <n v="2025"/>
    <s v="June"/>
    <s v="Q2"/>
    <s v="India | XYZ | PQR | TEST"/>
    <n v="8.8565717478323314E-3"/>
    <n v="261.2409301352306"/>
    <x v="0"/>
  </r>
  <r>
    <x v="44"/>
    <s v="South"/>
    <x v="0"/>
    <x v="1"/>
    <x v="2"/>
    <s v="USD"/>
    <d v="2025-06-19T00:00:00"/>
    <d v="2025-08-06T00:00:00"/>
    <n v="19852.45"/>
    <n v="1.0622"/>
    <n v="21087.27"/>
    <n v="872752"/>
    <n v="7466"/>
    <n v="125496.04"/>
    <n v="2025"/>
    <s v="June"/>
    <s v="Q2"/>
    <s v="USA | DEF | GHI"/>
    <n v="8.554549287770179E-3"/>
    <n v="5.95127012647914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EC54F-730F-4848-A2D6-B420A381117C}"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K21:N24" firstHeaderRow="0" firstDataRow="1" firstDataCol="1" rowPageCount="2" colPageCount="1"/>
  <pivotFields count="21">
    <pivotField axis="axisPage" showAll="0" sortType="descending">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autoSortScope>
        <pivotArea dataOnly="0" outline="0" fieldPosition="0">
          <references count="1">
            <reference field="4294967294" count="1" selected="0">
              <x v="2"/>
            </reference>
          </references>
        </pivotArea>
      </autoSortScope>
    </pivotField>
    <pivotField showAll="0"/>
    <pivotField axis="axisRow" showAll="0">
      <items count="6">
        <item x="3"/>
        <item x="0"/>
        <item x="2"/>
        <item x="1"/>
        <item x="4"/>
        <item t="default"/>
      </items>
    </pivotField>
    <pivotField axis="axisRow" showAll="0">
      <items count="7">
        <item sd="0" x="3"/>
        <item x="4"/>
        <item x="5"/>
        <item x="0"/>
        <item x="1"/>
        <item x="2"/>
        <item t="default"/>
      </items>
    </pivotField>
    <pivotField axis="axisRow"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3">
    <field x="2"/>
    <field x="4"/>
    <field x="3"/>
  </rowFields>
  <rowItems count="3">
    <i>
      <x/>
    </i>
    <i r="1">
      <x v="1"/>
    </i>
    <i r="2">
      <x v="4"/>
    </i>
  </rowItems>
  <colFields count="1">
    <field x="-2"/>
  </colFields>
  <colItems count="3">
    <i>
      <x/>
    </i>
    <i i="1">
      <x v="1"/>
    </i>
    <i i="2">
      <x v="2"/>
    </i>
  </colItems>
  <pageFields count="2">
    <pageField fld="20" item="1" hier="-1"/>
    <pageField fld="0" item="26" hier="-1"/>
  </pageFields>
  <dataFields count="3">
    <dataField name="Average Spend" fld="10" subtotal="average" baseField="18" baseItem="0"/>
    <dataField name="Average Sales" fld="13" subtotal="average" baseField="18" baseItem="0"/>
    <dataField name="Average ROAS" fld="19" subtotal="average" baseField="3" baseItem="0" numFmtId="2"/>
  </dataFields>
  <formats count="13">
    <format dxfId="12">
      <pivotArea outline="0" collapsedLevelsAreSubtotals="1" fieldPosition="0"/>
    </format>
    <format dxfId="11">
      <pivotArea type="all" dataOnly="0" outline="0" fieldPosition="0"/>
    </format>
    <format dxfId="10">
      <pivotArea outline="0" collapsedLevelsAreSubtotals="1" fieldPosition="0"/>
    </format>
    <format dxfId="9">
      <pivotArea field="20" type="button" dataOnly="0" labelOnly="1" outline="0" axis="axisPage" fieldPosition="0"/>
    </format>
    <format dxfId="8">
      <pivotArea dataOnly="0" labelOnly="1" fieldPosition="0">
        <references count="1">
          <reference field="20"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type="all" dataOnly="0" outline="0" fieldPosition="0"/>
    </format>
    <format dxfId="4">
      <pivotArea outline="0" collapsedLevelsAreSubtotals="1" fieldPosition="0"/>
    </format>
    <format dxfId="3">
      <pivotArea field="20" type="button" dataOnly="0" labelOnly="1" outline="0" axis="axisPage" fieldPosition="0"/>
    </format>
    <format dxfId="2">
      <pivotArea dataOnly="0" labelOnly="1" fieldPosition="0">
        <references count="1">
          <reference field="20"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5A89A-2B4A-46EE-ABDD-D195F8D34146}"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ountry">
  <location ref="G21:J24" firstHeaderRow="0" firstDataRow="1" firstDataCol="1" rowPageCount="2" colPageCount="1"/>
  <pivotFields count="21">
    <pivotField axis="axisPage" showAll="0" sortType="descending">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autoSortScope>
        <pivotArea dataOnly="0" outline="0" fieldPosition="0">
          <references count="1">
            <reference field="4294967294" count="1" selected="0">
              <x v="2"/>
            </reference>
          </references>
        </pivotArea>
      </autoSortScope>
    </pivotField>
    <pivotField showAll="0"/>
    <pivotField axis="axisRow" showAll="0">
      <items count="6">
        <item x="3"/>
        <item x="0"/>
        <item x="2"/>
        <item x="1"/>
        <item x="4"/>
        <item t="default"/>
      </items>
    </pivotField>
    <pivotField axis="axisRow" showAll="0">
      <items count="7">
        <item sd="0" x="3"/>
        <item x="4"/>
        <item x="5"/>
        <item x="0"/>
        <item x="1"/>
        <item x="2"/>
        <item t="default"/>
      </items>
    </pivotField>
    <pivotField axis="axisRow"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3">
    <field x="2"/>
    <field x="4"/>
    <field x="3"/>
  </rowFields>
  <rowItems count="3">
    <i>
      <x v="4"/>
    </i>
    <i r="1">
      <x/>
    </i>
    <i r="2">
      <x/>
    </i>
  </rowItems>
  <colFields count="1">
    <field x="-2"/>
  </colFields>
  <colItems count="3">
    <i>
      <x/>
    </i>
    <i i="1">
      <x v="1"/>
    </i>
    <i i="2">
      <x v="2"/>
    </i>
  </colItems>
  <pageFields count="2">
    <pageField fld="20" item="1" hier="-1"/>
    <pageField fld="0" item="31" hier="-1"/>
  </pageFields>
  <dataFields count="3">
    <dataField name="Average Spend" fld="10" subtotal="average" baseField="18" baseItem="0"/>
    <dataField name="Average Sales" fld="13" subtotal="average" baseField="18" baseItem="0"/>
    <dataField name="Average ROAS" fld="19" subtotal="average" baseField="3" baseItem="0" numFmtId="2"/>
  </dataFields>
  <formats count="13">
    <format dxfId="25">
      <pivotArea outline="0" collapsedLevelsAreSubtotals="1" fieldPosition="0"/>
    </format>
    <format dxfId="24">
      <pivotArea type="all" dataOnly="0" outline="0" fieldPosition="0"/>
    </format>
    <format dxfId="23">
      <pivotArea outline="0" collapsedLevelsAreSubtotals="1" fieldPosition="0"/>
    </format>
    <format dxfId="22">
      <pivotArea field="20" type="button" dataOnly="0" labelOnly="1" outline="0" axis="axisPage" fieldPosition="0"/>
    </format>
    <format dxfId="21">
      <pivotArea dataOnly="0" labelOnly="1" fieldPosition="0">
        <references count="1">
          <reference field="20" count="0"/>
        </references>
      </pivotArea>
    </format>
    <format dxfId="20">
      <pivotArea dataOnly="0" labelOnly="1" grandRow="1" outline="0" fieldPosition="0"/>
    </format>
    <format dxfId="19">
      <pivotArea dataOnly="0" labelOnly="1" outline="0" fieldPosition="0">
        <references count="1">
          <reference field="4294967294" count="2">
            <x v="0"/>
            <x v="1"/>
          </reference>
        </references>
      </pivotArea>
    </format>
    <format dxfId="18">
      <pivotArea type="all" dataOnly="0" outline="0" fieldPosition="0"/>
    </format>
    <format dxfId="17">
      <pivotArea outline="0" collapsedLevelsAreSubtotals="1" fieldPosition="0"/>
    </format>
    <format dxfId="16">
      <pivotArea field="20" type="button" dataOnly="0" labelOnly="1" outline="0" axis="axisPage" fieldPosition="0"/>
    </format>
    <format dxfId="15">
      <pivotArea dataOnly="0" labelOnly="1" fieldPosition="0">
        <references count="1">
          <reference field="20" count="0"/>
        </references>
      </pivotArea>
    </format>
    <format dxfId="14">
      <pivotArea dataOnly="0" labelOnly="1" grandRow="1" outline="0" fieldPosition="0"/>
    </format>
    <format dxfId="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3833C6-6DB7-4C60-AB79-65722D3CA9CE}"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mpaign ID">
  <location ref="G5:J13" firstHeaderRow="0" firstDataRow="1" firstDataCol="1" rowPageCount="1" colPageCount="1"/>
  <pivotFields count="21">
    <pivotField axis="axisRow" showAll="0" sortType="descending">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autoSortScope>
        <pivotArea dataOnly="0" outline="0" fieldPosition="0">
          <references count="1">
            <reference field="4294967294" count="1" selected="0">
              <x v="2"/>
            </reference>
          </references>
        </pivotArea>
      </autoSortScope>
    </pivotField>
    <pivotField showAll="0"/>
    <pivotField showAll="0">
      <items count="6">
        <item x="3"/>
        <item x="0"/>
        <item x="2"/>
        <item x="1"/>
        <item x="4"/>
        <item t="default"/>
      </items>
    </pivotField>
    <pivotField showAll="0">
      <items count="7">
        <item x="3"/>
        <item x="4"/>
        <item x="5"/>
        <item x="0"/>
        <item x="1"/>
        <item x="2"/>
        <item t="default"/>
      </items>
    </pivotField>
    <pivotField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1">
    <field x="0"/>
  </rowFields>
  <rowItems count="8">
    <i>
      <x v="31"/>
    </i>
    <i>
      <x v="9"/>
    </i>
    <i>
      <x v="17"/>
    </i>
    <i>
      <x v="6"/>
    </i>
    <i>
      <x v="35"/>
    </i>
    <i>
      <x v="25"/>
    </i>
    <i>
      <x v="2"/>
    </i>
    <i>
      <x v="26"/>
    </i>
  </rowItems>
  <colFields count="1">
    <field x="-2"/>
  </colFields>
  <colItems count="3">
    <i>
      <x/>
    </i>
    <i i="1">
      <x v="1"/>
    </i>
    <i i="2">
      <x v="2"/>
    </i>
  </colItems>
  <pageFields count="1">
    <pageField fld="20" item="1" hier="-1"/>
  </pageFields>
  <dataFields count="3">
    <dataField name="Average Spend" fld="10" subtotal="average" baseField="18" baseItem="0"/>
    <dataField name="Average Sales" fld="13" subtotal="average" baseField="18" baseItem="0"/>
    <dataField name="Average ROAS" fld="19" subtotal="average" baseField="3" baseItem="0" numFmtId="2"/>
  </dataFields>
  <formats count="13">
    <format dxfId="38">
      <pivotArea outline="0" collapsedLevelsAreSubtotals="1" fieldPosition="0"/>
    </format>
    <format dxfId="37">
      <pivotArea type="all" dataOnly="0" outline="0" fieldPosition="0"/>
    </format>
    <format dxfId="36">
      <pivotArea outline="0" collapsedLevelsAreSubtotals="1" fieldPosition="0"/>
    </format>
    <format dxfId="35">
      <pivotArea field="20" type="button" dataOnly="0" labelOnly="1" outline="0" axis="axisPage" fieldPosition="0"/>
    </format>
    <format dxfId="34">
      <pivotArea dataOnly="0" labelOnly="1" fieldPosition="0">
        <references count="1">
          <reference field="20" count="0"/>
        </references>
      </pivotArea>
    </format>
    <format dxfId="33">
      <pivotArea dataOnly="0" labelOnly="1" grandRow="1" outline="0" fieldPosition="0"/>
    </format>
    <format dxfId="32">
      <pivotArea dataOnly="0" labelOnly="1" outline="0" fieldPosition="0">
        <references count="1">
          <reference field="4294967294" count="2">
            <x v="0"/>
            <x v="1"/>
          </reference>
        </references>
      </pivotArea>
    </format>
    <format dxfId="31">
      <pivotArea type="all" dataOnly="0" outline="0" fieldPosition="0"/>
    </format>
    <format dxfId="30">
      <pivotArea outline="0" collapsedLevelsAreSubtotals="1" fieldPosition="0"/>
    </format>
    <format dxfId="29">
      <pivotArea field="20" type="button" dataOnly="0" labelOnly="1" outline="0" axis="axisPage" fieldPosition="0"/>
    </format>
    <format dxfId="28">
      <pivotArea dataOnly="0" labelOnly="1" fieldPosition="0">
        <references count="1">
          <reference field="20" count="0"/>
        </references>
      </pivotArea>
    </format>
    <format dxfId="27">
      <pivotArea dataOnly="0" labelOnly="1" grandRow="1" outline="0" fieldPosition="0"/>
    </format>
    <format dxfId="2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ED2BDF-F3CE-4C3E-9D0E-274AFABEE6A1}" name="PivotTable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Country">
  <location ref="A20:E25" firstHeaderRow="0" firstDataRow="1" firstDataCol="1" rowPageCount="1" colPageCount="1"/>
  <pivotFields count="21">
    <pivotField axis="axisRow" dataField="1" showAll="0">
      <items count="61">
        <item x="1"/>
        <item x="21"/>
        <item x="8"/>
        <item x="54"/>
        <item x="40"/>
        <item x="7"/>
        <item x="26"/>
        <item x="44"/>
        <item x="3"/>
        <item x="36"/>
        <item x="34"/>
        <item x="52"/>
        <item x="12"/>
        <item x="39"/>
        <item x="31"/>
        <item x="46"/>
        <item x="35"/>
        <item x="56"/>
        <item x="51"/>
        <item x="42"/>
        <item x="30"/>
        <item x="19"/>
        <item x="38"/>
        <item x="37"/>
        <item x="17"/>
        <item x="45"/>
        <item x="2"/>
        <item x="43"/>
        <item x="25"/>
        <item x="20"/>
        <item x="29"/>
        <item x="28"/>
        <item x="32"/>
        <item x="22"/>
        <item x="49"/>
        <item x="27"/>
        <item x="57"/>
        <item x="48"/>
        <item x="13"/>
        <item x="6"/>
        <item x="10"/>
        <item x="16"/>
        <item x="53"/>
        <item x="9"/>
        <item x="23"/>
        <item x="15"/>
        <item x="4"/>
        <item x="11"/>
        <item x="55"/>
        <item x="33"/>
        <item x="47"/>
        <item x="58"/>
        <item x="50"/>
        <item x="5"/>
        <item x="59"/>
        <item x="24"/>
        <item x="18"/>
        <item x="14"/>
        <item x="0"/>
        <item x="41"/>
        <item t="default"/>
      </items>
    </pivotField>
    <pivotField showAll="0"/>
    <pivotField axis="axisRow" showAll="0" sortType="ascending">
      <items count="6">
        <item sd="0" x="3"/>
        <item sd="0" x="0"/>
        <item sd="0" x="2"/>
        <item sd="0" x="1"/>
        <item sd="0" x="4"/>
        <item t="default"/>
      </items>
      <autoSortScope>
        <pivotArea dataOnly="0" outline="0" fieldPosition="0">
          <references count="1">
            <reference field="4294967294" count="1" selected="0">
              <x v="3"/>
            </reference>
          </references>
        </pivotArea>
      </autoSortScope>
    </pivotField>
    <pivotField showAll="0">
      <items count="7">
        <item x="3"/>
        <item x="4"/>
        <item x="5"/>
        <item x="0"/>
        <item x="1"/>
        <item x="2"/>
        <item t="default"/>
      </items>
    </pivotField>
    <pivotField axis="axisRow" showAll="0">
      <items count="4">
        <item x="2"/>
        <item x="0"/>
        <item x="1"/>
        <item t="default"/>
      </items>
    </pivotField>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3">
    <field x="2"/>
    <field x="0"/>
    <field x="4"/>
  </rowFields>
  <rowItems count="5">
    <i>
      <x v="2"/>
    </i>
    <i>
      <x v="1"/>
    </i>
    <i>
      <x/>
    </i>
    <i>
      <x v="3"/>
    </i>
    <i>
      <x v="4"/>
    </i>
  </rowItems>
  <colFields count="1">
    <field x="-2"/>
  </colFields>
  <colItems count="4">
    <i>
      <x/>
    </i>
    <i i="1">
      <x v="1"/>
    </i>
    <i i="2">
      <x v="2"/>
    </i>
    <i i="3">
      <x v="3"/>
    </i>
  </colItems>
  <pageFields count="1">
    <pageField fld="20" item="1" hier="-1"/>
  </pageFields>
  <dataFields count="4">
    <dataField name="Average Spend" fld="10" subtotal="average" baseField="18" baseItem="0"/>
    <dataField name="Average Sales" fld="13" subtotal="average" baseField="18" baseItem="0"/>
    <dataField name="Campaign Count" fld="0" subtotal="count" baseField="3" baseItem="0" numFmtId="1"/>
    <dataField name="Average ROAS" fld="19" subtotal="average" baseField="3" baseItem="0" numFmtId="2"/>
  </dataFields>
  <formats count="14">
    <format dxfId="52">
      <pivotArea outline="0" collapsedLevelsAreSubtotals="1" fieldPosition="0"/>
    </format>
    <format dxfId="51">
      <pivotArea type="all" dataOnly="0" outline="0" fieldPosition="0"/>
    </format>
    <format dxfId="50">
      <pivotArea outline="0" collapsedLevelsAreSubtotals="1" fieldPosition="0"/>
    </format>
    <format dxfId="49">
      <pivotArea field="20" type="button" dataOnly="0" labelOnly="1" outline="0" axis="axisPage" fieldPosition="0"/>
    </format>
    <format dxfId="48">
      <pivotArea dataOnly="0" labelOnly="1" fieldPosition="0">
        <references count="1">
          <reference field="20" count="0"/>
        </references>
      </pivotArea>
    </format>
    <format dxfId="47">
      <pivotArea dataOnly="0" labelOnly="1" grandRow="1" outline="0" fieldPosition="0"/>
    </format>
    <format dxfId="46">
      <pivotArea dataOnly="0" labelOnly="1" outline="0" fieldPosition="0">
        <references count="1">
          <reference field="4294967294" count="2">
            <x v="0"/>
            <x v="1"/>
          </reference>
        </references>
      </pivotArea>
    </format>
    <format dxfId="45">
      <pivotArea type="all" dataOnly="0" outline="0" fieldPosition="0"/>
    </format>
    <format dxfId="44">
      <pivotArea outline="0" collapsedLevelsAreSubtotals="1" fieldPosition="0"/>
    </format>
    <format dxfId="43">
      <pivotArea field="20" type="button" dataOnly="0" labelOnly="1" outline="0" axis="axisPage" fieldPosition="0"/>
    </format>
    <format dxfId="42">
      <pivotArea dataOnly="0" labelOnly="1" fieldPosition="0">
        <references count="1">
          <reference field="20" count="0"/>
        </references>
      </pivotArea>
    </format>
    <format dxfId="41">
      <pivotArea dataOnly="0" labelOnly="1" grandRow="1" outline="0" fieldPosition="0"/>
    </format>
    <format dxfId="40">
      <pivotArea dataOnly="0" labelOnly="1" outline="0" fieldPosition="0">
        <references count="1">
          <reference field="4294967294" count="2">
            <x v="0"/>
            <x v="1"/>
          </reference>
        </references>
      </pivotArea>
    </format>
    <format dxfId="3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CFA17E-2BC5-416C-889D-E81F4D441DC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location ref="A10:E15" firstHeaderRow="0" firstDataRow="1" firstDataCol="1" rowPageCount="1" colPageCount="1"/>
  <pivotFields count="21">
    <pivotField dataField="1" showAll="0"/>
    <pivotField showAll="0"/>
    <pivotField showAll="0"/>
    <pivotField axis="axisRow" showAll="0">
      <items count="7">
        <item x="3"/>
        <item x="4"/>
        <item x="5"/>
        <item x="0"/>
        <item x="1"/>
        <item x="2"/>
        <item t="default"/>
      </items>
    </pivotField>
    <pivotField showAll="0"/>
    <pivotField showAll="0"/>
    <pivotField numFmtId="164" showAll="0"/>
    <pivotField numFmtId="164" showAll="0"/>
    <pivotField showAll="0"/>
    <pivotField showAll="0"/>
    <pivotField dataField="1" showAll="0"/>
    <pivotField showAll="0"/>
    <pivotField showAll="0"/>
    <pivotField dataField="1" showAll="0"/>
    <pivotField showAll="0"/>
    <pivotField showAll="0"/>
    <pivotField showAll="0"/>
    <pivotField showAll="0"/>
    <pivotField numFmtId="9" showAll="0"/>
    <pivotField dataField="1" numFmtId="2" showAll="0"/>
    <pivotField axis="axisPage" showAll="0">
      <items count="3">
        <item x="0"/>
        <item x="1"/>
        <item t="default"/>
      </items>
    </pivotField>
  </pivotFields>
  <rowFields count="1">
    <field x="3"/>
  </rowFields>
  <rowItems count="5">
    <i>
      <x/>
    </i>
    <i>
      <x v="1"/>
    </i>
    <i>
      <x v="2"/>
    </i>
    <i>
      <x v="4"/>
    </i>
    <i>
      <x v="5"/>
    </i>
  </rowItems>
  <colFields count="1">
    <field x="-2"/>
  </colFields>
  <colItems count="4">
    <i>
      <x/>
    </i>
    <i i="1">
      <x v="1"/>
    </i>
    <i i="2">
      <x v="2"/>
    </i>
    <i i="3">
      <x v="3"/>
    </i>
  </colItems>
  <pageFields count="1">
    <pageField fld="20" item="1" hier="-1"/>
  </pageFields>
  <dataFields count="4">
    <dataField name="Average Spend" fld="10" subtotal="average" baseField="18" baseItem="0"/>
    <dataField name="Average Sales" fld="13" subtotal="average" baseField="18" baseItem="0"/>
    <dataField name="Campaign Count" fld="0" subtotal="count" baseField="3" baseItem="0" numFmtId="1"/>
    <dataField name="Average ROAS" fld="19" subtotal="average" baseField="3" baseItem="0" numFmtId="2"/>
  </dataFields>
  <formats count="14">
    <format dxfId="66">
      <pivotArea outline="0" collapsedLevelsAreSubtotals="1" fieldPosition="0"/>
    </format>
    <format dxfId="65">
      <pivotArea type="all" dataOnly="0" outline="0" fieldPosition="0"/>
    </format>
    <format dxfId="64">
      <pivotArea outline="0" collapsedLevelsAreSubtotals="1" fieldPosition="0"/>
    </format>
    <format dxfId="63">
      <pivotArea field="20" type="button" dataOnly="0" labelOnly="1" outline="0" axis="axisPage" fieldPosition="0"/>
    </format>
    <format dxfId="62">
      <pivotArea dataOnly="0" labelOnly="1" fieldPosition="0">
        <references count="1">
          <reference field="20" count="0"/>
        </references>
      </pivotArea>
    </format>
    <format dxfId="61">
      <pivotArea dataOnly="0" labelOnly="1" grandRow="1" outline="0" fieldPosition="0"/>
    </format>
    <format dxfId="60">
      <pivotArea dataOnly="0" labelOnly="1" outline="0" fieldPosition="0">
        <references count="1">
          <reference field="4294967294" count="2">
            <x v="0"/>
            <x v="1"/>
          </reference>
        </references>
      </pivotArea>
    </format>
    <format dxfId="59">
      <pivotArea type="all" dataOnly="0" outline="0" fieldPosition="0"/>
    </format>
    <format dxfId="58">
      <pivotArea outline="0" collapsedLevelsAreSubtotals="1" fieldPosition="0"/>
    </format>
    <format dxfId="57">
      <pivotArea field="20" type="button" dataOnly="0" labelOnly="1" outline="0" axis="axisPage" fieldPosition="0"/>
    </format>
    <format dxfId="56">
      <pivotArea dataOnly="0" labelOnly="1" fieldPosition="0">
        <references count="1">
          <reference field="20"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 dxfId="5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8576E46-0C0E-44CB-8A63-4EB308C2FB7D}"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Outlier Status">
  <location ref="A3:E5" firstHeaderRow="0" firstDataRow="1" firstDataCol="1"/>
  <pivotFields count="21">
    <pivotField showAll="0"/>
    <pivotField showAll="0"/>
    <pivotField showAll="0"/>
    <pivotField showAll="0"/>
    <pivotField showAll="0"/>
    <pivotField showAll="0"/>
    <pivotField numFmtId="164" showAll="0"/>
    <pivotField numFmtId="164" showAll="0"/>
    <pivotField showAll="0"/>
    <pivotField showAll="0"/>
    <pivotField dataField="1" showAll="0"/>
    <pivotField showAll="0"/>
    <pivotField dataField="1" showAll="0"/>
    <pivotField dataField="1" showAll="0"/>
    <pivotField showAll="0"/>
    <pivotField showAll="0"/>
    <pivotField showAll="0"/>
    <pivotField showAll="0"/>
    <pivotField numFmtId="9" showAll="0"/>
    <pivotField dataField="1" numFmtId="2" showAll="0"/>
    <pivotField axis="axisRow" showAll="0">
      <items count="3">
        <item x="0"/>
        <item x="1"/>
        <item t="default"/>
      </items>
    </pivotField>
  </pivotFields>
  <rowFields count="1">
    <field x="20"/>
  </rowFields>
  <rowItems count="2">
    <i>
      <x/>
    </i>
    <i>
      <x v="1"/>
    </i>
  </rowItems>
  <colFields count="1">
    <field x="-2"/>
  </colFields>
  <colItems count="4">
    <i>
      <x/>
    </i>
    <i i="1">
      <x v="1"/>
    </i>
    <i i="2">
      <x v="2"/>
    </i>
    <i i="3">
      <x v="3"/>
    </i>
  </colItems>
  <dataFields count="4">
    <dataField name="Average Spend" fld="10" subtotal="average" baseField="18" baseItem="0"/>
    <dataField name="Average Sales" fld="13" subtotal="average" baseField="18" baseItem="0"/>
    <dataField name="Average Clicks" fld="12" subtotal="average" baseField="18" baseItem="0"/>
    <dataField name="Average ROAS" fld="19" subtotal="average" baseField="19" baseItem="1" numFmtId="2"/>
  </dataFields>
  <formats count="13">
    <format dxfId="79">
      <pivotArea outline="0" collapsedLevelsAreSubtotals="1" fieldPosition="0"/>
    </format>
    <format dxfId="78">
      <pivotArea type="all" dataOnly="0" outline="0" fieldPosition="0"/>
    </format>
    <format dxfId="77">
      <pivotArea outline="0" collapsedLevelsAreSubtotals="1" fieldPosition="0"/>
    </format>
    <format dxfId="76">
      <pivotArea field="20" type="button" dataOnly="0" labelOnly="1" outline="0" axis="axisRow" fieldPosition="0"/>
    </format>
    <format dxfId="75">
      <pivotArea dataOnly="0" labelOnly="1" fieldPosition="0">
        <references count="1">
          <reference field="20" count="0"/>
        </references>
      </pivotArea>
    </format>
    <format dxfId="74">
      <pivotArea dataOnly="0" labelOnly="1" grandRow="1" outline="0" fieldPosition="0"/>
    </format>
    <format dxfId="73">
      <pivotArea dataOnly="0" labelOnly="1" outline="0" fieldPosition="0">
        <references count="1">
          <reference field="4294967294" count="3">
            <x v="0"/>
            <x v="1"/>
            <x v="2"/>
          </reference>
        </references>
      </pivotArea>
    </format>
    <format dxfId="72">
      <pivotArea type="all" dataOnly="0" outline="0" fieldPosition="0"/>
    </format>
    <format dxfId="71">
      <pivotArea outline="0" collapsedLevelsAreSubtotals="1" fieldPosition="0"/>
    </format>
    <format dxfId="70">
      <pivotArea field="20" type="button" dataOnly="0" labelOnly="1" outline="0" axis="axisRow" fieldPosition="0"/>
    </format>
    <format dxfId="69">
      <pivotArea dataOnly="0" labelOnly="1" fieldPosition="0">
        <references count="1">
          <reference field="20" count="0"/>
        </references>
      </pivotArea>
    </format>
    <format dxfId="68">
      <pivotArea dataOnly="0" labelOnly="1" grandRow="1" outline="0" fieldPosition="0"/>
    </format>
    <format dxfId="6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E771C1-09AC-453D-B720-44EFF74AB09D}" name="Table1" displayName="Table1" ref="A1:U1001" totalsRowShown="0" headerRowDxfId="128" dataDxfId="126" headerRowBorderDxfId="127" tableBorderDxfId="125" totalsRowBorderDxfId="124">
  <autoFilter ref="A1:U1001" xr:uid="{00000000-0001-0000-0000-000000000000}"/>
  <sortState xmlns:xlrd2="http://schemas.microsoft.com/office/spreadsheetml/2017/richdata2" ref="A2:R1001">
    <sortCondition ref="G1:G1001"/>
  </sortState>
  <tableColumns count="21">
    <tableColumn id="1" xr3:uid="{189FD1C7-94CE-484E-ABA4-502F44D4DDF3}" name="Campaign_ID" dataDxfId="123"/>
    <tableColumn id="2" xr3:uid="{A8788CAE-575C-48BC-80F2-D9F5079081E1}" name="Region" dataDxfId="122"/>
    <tableColumn id="3" xr3:uid="{F0490881-33AF-475F-80FE-B99465B5BC3A}" name="Country" dataDxfId="121"/>
    <tableColumn id="4" xr3:uid="{AAE755E6-5171-4D08-B8C6-06D32D5BF035}" name="Product" dataDxfId="120"/>
    <tableColumn id="5" xr3:uid="{17B4D156-3C48-418A-9F5C-60DD3008682F}" name="Channel" dataDxfId="119"/>
    <tableColumn id="6" xr3:uid="{CB100C36-90E6-425D-B911-8F712AAC4F90}" name="Currency" dataDxfId="118"/>
    <tableColumn id="7" xr3:uid="{D237BC1F-A555-4A19-B537-60BF92C6C662}" name="Start_Date" dataDxfId="117"/>
    <tableColumn id="8" xr3:uid="{98E55540-9ECB-457B-BA58-C81F1FED36E6}" name="End_Date" dataDxfId="116"/>
    <tableColumn id="9" xr3:uid="{1A880017-F7A3-4C3B-92B7-98DA1BFCF9D2}" name="LC_Spend" dataDxfId="115"/>
    <tableColumn id="10" xr3:uid="{529F7EBC-F24D-4790-BBE6-468EABA33D35}" name="FX_Rate" dataDxfId="114"/>
    <tableColumn id="11" xr3:uid="{5F38FC69-9223-42A0-9738-92B0B63FE339}" name="USD_Spend" dataDxfId="113"/>
    <tableColumn id="12" xr3:uid="{FAF49395-5EBC-43F5-A51B-A7A6D96201F1}" name="Impressions" dataDxfId="112"/>
    <tableColumn id="13" xr3:uid="{089CD265-8E2E-4366-9BC2-08E21BA58A1E}" name="Clicks" dataDxfId="111"/>
    <tableColumn id="14" xr3:uid="{B585EC3D-82A8-4627-967B-EB1E3D9F2934}" name="Sales" dataDxfId="110"/>
    <tableColumn id="15" xr3:uid="{F2EEA633-1B08-4917-8F70-E5EF80E4B37D}" name="Year" dataDxfId="109"/>
    <tableColumn id="16" xr3:uid="{221D537A-1613-4CCA-8B8F-0AE343808551}" name="Month" dataDxfId="108"/>
    <tableColumn id="17" xr3:uid="{999B7C57-E190-4BD1-8E7B-CB64F7CD4F21}" name="Quarter" dataDxfId="107"/>
    <tableColumn id="18" xr3:uid="{23AC0444-8B66-4347-987B-71D6FFEB65EB}" name="Format" dataDxfId="106"/>
    <tableColumn id="21" xr3:uid="{6FF6304D-D37F-4808-8E5D-97376AD34612}" name="CTR" dataDxfId="105" dataCellStyle="Percent">
      <calculatedColumnFormula>Table1[[#This Row],[Clicks]]/Table1[[#This Row],[Impressions]]</calculatedColumnFormula>
    </tableColumn>
    <tableColumn id="20" xr3:uid="{A0268A0C-EF6A-4F6F-B4D6-4D64628877A0}" name="ROAS" dataDxfId="104">
      <calculatedColumnFormula>Table1[[#This Row],[Sales]]/Table1[[#This Row],[USD_Spend]]</calculatedColumnFormula>
    </tableColumn>
    <tableColumn id="19" xr3:uid="{7F5CC93B-E775-43DC-B49A-22C7B10098F0}" name="Spend_Outlier" dataDxfId="103">
      <calculatedColumnFormula>Outlier_Check!C12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623036-50F4-408A-97B5-F36ED3280CBD}" name="Table13" displayName="Table13" ref="A8:R1008" totalsRowShown="0" headerRowDxfId="102" dataDxfId="100" headerRowBorderDxfId="101" tableBorderDxfId="99" totalsRowBorderDxfId="98">
  <autoFilter ref="A8:R1008" xr:uid="{60623036-50F4-408A-97B5-F36ED3280CBD}"/>
  <sortState xmlns:xlrd2="http://schemas.microsoft.com/office/spreadsheetml/2017/richdata2" ref="A9:R1008">
    <sortCondition ref="H1:H1001"/>
  </sortState>
  <tableColumns count="18">
    <tableColumn id="1" xr3:uid="{43AECF09-8C4F-450D-A08F-792A55C368D3}" name="Campaign_ID" dataDxfId="97"/>
    <tableColumn id="18" xr3:uid="{8EBDF9D4-339A-4067-AEE0-18CD604242A2}" name="Column1" dataDxfId="96"/>
    <tableColumn id="2" xr3:uid="{A1E072F3-969D-4C3E-8E38-A9EE5F1BBFCC}" name="Region" dataDxfId="95"/>
    <tableColumn id="3" xr3:uid="{C26A7D1A-F605-4B6B-9FC8-81947F5C8C3C}" name="Country" dataDxfId="94"/>
    <tableColumn id="4" xr3:uid="{E681C537-EA57-4109-979A-82F895BF6E9E}" name="Product" dataDxfId="93"/>
    <tableColumn id="5" xr3:uid="{1A5D23C6-1A83-40AC-861F-378A75E238DA}" name="Channel" dataDxfId="92"/>
    <tableColumn id="6" xr3:uid="{B72A2A04-4ABC-44F9-B91E-8C9C78AFDEE8}" name="Currency" dataDxfId="91"/>
    <tableColumn id="7" xr3:uid="{75746D29-9707-4677-B760-B04F24C4B172}" name="Start_Date" dataDxfId="90"/>
    <tableColumn id="8" xr3:uid="{5F1270A5-5EF9-49B8-982F-51E25B3B8817}" name="End_Date" dataDxfId="89"/>
    <tableColumn id="9" xr3:uid="{911455C2-5980-49A3-B085-B370DD64ABE3}" name="LC_Spend" dataDxfId="88"/>
    <tableColumn id="10" xr3:uid="{2A6473BB-00D2-4C03-98A0-05371E0433FA}" name="FX_Rate" dataDxfId="87"/>
    <tableColumn id="11" xr3:uid="{DCC40A80-E719-4FA1-B0B6-FC05E0665DCD}" name="USD_Spend" dataDxfId="86"/>
    <tableColumn id="12" xr3:uid="{0CE0BB01-CBA4-4384-8592-F3E40FC804A5}" name="Impressions" dataDxfId="85"/>
    <tableColumn id="13" xr3:uid="{417A7737-615F-4384-99C4-AB8A12A81254}" name="Clicks" dataDxfId="84"/>
    <tableColumn id="14" xr3:uid="{937F29FA-403E-41AE-B25A-313FE5CA6E8E}" name="Sales" dataDxfId="83"/>
    <tableColumn id="15" xr3:uid="{7637C57C-B9BD-403D-8D30-F28792F88208}" name="Year" dataDxfId="82"/>
    <tableColumn id="16" xr3:uid="{D3FD1EB4-3F36-4A26-BDCF-5627B060227B}" name="Month" dataDxfId="81"/>
    <tableColumn id="17" xr3:uid="{17C5539E-4443-48BB-AB76-353A532AB2AC}" name="Quarter" dataDxfId="8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924688-6A1E-4973-A6DF-E0B9CB76ACB9}" name="Table14" displayName="Table14" ref="A11:I1011" totalsRowShown="0" headerRowDxfId="142" dataDxfId="140" headerRowBorderDxfId="141" tableBorderDxfId="139" totalsRowBorderDxfId="138">
  <autoFilter ref="A11:I1011" xr:uid="{E4924688-6A1E-4973-A6DF-E0B9CB76ACB9}"/>
  <tableColumns count="9">
    <tableColumn id="1" xr3:uid="{7787AA71-433B-490E-A87C-D3800DF3C6E7}" name="Campaign_ID" dataDxfId="137"/>
    <tableColumn id="11" xr3:uid="{2E0A73F8-B64F-4098-ABB8-1EFCB21A0D88}" name="USD_Spend" dataDxfId="136"/>
    <tableColumn id="2" xr3:uid="{644300BB-AD49-4D75-AD90-DD34A680445E}" name="Spend_Outlier" dataDxfId="135">
      <calculatedColumnFormula>IF(OR(Table14[[#This Row],[USD_Spend]]&gt;($B$4+1.5*$B$8),Table14[[#This Row],[USD_Spend]]&lt;($B$6-1.5*$B$8)),"Outlier","Normal")</calculatedColumnFormula>
    </tableColumn>
    <tableColumn id="12" xr3:uid="{06551DB4-6FF5-4B39-9CD6-5AF77B546407}" name="Impressions" dataDxfId="134"/>
    <tableColumn id="13" xr3:uid="{C1959AB2-0A70-4238-8F7F-CA9740C20774}" name="Clicks" dataDxfId="133"/>
    <tableColumn id="14" xr3:uid="{13834FC2-D27F-4D2A-9BA8-510BDF9B60BF}" name="Sales" dataDxfId="132"/>
    <tableColumn id="3" xr3:uid="{3E1B529A-39D1-46EF-8B20-3737100E9900}" name="Sales Outlier" dataDxfId="131">
      <calculatedColumnFormula>IF(OR(Table14[[#This Row],[Sales]]&gt;($B$5+1.5*$B$9),Table14[[#This Row],[Sales]]&lt;($B$7-1.5*$B$9)),"Outlier","Normal")</calculatedColumnFormula>
    </tableColumn>
    <tableColumn id="4" xr3:uid="{26CFFD09-CDBD-45D8-8E3E-0C0CDBFB3AE3}" name="ROAS" dataDxfId="130"/>
    <tableColumn id="5" xr3:uid="{502F9856-CA6B-4508-8CB1-26CC89A57F33}" name="ROAS_Outlier" dataDxfId="129">
      <calculatedColumnFormula>Table1[[#This Row],[Sales]]/Table1[[#This Row],[USD_Spend]]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workbookViewId="0">
      <pane ySplit="1" topLeftCell="A2" activePane="bottomLeft" state="frozen"/>
      <selection pane="bottomLeft" activeCell="N3" sqref="N3"/>
    </sheetView>
  </sheetViews>
  <sheetFormatPr defaultRowHeight="14.5" x14ac:dyDescent="0.35"/>
  <cols>
    <col min="1" max="1" width="16.453125" bestFit="1" customWidth="1"/>
    <col min="2" max="2" width="11" bestFit="1" customWidth="1"/>
    <col min="3" max="3" width="12.08984375" bestFit="1" customWidth="1"/>
    <col min="4" max="4" width="12" bestFit="1" customWidth="1"/>
    <col min="5" max="5" width="12.1796875" bestFit="1" customWidth="1"/>
    <col min="6" max="6" width="12.81640625" bestFit="1" customWidth="1"/>
    <col min="7" max="7" width="14.453125" bestFit="1" customWidth="1"/>
    <col min="8" max="8" width="13.54296875" bestFit="1" customWidth="1"/>
    <col min="9" max="9" width="13.453125" bestFit="1" customWidth="1"/>
    <col min="10" max="10" width="12.1796875" bestFit="1" customWidth="1"/>
    <col min="11" max="11" width="15" bestFit="1" customWidth="1"/>
    <col min="12" max="12" width="15.453125" bestFit="1" customWidth="1"/>
    <col min="13" max="13" width="10" bestFit="1" customWidth="1"/>
    <col min="14" max="14" width="9.81640625" bestFit="1" customWidth="1"/>
    <col min="15" max="15" width="9.08984375" bestFit="1" customWidth="1"/>
    <col min="16" max="16" width="11.08984375" bestFit="1" customWidth="1"/>
    <col min="17" max="17" width="12" bestFit="1" customWidth="1"/>
    <col min="18" max="18" width="20.90625" bestFit="1" customWidth="1"/>
    <col min="19" max="19" width="8.54296875" bestFit="1" customWidth="1"/>
    <col min="20" max="20" width="9.90625" bestFit="1" customWidth="1"/>
    <col min="21" max="21" width="17.453125" bestFit="1" customWidth="1"/>
  </cols>
  <sheetData>
    <row r="1" spans="1:21"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7" t="s">
        <v>17</v>
      </c>
      <c r="S1" s="20" t="s">
        <v>133</v>
      </c>
      <c r="T1" s="20" t="s">
        <v>131</v>
      </c>
      <c r="U1" s="12" t="s">
        <v>122</v>
      </c>
    </row>
    <row r="2" spans="1:21" x14ac:dyDescent="0.35">
      <c r="A2" s="3" t="s">
        <v>103</v>
      </c>
      <c r="B2" s="1" t="s">
        <v>35</v>
      </c>
      <c r="C2" s="1" t="s">
        <v>36</v>
      </c>
      <c r="D2" s="1" t="s">
        <v>37</v>
      </c>
      <c r="E2" s="1" t="s">
        <v>22</v>
      </c>
      <c r="F2" s="1" t="s">
        <v>44</v>
      </c>
      <c r="G2" s="2">
        <v>44927</v>
      </c>
      <c r="H2" s="2">
        <v>44953</v>
      </c>
      <c r="I2" s="1">
        <v>45976.91</v>
      </c>
      <c r="J2" s="1">
        <v>0.24970000000000001</v>
      </c>
      <c r="K2" s="1">
        <v>11480.43</v>
      </c>
      <c r="L2" s="1">
        <v>146828</v>
      </c>
      <c r="M2" s="1">
        <v>22431</v>
      </c>
      <c r="N2" s="1">
        <v>180649.72</v>
      </c>
      <c r="O2" s="1">
        <v>2023</v>
      </c>
      <c r="P2" s="1" t="s">
        <v>56</v>
      </c>
      <c r="Q2" s="1" t="s">
        <v>40</v>
      </c>
      <c r="R2" s="4" t="s">
        <v>61</v>
      </c>
      <c r="S2" s="24">
        <f>Table1[[#This Row],[Clicks]]/Table1[[#This Row],[Impressions]]</f>
        <v>0.15277058871604871</v>
      </c>
      <c r="T2" s="21">
        <f>Table1[[#This Row],[Sales]]/Table1[[#This Row],[USD_Spend]]</f>
        <v>15.735448933532977</v>
      </c>
      <c r="U2" s="19" t="str">
        <f>Outlier_Check!C12</f>
        <v>Normal</v>
      </c>
    </row>
    <row r="3" spans="1:21" x14ac:dyDescent="0.35">
      <c r="A3" s="3" t="s">
        <v>120</v>
      </c>
      <c r="B3" s="1" t="s">
        <v>19</v>
      </c>
      <c r="C3" s="1" t="s">
        <v>58</v>
      </c>
      <c r="D3" s="1" t="s">
        <v>63</v>
      </c>
      <c r="E3" s="1" t="s">
        <v>30</v>
      </c>
      <c r="F3" s="1" t="s">
        <v>31</v>
      </c>
      <c r="G3" s="2">
        <v>44928</v>
      </c>
      <c r="H3" s="2">
        <v>44985</v>
      </c>
      <c r="I3" s="1">
        <v>23767.95</v>
      </c>
      <c r="J3" s="1">
        <v>0.997</v>
      </c>
      <c r="K3" s="1">
        <v>23696.65</v>
      </c>
      <c r="L3" s="1">
        <v>313300</v>
      </c>
      <c r="M3" s="1">
        <v>42898</v>
      </c>
      <c r="N3" s="1">
        <v>243160.04</v>
      </c>
      <c r="O3" s="1">
        <v>2023</v>
      </c>
      <c r="P3" s="1" t="s">
        <v>56</v>
      </c>
      <c r="Q3" s="1" t="s">
        <v>40</v>
      </c>
      <c r="R3" s="4" t="s">
        <v>54</v>
      </c>
      <c r="S3" s="25">
        <f>Table1[[#This Row],[Clicks]]/Table1[[#This Row],[Impressions]]</f>
        <v>0.13692307692307693</v>
      </c>
      <c r="T3" s="22">
        <f>Table1[[#This Row],[Sales]]/Table1[[#This Row],[USD_Spend]]</f>
        <v>10.261367746073812</v>
      </c>
      <c r="U3" s="1" t="str">
        <f>Outlier_Check!C13</f>
        <v>Normal</v>
      </c>
    </row>
    <row r="4" spans="1:21" x14ac:dyDescent="0.35">
      <c r="A4" s="3" t="s">
        <v>96</v>
      </c>
      <c r="B4" s="1" t="s">
        <v>35</v>
      </c>
      <c r="C4" s="1" t="s">
        <v>36</v>
      </c>
      <c r="D4" s="1" t="s">
        <v>51</v>
      </c>
      <c r="E4" s="1" t="s">
        <v>30</v>
      </c>
      <c r="F4" s="1" t="s">
        <v>49</v>
      </c>
      <c r="G4" s="2">
        <v>44929</v>
      </c>
      <c r="H4" s="2">
        <v>44961</v>
      </c>
      <c r="I4" s="1">
        <v>32407.35</v>
      </c>
      <c r="J4" s="1">
        <v>1.1323000000000001</v>
      </c>
      <c r="K4" s="1">
        <v>36694.839999999997</v>
      </c>
      <c r="L4" s="1">
        <v>64382</v>
      </c>
      <c r="M4" s="1">
        <v>21268</v>
      </c>
      <c r="N4" s="1">
        <v>110974.3</v>
      </c>
      <c r="O4" s="1">
        <v>2023</v>
      </c>
      <c r="P4" s="1" t="s">
        <v>56</v>
      </c>
      <c r="Q4" s="1" t="s">
        <v>40</v>
      </c>
      <c r="R4" s="4" t="s">
        <v>54</v>
      </c>
      <c r="S4" s="25">
        <f>Table1[[#This Row],[Clicks]]/Table1[[#This Row],[Impressions]]</f>
        <v>0.33034077847845672</v>
      </c>
      <c r="T4" s="22">
        <f>Table1[[#This Row],[Sales]]/Table1[[#This Row],[USD_Spend]]</f>
        <v>3.0242480959175735</v>
      </c>
      <c r="U4" s="1" t="str">
        <f>Outlier_Check!C14</f>
        <v>Normal</v>
      </c>
    </row>
    <row r="5" spans="1:21" x14ac:dyDescent="0.35">
      <c r="A5" s="3" t="s">
        <v>96</v>
      </c>
      <c r="B5" s="1" t="s">
        <v>35</v>
      </c>
      <c r="C5" s="1" t="s">
        <v>20</v>
      </c>
      <c r="D5" s="1" t="s">
        <v>21</v>
      </c>
      <c r="E5" s="1" t="s">
        <v>30</v>
      </c>
      <c r="F5" s="1" t="s">
        <v>44</v>
      </c>
      <c r="G5" s="2">
        <v>44930</v>
      </c>
      <c r="H5" s="2">
        <v>44962</v>
      </c>
      <c r="I5" s="1">
        <v>4295.8</v>
      </c>
      <c r="J5" s="1">
        <v>0.67369999999999997</v>
      </c>
      <c r="K5" s="1">
        <v>2894.08</v>
      </c>
      <c r="L5" s="1">
        <v>228677</v>
      </c>
      <c r="M5" s="1">
        <v>46629</v>
      </c>
      <c r="N5" s="1">
        <v>48638.18</v>
      </c>
      <c r="O5" s="1">
        <v>2023</v>
      </c>
      <c r="P5" s="1" t="s">
        <v>56</v>
      </c>
      <c r="Q5" s="1" t="s">
        <v>40</v>
      </c>
      <c r="R5" s="4" t="s">
        <v>61</v>
      </c>
      <c r="S5" s="25">
        <f>Table1[[#This Row],[Clicks]]/Table1[[#This Row],[Impressions]]</f>
        <v>0.20390769513331031</v>
      </c>
      <c r="T5" s="22">
        <f>Table1[[#This Row],[Sales]]/Table1[[#This Row],[USD_Spend]]</f>
        <v>16.806093819106589</v>
      </c>
      <c r="U5" s="1" t="str">
        <f>Outlier_Check!C15</f>
        <v>Normal</v>
      </c>
    </row>
    <row r="6" spans="1:21" x14ac:dyDescent="0.35">
      <c r="A6" s="3" t="s">
        <v>106</v>
      </c>
      <c r="B6" s="1" t="s">
        <v>28</v>
      </c>
      <c r="C6" s="1" t="s">
        <v>58</v>
      </c>
      <c r="D6" s="1" t="s">
        <v>51</v>
      </c>
      <c r="E6" s="1" t="s">
        <v>38</v>
      </c>
      <c r="F6" s="1" t="s">
        <v>23</v>
      </c>
      <c r="G6" s="2">
        <v>44932</v>
      </c>
      <c r="H6" s="2">
        <v>44959</v>
      </c>
      <c r="I6" s="1">
        <v>44295.24</v>
      </c>
      <c r="J6" s="1">
        <v>0.85399999999999998</v>
      </c>
      <c r="K6" s="1">
        <v>37828.129999999997</v>
      </c>
      <c r="L6" s="1">
        <v>126041</v>
      </c>
      <c r="M6" s="1">
        <v>12523</v>
      </c>
      <c r="N6" s="1">
        <v>74800.44</v>
      </c>
      <c r="O6" s="1">
        <v>2023</v>
      </c>
      <c r="P6" s="1" t="s">
        <v>56</v>
      </c>
      <c r="Q6" s="1" t="s">
        <v>40</v>
      </c>
      <c r="R6" s="4" t="s">
        <v>61</v>
      </c>
      <c r="S6" s="25">
        <f>Table1[[#This Row],[Clicks]]/Table1[[#This Row],[Impressions]]</f>
        <v>9.9356558580144555E-2</v>
      </c>
      <c r="T6" s="22">
        <f>Table1[[#This Row],[Sales]]/Table1[[#This Row],[USD_Spend]]</f>
        <v>1.9773760955141058</v>
      </c>
      <c r="U6" s="1" t="str">
        <f>Outlier_Check!C16</f>
        <v>Normal</v>
      </c>
    </row>
    <row r="7" spans="1:21" x14ac:dyDescent="0.35">
      <c r="A7" s="3" t="s">
        <v>115</v>
      </c>
      <c r="B7" s="1" t="s">
        <v>48</v>
      </c>
      <c r="C7" s="1" t="s">
        <v>58</v>
      </c>
      <c r="D7" s="1" t="s">
        <v>63</v>
      </c>
      <c r="E7" s="1" t="s">
        <v>22</v>
      </c>
      <c r="F7" s="1" t="s">
        <v>23</v>
      </c>
      <c r="G7" s="2">
        <v>44933</v>
      </c>
      <c r="H7" s="2">
        <v>44977</v>
      </c>
      <c r="I7" s="1">
        <v>23557.34</v>
      </c>
      <c r="J7" s="1">
        <v>0.36499999999999999</v>
      </c>
      <c r="K7" s="1">
        <v>8598.43</v>
      </c>
      <c r="L7" s="1">
        <v>122369</v>
      </c>
      <c r="M7" s="1">
        <v>437</v>
      </c>
      <c r="N7" s="1">
        <v>90681.82</v>
      </c>
      <c r="O7" s="1">
        <v>2023</v>
      </c>
      <c r="P7" s="1" t="s">
        <v>56</v>
      </c>
      <c r="Q7" s="1" t="s">
        <v>40</v>
      </c>
      <c r="R7" s="4" t="s">
        <v>54</v>
      </c>
      <c r="S7" s="25">
        <f>Table1[[#This Row],[Clicks]]/Table1[[#This Row],[Impressions]]</f>
        <v>3.5711658998602586E-3</v>
      </c>
      <c r="T7" s="22">
        <f>Table1[[#This Row],[Sales]]/Table1[[#This Row],[USD_Spend]]</f>
        <v>10.546322991522871</v>
      </c>
      <c r="U7" s="1" t="str">
        <f>Outlier_Check!C17</f>
        <v>Normal</v>
      </c>
    </row>
    <row r="8" spans="1:21" x14ac:dyDescent="0.35">
      <c r="A8" s="3" t="s">
        <v>55</v>
      </c>
      <c r="B8" s="1" t="s">
        <v>28</v>
      </c>
      <c r="C8" s="1" t="s">
        <v>29</v>
      </c>
      <c r="D8" s="1" t="s">
        <v>37</v>
      </c>
      <c r="E8" s="1" t="s">
        <v>38</v>
      </c>
      <c r="F8" s="1" t="s">
        <v>23</v>
      </c>
      <c r="G8" s="2">
        <v>44934</v>
      </c>
      <c r="H8" s="2">
        <v>44962</v>
      </c>
      <c r="I8" s="1">
        <v>39327.61</v>
      </c>
      <c r="J8" s="1">
        <v>0.61399999999999999</v>
      </c>
      <c r="K8" s="1">
        <v>24147.15</v>
      </c>
      <c r="L8" s="1">
        <v>290608</v>
      </c>
      <c r="M8" s="1">
        <v>43267</v>
      </c>
      <c r="N8" s="1">
        <v>69802.27</v>
      </c>
      <c r="O8" s="1">
        <v>2023</v>
      </c>
      <c r="P8" s="1" t="s">
        <v>56</v>
      </c>
      <c r="Q8" s="1" t="s">
        <v>40</v>
      </c>
      <c r="R8" s="4" t="s">
        <v>26</v>
      </c>
      <c r="S8" s="25">
        <f>Table1[[#This Row],[Clicks]]/Table1[[#This Row],[Impressions]]</f>
        <v>0.1488844078621373</v>
      </c>
      <c r="T8" s="22">
        <f>Table1[[#This Row],[Sales]]/Table1[[#This Row],[USD_Spend]]</f>
        <v>2.8907042860130492</v>
      </c>
      <c r="U8" s="1" t="str">
        <f>Outlier_Check!C18</f>
        <v>Normal</v>
      </c>
    </row>
    <row r="9" spans="1:21" x14ac:dyDescent="0.35">
      <c r="A9" s="3" t="s">
        <v>107</v>
      </c>
      <c r="B9" s="1" t="s">
        <v>35</v>
      </c>
      <c r="C9" s="1" t="s">
        <v>36</v>
      </c>
      <c r="D9" s="1" t="s">
        <v>63</v>
      </c>
      <c r="E9" s="1" t="s">
        <v>38</v>
      </c>
      <c r="F9" s="1" t="s">
        <v>52</v>
      </c>
      <c r="G9" s="2">
        <v>44936</v>
      </c>
      <c r="H9" s="2">
        <v>44995</v>
      </c>
      <c r="I9" s="1">
        <v>7781.33</v>
      </c>
      <c r="J9" s="1">
        <v>0.7802</v>
      </c>
      <c r="K9" s="1">
        <v>6070.99</v>
      </c>
      <c r="L9" s="1">
        <v>354625</v>
      </c>
      <c r="M9" s="1">
        <v>23530</v>
      </c>
      <c r="N9" s="1">
        <v>224159.27</v>
      </c>
      <c r="O9" s="1">
        <v>2023</v>
      </c>
      <c r="P9" s="1" t="s">
        <v>56</v>
      </c>
      <c r="Q9" s="1" t="s">
        <v>40</v>
      </c>
      <c r="R9" s="4" t="s">
        <v>26</v>
      </c>
      <c r="S9" s="25">
        <f>Table1[[#This Row],[Clicks]]/Table1[[#This Row],[Impressions]]</f>
        <v>6.63517800493479E-2</v>
      </c>
      <c r="T9" s="22">
        <f>Table1[[#This Row],[Sales]]/Table1[[#This Row],[USD_Spend]]</f>
        <v>36.923017497969852</v>
      </c>
      <c r="U9" s="1" t="str">
        <f>Outlier_Check!C19</f>
        <v>Normal</v>
      </c>
    </row>
    <row r="10" spans="1:21" x14ac:dyDescent="0.35">
      <c r="A10" s="3" t="s">
        <v>78</v>
      </c>
      <c r="B10" s="1" t="s">
        <v>35</v>
      </c>
      <c r="C10" s="1" t="s">
        <v>29</v>
      </c>
      <c r="D10" s="1" t="s">
        <v>59</v>
      </c>
      <c r="E10" s="1" t="s">
        <v>38</v>
      </c>
      <c r="F10" s="1" t="s">
        <v>31</v>
      </c>
      <c r="G10" s="2">
        <v>44936</v>
      </c>
      <c r="H10" s="2">
        <v>44955</v>
      </c>
      <c r="I10" s="1">
        <v>37414.080000000002</v>
      </c>
      <c r="J10" s="1">
        <v>0.91249999999999998</v>
      </c>
      <c r="K10" s="1">
        <v>34140.35</v>
      </c>
      <c r="L10" s="1">
        <v>723612</v>
      </c>
      <c r="M10" s="1">
        <v>46577</v>
      </c>
      <c r="N10" s="1">
        <v>92666.15</v>
      </c>
      <c r="O10" s="1">
        <v>2023</v>
      </c>
      <c r="P10" s="1" t="s">
        <v>56</v>
      </c>
      <c r="Q10" s="1" t="s">
        <v>40</v>
      </c>
      <c r="R10" s="4" t="s">
        <v>26</v>
      </c>
      <c r="S10" s="25">
        <f>Table1[[#This Row],[Clicks]]/Table1[[#This Row],[Impressions]]</f>
        <v>6.4367368147570797E-2</v>
      </c>
      <c r="T10" s="22">
        <f>Table1[[#This Row],[Sales]]/Table1[[#This Row],[USD_Spend]]</f>
        <v>2.7142706504180536</v>
      </c>
      <c r="U10" s="1" t="str">
        <f>Outlier_Check!C20</f>
        <v>Normal</v>
      </c>
    </row>
    <row r="11" spans="1:21" x14ac:dyDescent="0.35">
      <c r="A11" s="3" t="s">
        <v>70</v>
      </c>
      <c r="B11" s="1" t="s">
        <v>19</v>
      </c>
      <c r="C11" s="1" t="s">
        <v>29</v>
      </c>
      <c r="D11" s="1" t="s">
        <v>43</v>
      </c>
      <c r="E11" s="1" t="s">
        <v>22</v>
      </c>
      <c r="F11" s="1" t="s">
        <v>49</v>
      </c>
      <c r="G11" s="2">
        <v>44936</v>
      </c>
      <c r="H11" s="2">
        <v>44944</v>
      </c>
      <c r="I11" s="1">
        <v>14037.96</v>
      </c>
      <c r="J11" s="1">
        <v>1.1467000000000001</v>
      </c>
      <c r="K11" s="1">
        <v>16097.33</v>
      </c>
      <c r="L11" s="1">
        <v>707640</v>
      </c>
      <c r="M11" s="1">
        <v>38271</v>
      </c>
      <c r="N11" s="1">
        <v>198355.76</v>
      </c>
      <c r="O11" s="1">
        <v>2023</v>
      </c>
      <c r="P11" s="1" t="s">
        <v>56</v>
      </c>
      <c r="Q11" s="1" t="s">
        <v>40</v>
      </c>
      <c r="R11" s="4" t="s">
        <v>41</v>
      </c>
      <c r="S11" s="25">
        <f>Table1[[#This Row],[Clicks]]/Table1[[#This Row],[Impressions]]</f>
        <v>5.4082584364931324E-2</v>
      </c>
      <c r="T11" s="22">
        <f>Table1[[#This Row],[Sales]]/Table1[[#This Row],[USD_Spend]]</f>
        <v>12.322277048429772</v>
      </c>
      <c r="U11" s="1" t="str">
        <f>Outlier_Check!C21</f>
        <v>Normal</v>
      </c>
    </row>
    <row r="12" spans="1:21" x14ac:dyDescent="0.35">
      <c r="A12" s="3" t="s">
        <v>106</v>
      </c>
      <c r="B12" s="1" t="s">
        <v>35</v>
      </c>
      <c r="C12" s="1" t="s">
        <v>58</v>
      </c>
      <c r="D12" s="1" t="s">
        <v>21</v>
      </c>
      <c r="E12" s="1" t="s">
        <v>30</v>
      </c>
      <c r="F12" s="1" t="s">
        <v>31</v>
      </c>
      <c r="G12" s="2">
        <v>44939</v>
      </c>
      <c r="H12" s="2">
        <v>44980</v>
      </c>
      <c r="I12" s="1">
        <v>41722.33</v>
      </c>
      <c r="J12" s="1">
        <v>0.50560000000000005</v>
      </c>
      <c r="K12" s="1">
        <v>21094.81</v>
      </c>
      <c r="L12" s="1">
        <v>812598</v>
      </c>
      <c r="M12" s="1">
        <v>12055</v>
      </c>
      <c r="N12" s="1">
        <v>120092.36</v>
      </c>
      <c r="O12" s="1">
        <v>2023</v>
      </c>
      <c r="P12" s="1" t="s">
        <v>56</v>
      </c>
      <c r="Q12" s="1" t="s">
        <v>40</v>
      </c>
      <c r="R12" s="4" t="s">
        <v>54</v>
      </c>
      <c r="S12" s="25">
        <f>Table1[[#This Row],[Clicks]]/Table1[[#This Row],[Impressions]]</f>
        <v>1.4835133731562224E-2</v>
      </c>
      <c r="T12" s="22">
        <f>Table1[[#This Row],[Sales]]/Table1[[#This Row],[USD_Spend]]</f>
        <v>5.6929813541814314</v>
      </c>
      <c r="U12" s="1" t="str">
        <f>Outlier_Check!C22</f>
        <v>Normal</v>
      </c>
    </row>
    <row r="13" spans="1:21" x14ac:dyDescent="0.35">
      <c r="A13" s="3" t="s">
        <v>18</v>
      </c>
      <c r="B13" s="1" t="s">
        <v>19</v>
      </c>
      <c r="C13" s="1" t="s">
        <v>36</v>
      </c>
      <c r="D13" s="1" t="s">
        <v>43</v>
      </c>
      <c r="E13" s="1" t="s">
        <v>30</v>
      </c>
      <c r="F13" s="1" t="s">
        <v>31</v>
      </c>
      <c r="G13" s="2">
        <v>44939</v>
      </c>
      <c r="H13" s="2">
        <v>44962</v>
      </c>
      <c r="I13" s="1">
        <v>46433.9</v>
      </c>
      <c r="J13" s="1">
        <v>0.54410000000000003</v>
      </c>
      <c r="K13" s="1">
        <v>25264.68</v>
      </c>
      <c r="L13" s="1">
        <v>721451</v>
      </c>
      <c r="M13" s="1">
        <v>20788</v>
      </c>
      <c r="N13" s="1">
        <v>240631.87</v>
      </c>
      <c r="O13" s="1">
        <v>2023</v>
      </c>
      <c r="P13" s="1" t="s">
        <v>56</v>
      </c>
      <c r="Q13" s="1" t="s">
        <v>40</v>
      </c>
      <c r="R13" s="4" t="s">
        <v>54</v>
      </c>
      <c r="S13" s="25">
        <f>Table1[[#This Row],[Clicks]]/Table1[[#This Row],[Impressions]]</f>
        <v>2.8814153698587985E-2</v>
      </c>
      <c r="T13" s="22">
        <f>Table1[[#This Row],[Sales]]/Table1[[#This Row],[USD_Spend]]</f>
        <v>9.5244376734635061</v>
      </c>
      <c r="U13" s="1" t="str">
        <f>Outlier_Check!C23</f>
        <v>Normal</v>
      </c>
    </row>
    <row r="14" spans="1:21" x14ac:dyDescent="0.35">
      <c r="A14" s="3" t="s">
        <v>99</v>
      </c>
      <c r="B14" s="1" t="s">
        <v>19</v>
      </c>
      <c r="C14" s="1" t="s">
        <v>69</v>
      </c>
      <c r="D14" s="1" t="s">
        <v>43</v>
      </c>
      <c r="E14" s="1" t="s">
        <v>30</v>
      </c>
      <c r="F14" s="1" t="s">
        <v>49</v>
      </c>
      <c r="G14" s="2">
        <v>44940</v>
      </c>
      <c r="H14" s="2">
        <v>44958</v>
      </c>
      <c r="I14" s="1">
        <v>33131.72</v>
      </c>
      <c r="J14" s="1">
        <v>1.1148</v>
      </c>
      <c r="K14" s="1">
        <v>36935.24</v>
      </c>
      <c r="L14" s="1">
        <v>882496</v>
      </c>
      <c r="M14" s="1">
        <v>5340</v>
      </c>
      <c r="N14" s="1">
        <v>119674.49</v>
      </c>
      <c r="O14" s="1">
        <v>2023</v>
      </c>
      <c r="P14" s="1" t="s">
        <v>56</v>
      </c>
      <c r="Q14" s="1" t="s">
        <v>40</v>
      </c>
      <c r="R14" s="4" t="s">
        <v>41</v>
      </c>
      <c r="S14" s="25">
        <f>Table1[[#This Row],[Clicks]]/Table1[[#This Row],[Impressions]]</f>
        <v>6.0510189281311189E-3</v>
      </c>
      <c r="T14" s="22">
        <f>Table1[[#This Row],[Sales]]/Table1[[#This Row],[USD_Spend]]</f>
        <v>3.2401167557053916</v>
      </c>
      <c r="U14" s="1" t="str">
        <f>Outlier_Check!C24</f>
        <v>Normal</v>
      </c>
    </row>
    <row r="15" spans="1:21" x14ac:dyDescent="0.35">
      <c r="A15" s="3" t="s">
        <v>103</v>
      </c>
      <c r="B15" s="1" t="s">
        <v>48</v>
      </c>
      <c r="C15" s="1" t="s">
        <v>36</v>
      </c>
      <c r="D15" s="1" t="s">
        <v>59</v>
      </c>
      <c r="E15" s="1" t="s">
        <v>22</v>
      </c>
      <c r="F15" s="1" t="s">
        <v>44</v>
      </c>
      <c r="G15" s="2">
        <v>44940</v>
      </c>
      <c r="H15" s="2">
        <v>44953</v>
      </c>
      <c r="I15" s="1">
        <v>26390.37</v>
      </c>
      <c r="J15" s="1">
        <v>0.45390000000000003</v>
      </c>
      <c r="K15" s="1">
        <v>11978.59</v>
      </c>
      <c r="L15" s="1">
        <v>518453</v>
      </c>
      <c r="M15" s="1">
        <v>27100</v>
      </c>
      <c r="N15" s="1">
        <v>88376.71</v>
      </c>
      <c r="O15" s="1">
        <v>2023</v>
      </c>
      <c r="P15" s="1" t="s">
        <v>56</v>
      </c>
      <c r="Q15" s="1" t="s">
        <v>40</v>
      </c>
      <c r="R15" s="4" t="s">
        <v>61</v>
      </c>
      <c r="S15" s="25">
        <f>Table1[[#This Row],[Clicks]]/Table1[[#This Row],[Impressions]]</f>
        <v>5.2270890514665748E-2</v>
      </c>
      <c r="T15" s="22">
        <f>Table1[[#This Row],[Sales]]/Table1[[#This Row],[USD_Spend]]</f>
        <v>7.377889217345281</v>
      </c>
      <c r="U15" s="1" t="str">
        <f>Outlier_Check!C25</f>
        <v>Normal</v>
      </c>
    </row>
    <row r="16" spans="1:21" x14ac:dyDescent="0.35">
      <c r="A16" s="3" t="s">
        <v>99</v>
      </c>
      <c r="B16" s="1" t="s">
        <v>28</v>
      </c>
      <c r="C16" s="1" t="s">
        <v>58</v>
      </c>
      <c r="D16" s="1" t="s">
        <v>51</v>
      </c>
      <c r="E16" s="1" t="s">
        <v>38</v>
      </c>
      <c r="F16" s="1" t="s">
        <v>23</v>
      </c>
      <c r="G16" s="2">
        <v>44941</v>
      </c>
      <c r="H16" s="2">
        <v>44962</v>
      </c>
      <c r="I16" s="1">
        <v>11571.4</v>
      </c>
      <c r="J16" s="1">
        <v>1.1079000000000001</v>
      </c>
      <c r="K16" s="1">
        <v>12819.95</v>
      </c>
      <c r="L16" s="1">
        <v>837630</v>
      </c>
      <c r="M16" s="1">
        <v>26181</v>
      </c>
      <c r="N16" s="1">
        <v>129119.6</v>
      </c>
      <c r="O16" s="1">
        <v>2023</v>
      </c>
      <c r="P16" s="1" t="s">
        <v>56</v>
      </c>
      <c r="Q16" s="1" t="s">
        <v>40</v>
      </c>
      <c r="R16" s="4" t="s">
        <v>61</v>
      </c>
      <c r="S16" s="25">
        <f>Table1[[#This Row],[Clicks]]/Table1[[#This Row],[Impressions]]</f>
        <v>3.1256043837971419E-2</v>
      </c>
      <c r="T16" s="22">
        <f>Table1[[#This Row],[Sales]]/Table1[[#This Row],[USD_Spend]]</f>
        <v>10.071770950744737</v>
      </c>
      <c r="U16" s="1" t="str">
        <f>Outlier_Check!C26</f>
        <v>Normal</v>
      </c>
    </row>
    <row r="17" spans="1:21" x14ac:dyDescent="0.35">
      <c r="A17" s="3" t="s">
        <v>87</v>
      </c>
      <c r="B17" s="1" t="s">
        <v>28</v>
      </c>
      <c r="C17" s="1" t="s">
        <v>69</v>
      </c>
      <c r="D17" s="1" t="s">
        <v>51</v>
      </c>
      <c r="E17" s="1" t="s">
        <v>30</v>
      </c>
      <c r="F17" s="1" t="s">
        <v>44</v>
      </c>
      <c r="G17" s="2">
        <v>44943</v>
      </c>
      <c r="H17" s="2">
        <v>44982</v>
      </c>
      <c r="I17" s="1">
        <v>33208.559999999998</v>
      </c>
      <c r="J17" s="1">
        <v>1.0428999999999999</v>
      </c>
      <c r="K17" s="1">
        <v>34633.21</v>
      </c>
      <c r="L17" s="1">
        <v>994630</v>
      </c>
      <c r="M17" s="1">
        <v>38324</v>
      </c>
      <c r="N17" s="1">
        <v>31078.47</v>
      </c>
      <c r="O17" s="1">
        <v>2023</v>
      </c>
      <c r="P17" s="1" t="s">
        <v>56</v>
      </c>
      <c r="Q17" s="1" t="s">
        <v>40</v>
      </c>
      <c r="R17" s="4" t="s">
        <v>61</v>
      </c>
      <c r="S17" s="25">
        <f>Table1[[#This Row],[Clicks]]/Table1[[#This Row],[Impressions]]</f>
        <v>3.8530910992027184E-2</v>
      </c>
      <c r="T17" s="22">
        <f>Table1[[#This Row],[Sales]]/Table1[[#This Row],[USD_Spend]]</f>
        <v>0.89736036596087976</v>
      </c>
      <c r="U17" s="1" t="str">
        <f>Outlier_Check!C27</f>
        <v>Normal</v>
      </c>
    </row>
    <row r="18" spans="1:21" x14ac:dyDescent="0.35">
      <c r="A18" s="3" t="s">
        <v>114</v>
      </c>
      <c r="B18" s="1" t="s">
        <v>35</v>
      </c>
      <c r="C18" s="1" t="s">
        <v>29</v>
      </c>
      <c r="D18" s="1" t="s">
        <v>21</v>
      </c>
      <c r="E18" s="1" t="s">
        <v>30</v>
      </c>
      <c r="F18" s="1" t="s">
        <v>52</v>
      </c>
      <c r="G18" s="2">
        <v>44943</v>
      </c>
      <c r="H18" s="2">
        <v>44964</v>
      </c>
      <c r="I18" s="1">
        <v>28112.27</v>
      </c>
      <c r="J18" s="1">
        <v>0.70499999999999996</v>
      </c>
      <c r="K18" s="1">
        <v>19819.150000000001</v>
      </c>
      <c r="L18" s="1">
        <v>764987</v>
      </c>
      <c r="M18" s="1">
        <v>27466</v>
      </c>
      <c r="N18" s="1">
        <v>77322.11</v>
      </c>
      <c r="O18" s="1">
        <v>2023</v>
      </c>
      <c r="P18" s="1" t="s">
        <v>56</v>
      </c>
      <c r="Q18" s="1" t="s">
        <v>40</v>
      </c>
      <c r="R18" s="4" t="s">
        <v>54</v>
      </c>
      <c r="S18" s="25">
        <f>Table1[[#This Row],[Clicks]]/Table1[[#This Row],[Impressions]]</f>
        <v>3.5903878105118123E-2</v>
      </c>
      <c r="T18" s="22">
        <f>Table1[[#This Row],[Sales]]/Table1[[#This Row],[USD_Spend]]</f>
        <v>3.9013837626739791</v>
      </c>
      <c r="U18" s="1" t="str">
        <f>Outlier_Check!C28</f>
        <v>Normal</v>
      </c>
    </row>
    <row r="19" spans="1:21" x14ac:dyDescent="0.35">
      <c r="A19" s="3" t="s">
        <v>50</v>
      </c>
      <c r="B19" s="1" t="s">
        <v>35</v>
      </c>
      <c r="C19" s="1" t="s">
        <v>29</v>
      </c>
      <c r="D19" s="1" t="s">
        <v>51</v>
      </c>
      <c r="E19" s="1" t="s">
        <v>38</v>
      </c>
      <c r="F19" s="1" t="s">
        <v>23</v>
      </c>
      <c r="G19" s="2">
        <v>44944</v>
      </c>
      <c r="H19" s="2">
        <v>44979</v>
      </c>
      <c r="I19" s="1">
        <v>18062.29</v>
      </c>
      <c r="J19" s="1">
        <v>0.83240000000000003</v>
      </c>
      <c r="K19" s="1">
        <v>15035.05</v>
      </c>
      <c r="L19" s="1">
        <v>155766</v>
      </c>
      <c r="M19" s="1">
        <v>29062</v>
      </c>
      <c r="N19" s="1">
        <v>222982.96</v>
      </c>
      <c r="O19" s="1">
        <v>2023</v>
      </c>
      <c r="P19" s="1" t="s">
        <v>56</v>
      </c>
      <c r="Q19" s="1" t="s">
        <v>40</v>
      </c>
      <c r="R19" s="4" t="s">
        <v>26</v>
      </c>
      <c r="S19" s="25">
        <f>Table1[[#This Row],[Clicks]]/Table1[[#This Row],[Impressions]]</f>
        <v>0.18657473389571536</v>
      </c>
      <c r="T19" s="22">
        <f>Table1[[#This Row],[Sales]]/Table1[[#This Row],[USD_Spend]]</f>
        <v>14.830875853422503</v>
      </c>
      <c r="U19" s="1" t="str">
        <f>Outlier_Check!C29</f>
        <v>Normal</v>
      </c>
    </row>
    <row r="20" spans="1:21" x14ac:dyDescent="0.35">
      <c r="A20" s="3" t="s">
        <v>108</v>
      </c>
      <c r="B20" s="1" t="s">
        <v>19</v>
      </c>
      <c r="C20" s="1" t="s">
        <v>36</v>
      </c>
      <c r="D20" s="1" t="s">
        <v>63</v>
      </c>
      <c r="E20" s="1" t="s">
        <v>38</v>
      </c>
      <c r="F20" s="1" t="s">
        <v>23</v>
      </c>
      <c r="G20" s="2">
        <v>44945</v>
      </c>
      <c r="H20" s="2">
        <v>44972</v>
      </c>
      <c r="I20" s="1">
        <v>44164.4</v>
      </c>
      <c r="J20" s="1">
        <v>0.43490000000000001</v>
      </c>
      <c r="K20" s="1">
        <v>19207.099999999999</v>
      </c>
      <c r="L20" s="1">
        <v>176309</v>
      </c>
      <c r="M20" s="1">
        <v>11550</v>
      </c>
      <c r="N20" s="1">
        <v>207847.43</v>
      </c>
      <c r="O20" s="1">
        <v>2023</v>
      </c>
      <c r="P20" s="1" t="s">
        <v>56</v>
      </c>
      <c r="Q20" s="1" t="s">
        <v>40</v>
      </c>
      <c r="R20" s="4" t="s">
        <v>61</v>
      </c>
      <c r="S20" s="25">
        <f>Table1[[#This Row],[Clicks]]/Table1[[#This Row],[Impressions]]</f>
        <v>6.5509985309882085E-2</v>
      </c>
      <c r="T20" s="22">
        <f>Table1[[#This Row],[Sales]]/Table1[[#This Row],[USD_Spend]]</f>
        <v>10.821385321053153</v>
      </c>
      <c r="U20" s="1" t="str">
        <f>Outlier_Check!C30</f>
        <v>Normal</v>
      </c>
    </row>
    <row r="21" spans="1:21" x14ac:dyDescent="0.35">
      <c r="A21" s="3" t="s">
        <v>109</v>
      </c>
      <c r="B21" s="1" t="s">
        <v>28</v>
      </c>
      <c r="C21" s="1" t="s">
        <v>69</v>
      </c>
      <c r="D21" s="1" t="s">
        <v>37</v>
      </c>
      <c r="E21" s="1" t="s">
        <v>38</v>
      </c>
      <c r="F21" s="1" t="s">
        <v>23</v>
      </c>
      <c r="G21" s="2">
        <v>44946</v>
      </c>
      <c r="H21" s="2">
        <v>44980</v>
      </c>
      <c r="I21" s="1">
        <v>46136.959999999999</v>
      </c>
      <c r="J21" s="1">
        <v>1.0359</v>
      </c>
      <c r="K21" s="1">
        <v>47793.279999999999</v>
      </c>
      <c r="L21" s="1">
        <v>613727</v>
      </c>
      <c r="M21" s="1">
        <v>28233</v>
      </c>
      <c r="N21" s="1">
        <v>145482.92000000001</v>
      </c>
      <c r="O21" s="1">
        <v>2023</v>
      </c>
      <c r="P21" s="1" t="s">
        <v>56</v>
      </c>
      <c r="Q21" s="1" t="s">
        <v>40</v>
      </c>
      <c r="R21" s="4" t="s">
        <v>41</v>
      </c>
      <c r="S21" s="25">
        <f>Table1[[#This Row],[Clicks]]/Table1[[#This Row],[Impressions]]</f>
        <v>4.6002538588004113E-2</v>
      </c>
      <c r="T21" s="22">
        <f>Table1[[#This Row],[Sales]]/Table1[[#This Row],[USD_Spend]]</f>
        <v>3.0440036758305773</v>
      </c>
      <c r="U21" s="1" t="str">
        <f>Outlier_Check!C31</f>
        <v>Normal</v>
      </c>
    </row>
    <row r="22" spans="1:21" x14ac:dyDescent="0.35">
      <c r="A22" s="3" t="s">
        <v>72</v>
      </c>
      <c r="B22" s="1" t="s">
        <v>48</v>
      </c>
      <c r="C22" s="1" t="s">
        <v>69</v>
      </c>
      <c r="D22" s="1" t="s">
        <v>43</v>
      </c>
      <c r="E22" s="1" t="s">
        <v>38</v>
      </c>
      <c r="F22" s="1" t="s">
        <v>49</v>
      </c>
      <c r="G22" s="2">
        <v>44946</v>
      </c>
      <c r="H22" s="2">
        <v>44968</v>
      </c>
      <c r="I22" s="1">
        <v>28149.69</v>
      </c>
      <c r="J22" s="1">
        <v>0.70750000000000002</v>
      </c>
      <c r="K22" s="1">
        <v>19915.91</v>
      </c>
      <c r="L22" s="1">
        <v>116440</v>
      </c>
      <c r="M22" s="1">
        <v>16242</v>
      </c>
      <c r="N22" s="1">
        <v>191929.68</v>
      </c>
      <c r="O22" s="1">
        <v>2023</v>
      </c>
      <c r="P22" s="1" t="s">
        <v>56</v>
      </c>
      <c r="Q22" s="1" t="s">
        <v>40</v>
      </c>
      <c r="R22" s="4" t="s">
        <v>26</v>
      </c>
      <c r="S22" s="25">
        <f>Table1[[#This Row],[Clicks]]/Table1[[#This Row],[Impressions]]</f>
        <v>0.13948814840261078</v>
      </c>
      <c r="T22" s="22">
        <f>Table1[[#This Row],[Sales]]/Table1[[#This Row],[USD_Spend]]</f>
        <v>9.6370027781808609</v>
      </c>
      <c r="U22" s="1" t="str">
        <f>Outlier_Check!C32</f>
        <v>Normal</v>
      </c>
    </row>
    <row r="23" spans="1:21" x14ac:dyDescent="0.35">
      <c r="A23" s="3" t="s">
        <v>105</v>
      </c>
      <c r="B23" s="1" t="s">
        <v>19</v>
      </c>
      <c r="C23" s="1" t="s">
        <v>20</v>
      </c>
      <c r="D23" s="1" t="s">
        <v>21</v>
      </c>
      <c r="E23" s="1" t="s">
        <v>22</v>
      </c>
      <c r="F23" s="1" t="s">
        <v>49</v>
      </c>
      <c r="G23" s="2">
        <v>44948</v>
      </c>
      <c r="H23" s="2">
        <v>44956</v>
      </c>
      <c r="I23" s="1">
        <v>2291.34</v>
      </c>
      <c r="J23" s="1">
        <v>0.94040000000000001</v>
      </c>
      <c r="K23" s="1">
        <v>2154.7800000000002</v>
      </c>
      <c r="L23" s="1">
        <v>215703</v>
      </c>
      <c r="M23" s="1">
        <v>35108</v>
      </c>
      <c r="N23" s="1">
        <v>153994.03</v>
      </c>
      <c r="O23" s="1">
        <v>2023</v>
      </c>
      <c r="P23" s="1" t="s">
        <v>56</v>
      </c>
      <c r="Q23" s="1" t="s">
        <v>40</v>
      </c>
      <c r="R23" s="4" t="s">
        <v>54</v>
      </c>
      <c r="S23" s="25">
        <f>Table1[[#This Row],[Clicks]]/Table1[[#This Row],[Impressions]]</f>
        <v>0.16276083318266321</v>
      </c>
      <c r="T23" s="22">
        <f>Table1[[#This Row],[Sales]]/Table1[[#This Row],[USD_Spend]]</f>
        <v>71.466242493433199</v>
      </c>
      <c r="U23" s="1" t="str">
        <f>Outlier_Check!C33</f>
        <v>Normal</v>
      </c>
    </row>
    <row r="24" spans="1:21" x14ac:dyDescent="0.35">
      <c r="A24" s="3" t="s">
        <v>114</v>
      </c>
      <c r="B24" s="1" t="s">
        <v>35</v>
      </c>
      <c r="C24" s="1" t="s">
        <v>29</v>
      </c>
      <c r="D24" s="1" t="s">
        <v>37</v>
      </c>
      <c r="E24" s="1" t="s">
        <v>38</v>
      </c>
      <c r="F24" s="1" t="s">
        <v>44</v>
      </c>
      <c r="G24" s="2">
        <v>44950</v>
      </c>
      <c r="H24" s="2">
        <v>44990</v>
      </c>
      <c r="I24" s="1">
        <v>32708.23</v>
      </c>
      <c r="J24" s="1">
        <v>0.75570000000000004</v>
      </c>
      <c r="K24" s="1">
        <v>24717.61</v>
      </c>
      <c r="L24" s="1">
        <v>960895</v>
      </c>
      <c r="M24" s="1">
        <v>5931</v>
      </c>
      <c r="N24" s="1">
        <v>243661.26</v>
      </c>
      <c r="O24" s="1">
        <v>2023</v>
      </c>
      <c r="P24" s="1" t="s">
        <v>56</v>
      </c>
      <c r="Q24" s="1" t="s">
        <v>40</v>
      </c>
      <c r="R24" s="4" t="s">
        <v>54</v>
      </c>
      <c r="S24" s="25">
        <f>Table1[[#This Row],[Clicks]]/Table1[[#This Row],[Impressions]]</f>
        <v>6.1723705503723093E-3</v>
      </c>
      <c r="T24" s="22">
        <f>Table1[[#This Row],[Sales]]/Table1[[#This Row],[USD_Spend]]</f>
        <v>9.8578001675728366</v>
      </c>
      <c r="U24" s="1" t="str">
        <f>Outlier_Check!C34</f>
        <v>Normal</v>
      </c>
    </row>
    <row r="25" spans="1:21" x14ac:dyDescent="0.35">
      <c r="A25" s="3" t="s">
        <v>70</v>
      </c>
      <c r="B25" s="1" t="s">
        <v>35</v>
      </c>
      <c r="C25" s="1" t="s">
        <v>29</v>
      </c>
      <c r="D25" s="1" t="s">
        <v>63</v>
      </c>
      <c r="E25" s="1" t="s">
        <v>30</v>
      </c>
      <c r="F25" s="1" t="s">
        <v>23</v>
      </c>
      <c r="G25" s="2">
        <v>44952</v>
      </c>
      <c r="H25" s="2">
        <v>44990</v>
      </c>
      <c r="I25" s="1">
        <v>41283.339999999997</v>
      </c>
      <c r="J25" s="1">
        <v>0.45619999999999999</v>
      </c>
      <c r="K25" s="1">
        <v>18833.46</v>
      </c>
      <c r="L25" s="1">
        <v>851814</v>
      </c>
      <c r="M25" s="1">
        <v>33440</v>
      </c>
      <c r="N25" s="1">
        <v>114161.44</v>
      </c>
      <c r="O25" s="1">
        <v>2023</v>
      </c>
      <c r="P25" s="1" t="s">
        <v>56</v>
      </c>
      <c r="Q25" s="1" t="s">
        <v>40</v>
      </c>
      <c r="R25" s="4" t="s">
        <v>26</v>
      </c>
      <c r="S25" s="25">
        <f>Table1[[#This Row],[Clicks]]/Table1[[#This Row],[Impressions]]</f>
        <v>3.9257396567795318E-2</v>
      </c>
      <c r="T25" s="22">
        <f>Table1[[#This Row],[Sales]]/Table1[[#This Row],[USD_Spend]]</f>
        <v>6.0616286120553529</v>
      </c>
      <c r="U25" s="1" t="str">
        <f>Outlier_Check!C35</f>
        <v>Normal</v>
      </c>
    </row>
    <row r="26" spans="1:21" x14ac:dyDescent="0.35">
      <c r="A26" s="3" t="s">
        <v>96</v>
      </c>
      <c r="B26" s="1" t="s">
        <v>19</v>
      </c>
      <c r="C26" s="1" t="s">
        <v>69</v>
      </c>
      <c r="D26" s="1" t="s">
        <v>51</v>
      </c>
      <c r="E26" s="1" t="s">
        <v>22</v>
      </c>
      <c r="F26" s="1" t="s">
        <v>31</v>
      </c>
      <c r="G26" s="2">
        <v>44953</v>
      </c>
      <c r="H26" s="2">
        <v>44996</v>
      </c>
      <c r="I26" s="1">
        <v>13127.39</v>
      </c>
      <c r="J26" s="1">
        <v>0.33139999999999997</v>
      </c>
      <c r="K26" s="1">
        <v>4350.42</v>
      </c>
      <c r="L26" s="1">
        <v>567286</v>
      </c>
      <c r="M26" s="1">
        <v>7308</v>
      </c>
      <c r="N26" s="1">
        <v>172574.92</v>
      </c>
      <c r="O26" s="1">
        <v>2023</v>
      </c>
      <c r="P26" s="1" t="s">
        <v>56</v>
      </c>
      <c r="Q26" s="1" t="s">
        <v>40</v>
      </c>
      <c r="R26" s="4" t="s">
        <v>41</v>
      </c>
      <c r="S26" s="25">
        <f>Table1[[#This Row],[Clicks]]/Table1[[#This Row],[Impressions]]</f>
        <v>1.2882390892777188E-2</v>
      </c>
      <c r="T26" s="22">
        <f>Table1[[#This Row],[Sales]]/Table1[[#This Row],[USD_Spend]]</f>
        <v>39.668565333921784</v>
      </c>
      <c r="U26" s="1" t="str">
        <f>Outlier_Check!C36</f>
        <v>Normal</v>
      </c>
    </row>
    <row r="27" spans="1:21" x14ac:dyDescent="0.35">
      <c r="A27" s="3" t="s">
        <v>81</v>
      </c>
      <c r="B27" s="1" t="s">
        <v>19</v>
      </c>
      <c r="C27" s="1" t="s">
        <v>36</v>
      </c>
      <c r="D27" s="1" t="s">
        <v>63</v>
      </c>
      <c r="E27" s="1" t="s">
        <v>38</v>
      </c>
      <c r="F27" s="1" t="s">
        <v>49</v>
      </c>
      <c r="G27" s="2">
        <v>44953</v>
      </c>
      <c r="H27" s="2">
        <v>44981</v>
      </c>
      <c r="I27" s="1">
        <v>28147.05</v>
      </c>
      <c r="J27" s="1">
        <v>0.44900000000000001</v>
      </c>
      <c r="K27" s="1">
        <v>12638.03</v>
      </c>
      <c r="L27" s="1">
        <v>852700</v>
      </c>
      <c r="M27" s="1">
        <v>36252</v>
      </c>
      <c r="N27" s="1">
        <v>36793.949999999997</v>
      </c>
      <c r="O27" s="1">
        <v>2023</v>
      </c>
      <c r="P27" s="1" t="s">
        <v>56</v>
      </c>
      <c r="Q27" s="1" t="s">
        <v>40</v>
      </c>
      <c r="R27" s="4" t="s">
        <v>54</v>
      </c>
      <c r="S27" s="25">
        <f>Table1[[#This Row],[Clicks]]/Table1[[#This Row],[Impressions]]</f>
        <v>4.2514366131112938E-2</v>
      </c>
      <c r="T27" s="22">
        <f>Table1[[#This Row],[Sales]]/Table1[[#This Row],[USD_Spend]]</f>
        <v>2.9113675153485152</v>
      </c>
      <c r="U27" s="1" t="str">
        <f>Outlier_Check!C37</f>
        <v>Normal</v>
      </c>
    </row>
    <row r="28" spans="1:21" x14ac:dyDescent="0.35">
      <c r="A28" s="3" t="s">
        <v>102</v>
      </c>
      <c r="B28" s="1" t="s">
        <v>48</v>
      </c>
      <c r="C28" s="1" t="s">
        <v>20</v>
      </c>
      <c r="D28" s="1" t="s">
        <v>21</v>
      </c>
      <c r="E28" s="1" t="s">
        <v>22</v>
      </c>
      <c r="F28" s="1" t="s">
        <v>44</v>
      </c>
      <c r="G28" s="2">
        <v>44953</v>
      </c>
      <c r="H28" s="2">
        <v>44967</v>
      </c>
      <c r="I28" s="1">
        <v>39735</v>
      </c>
      <c r="J28" s="1">
        <v>1.0105</v>
      </c>
      <c r="K28" s="1">
        <v>40152.22</v>
      </c>
      <c r="L28" s="1">
        <v>554172</v>
      </c>
      <c r="M28" s="1">
        <v>48678</v>
      </c>
      <c r="N28" s="1">
        <v>151986.69</v>
      </c>
      <c r="O28" s="1">
        <v>2023</v>
      </c>
      <c r="P28" s="1" t="s">
        <v>56</v>
      </c>
      <c r="Q28" s="1" t="s">
        <v>40</v>
      </c>
      <c r="R28" s="4" t="s">
        <v>54</v>
      </c>
      <c r="S28" s="25">
        <f>Table1[[#This Row],[Clicks]]/Table1[[#This Row],[Impressions]]</f>
        <v>8.7839154630692279E-2</v>
      </c>
      <c r="T28" s="22">
        <f>Table1[[#This Row],[Sales]]/Table1[[#This Row],[USD_Spend]]</f>
        <v>3.7852624338081431</v>
      </c>
      <c r="U28" s="1" t="str">
        <f>Outlier_Check!C38</f>
        <v>Normal</v>
      </c>
    </row>
    <row r="29" spans="1:21" x14ac:dyDescent="0.35">
      <c r="A29" s="3" t="s">
        <v>72</v>
      </c>
      <c r="B29" s="1" t="s">
        <v>48</v>
      </c>
      <c r="C29" s="1" t="s">
        <v>29</v>
      </c>
      <c r="D29" s="1" t="s">
        <v>63</v>
      </c>
      <c r="E29" s="1" t="s">
        <v>30</v>
      </c>
      <c r="F29" s="1" t="s">
        <v>49</v>
      </c>
      <c r="G29" s="2">
        <v>44955</v>
      </c>
      <c r="H29" s="2">
        <v>44984</v>
      </c>
      <c r="I29" s="1">
        <v>3432.9</v>
      </c>
      <c r="J29" s="1">
        <v>1.026</v>
      </c>
      <c r="K29" s="1">
        <v>3522.16</v>
      </c>
      <c r="L29" s="1">
        <v>827711</v>
      </c>
      <c r="M29" s="1">
        <v>14145</v>
      </c>
      <c r="N29" s="1">
        <v>214992.24</v>
      </c>
      <c r="O29" s="1">
        <v>2023</v>
      </c>
      <c r="P29" s="1" t="s">
        <v>56</v>
      </c>
      <c r="Q29" s="1" t="s">
        <v>40</v>
      </c>
      <c r="R29" s="4" t="s">
        <v>26</v>
      </c>
      <c r="S29" s="25">
        <f>Table1[[#This Row],[Clicks]]/Table1[[#This Row],[Impressions]]</f>
        <v>1.7089298076260917E-2</v>
      </c>
      <c r="T29" s="22">
        <f>Table1[[#This Row],[Sales]]/Table1[[#This Row],[USD_Spend]]</f>
        <v>61.039884616258206</v>
      </c>
      <c r="U29" s="1" t="str">
        <f>Outlier_Check!C39</f>
        <v>Normal</v>
      </c>
    </row>
    <row r="30" spans="1:21" x14ac:dyDescent="0.35">
      <c r="A30" s="3" t="s">
        <v>78</v>
      </c>
      <c r="B30" s="1" t="s">
        <v>35</v>
      </c>
      <c r="C30" s="1" t="s">
        <v>58</v>
      </c>
      <c r="D30" s="1" t="s">
        <v>59</v>
      </c>
      <c r="E30" s="1" t="s">
        <v>22</v>
      </c>
      <c r="F30" s="1" t="s">
        <v>49</v>
      </c>
      <c r="G30" s="2">
        <v>44956</v>
      </c>
      <c r="H30" s="2">
        <v>44991</v>
      </c>
      <c r="I30" s="1">
        <v>33432.39</v>
      </c>
      <c r="J30" s="1">
        <v>0.54859999999999998</v>
      </c>
      <c r="K30" s="1">
        <v>18341.009999999998</v>
      </c>
      <c r="L30" s="1">
        <v>288479</v>
      </c>
      <c r="M30" s="1">
        <v>7854</v>
      </c>
      <c r="N30" s="1">
        <v>232097.29</v>
      </c>
      <c r="O30" s="1">
        <v>2023</v>
      </c>
      <c r="P30" s="1" t="s">
        <v>56</v>
      </c>
      <c r="Q30" s="1" t="s">
        <v>40</v>
      </c>
      <c r="R30" s="4" t="s">
        <v>54</v>
      </c>
      <c r="S30" s="25">
        <f>Table1[[#This Row],[Clicks]]/Table1[[#This Row],[Impressions]]</f>
        <v>2.7225551946588832E-2</v>
      </c>
      <c r="T30" s="22">
        <f>Table1[[#This Row],[Sales]]/Table1[[#This Row],[USD_Spend]]</f>
        <v>12.654553375195807</v>
      </c>
      <c r="U30" s="1" t="str">
        <f>Outlier_Check!C40</f>
        <v>Normal</v>
      </c>
    </row>
    <row r="31" spans="1:21" x14ac:dyDescent="0.35">
      <c r="A31" s="3" t="s">
        <v>91</v>
      </c>
      <c r="B31" s="1" t="s">
        <v>48</v>
      </c>
      <c r="C31" s="1" t="s">
        <v>20</v>
      </c>
      <c r="D31" s="1" t="s">
        <v>43</v>
      </c>
      <c r="E31" s="1" t="s">
        <v>22</v>
      </c>
      <c r="F31" s="1" t="s">
        <v>49</v>
      </c>
      <c r="G31" s="2">
        <v>44956</v>
      </c>
      <c r="H31" s="2">
        <v>44985</v>
      </c>
      <c r="I31" s="1">
        <v>17470.349999999999</v>
      </c>
      <c r="J31" s="1">
        <v>0.81820000000000004</v>
      </c>
      <c r="K31" s="1">
        <v>14294.24</v>
      </c>
      <c r="L31" s="1">
        <v>433956</v>
      </c>
      <c r="M31" s="1">
        <v>47559</v>
      </c>
      <c r="N31" s="1">
        <v>45435.96</v>
      </c>
      <c r="O31" s="1">
        <v>2023</v>
      </c>
      <c r="P31" s="1" t="s">
        <v>56</v>
      </c>
      <c r="Q31" s="1" t="s">
        <v>40</v>
      </c>
      <c r="R31" s="4" t="s">
        <v>26</v>
      </c>
      <c r="S31" s="25">
        <f>Table1[[#This Row],[Clicks]]/Table1[[#This Row],[Impressions]]</f>
        <v>0.10959406022730415</v>
      </c>
      <c r="T31" s="22">
        <f>Table1[[#This Row],[Sales]]/Table1[[#This Row],[USD_Spend]]</f>
        <v>3.1786201994649592</v>
      </c>
      <c r="U31" s="1" t="str">
        <f>Outlier_Check!C41</f>
        <v>Normal</v>
      </c>
    </row>
    <row r="32" spans="1:21" x14ac:dyDescent="0.35">
      <c r="A32" s="3" t="s">
        <v>72</v>
      </c>
      <c r="B32" s="1" t="s">
        <v>28</v>
      </c>
      <c r="C32" s="1" t="s">
        <v>36</v>
      </c>
      <c r="D32" s="1" t="s">
        <v>21</v>
      </c>
      <c r="E32" s="1" t="s">
        <v>30</v>
      </c>
      <c r="F32" s="1" t="s">
        <v>49</v>
      </c>
      <c r="G32" s="2">
        <v>44961</v>
      </c>
      <c r="H32" s="2">
        <v>44973</v>
      </c>
      <c r="I32" s="1">
        <v>12801.92</v>
      </c>
      <c r="J32" s="1">
        <v>0.59150000000000003</v>
      </c>
      <c r="K32" s="1">
        <v>7572.34</v>
      </c>
      <c r="L32" s="1">
        <v>731403</v>
      </c>
      <c r="M32" s="1">
        <v>39169</v>
      </c>
      <c r="N32" s="1">
        <v>238866.06</v>
      </c>
      <c r="O32" s="1">
        <v>2023</v>
      </c>
      <c r="P32" s="1" t="s">
        <v>39</v>
      </c>
      <c r="Q32" s="1" t="s">
        <v>40</v>
      </c>
      <c r="R32" s="4" t="s">
        <v>41</v>
      </c>
      <c r="S32" s="25">
        <f>Table1[[#This Row],[Clicks]]/Table1[[#This Row],[Impressions]]</f>
        <v>5.3553239458957645E-2</v>
      </c>
      <c r="T32" s="22">
        <f>Table1[[#This Row],[Sales]]/Table1[[#This Row],[USD_Spend]]</f>
        <v>31.544550297530222</v>
      </c>
      <c r="U32" s="1" t="str">
        <f>Outlier_Check!C42</f>
        <v>Normal</v>
      </c>
    </row>
    <row r="33" spans="1:21" x14ac:dyDescent="0.35">
      <c r="A33" s="3" t="s">
        <v>103</v>
      </c>
      <c r="B33" s="1" t="s">
        <v>19</v>
      </c>
      <c r="C33" s="1" t="s">
        <v>36</v>
      </c>
      <c r="D33" s="1" t="s">
        <v>37</v>
      </c>
      <c r="E33" s="1" t="s">
        <v>38</v>
      </c>
      <c r="F33" s="1" t="s">
        <v>52</v>
      </c>
      <c r="G33" s="2">
        <v>44964</v>
      </c>
      <c r="H33" s="2">
        <v>44978</v>
      </c>
      <c r="I33" s="1">
        <v>42837.64</v>
      </c>
      <c r="J33" s="1">
        <v>0.80369999999999997</v>
      </c>
      <c r="K33" s="1">
        <v>34428.61</v>
      </c>
      <c r="L33" s="1">
        <v>888721</v>
      </c>
      <c r="M33" s="1">
        <v>39636</v>
      </c>
      <c r="N33" s="1">
        <v>78118.179999999993</v>
      </c>
      <c r="O33" s="1">
        <v>2023</v>
      </c>
      <c r="P33" s="1" t="s">
        <v>39</v>
      </c>
      <c r="Q33" s="1" t="s">
        <v>40</v>
      </c>
      <c r="R33" s="4" t="s">
        <v>61</v>
      </c>
      <c r="S33" s="25">
        <f>Table1[[#This Row],[Clicks]]/Table1[[#This Row],[Impressions]]</f>
        <v>4.4598923621699045E-2</v>
      </c>
      <c r="T33" s="22">
        <f>Table1[[#This Row],[Sales]]/Table1[[#This Row],[USD_Spend]]</f>
        <v>2.268990238060729</v>
      </c>
      <c r="U33" s="1" t="str">
        <f>Outlier_Check!C43</f>
        <v>Normal</v>
      </c>
    </row>
    <row r="34" spans="1:21" x14ac:dyDescent="0.35">
      <c r="A34" s="3" t="s">
        <v>86</v>
      </c>
      <c r="B34" s="1" t="s">
        <v>48</v>
      </c>
      <c r="C34" s="1" t="s">
        <v>69</v>
      </c>
      <c r="D34" s="1" t="s">
        <v>37</v>
      </c>
      <c r="E34" s="1" t="s">
        <v>30</v>
      </c>
      <c r="F34" s="1" t="s">
        <v>49</v>
      </c>
      <c r="G34" s="2">
        <v>44965</v>
      </c>
      <c r="H34" s="2">
        <v>45024</v>
      </c>
      <c r="I34" s="1">
        <v>37746.81</v>
      </c>
      <c r="J34" s="1">
        <v>0.53539999999999999</v>
      </c>
      <c r="K34" s="1">
        <v>20209.64</v>
      </c>
      <c r="L34" s="1">
        <v>402505</v>
      </c>
      <c r="M34" s="1">
        <v>39849</v>
      </c>
      <c r="N34" s="1">
        <v>159667.04</v>
      </c>
      <c r="O34" s="1">
        <v>2023</v>
      </c>
      <c r="P34" s="1" t="s">
        <v>39</v>
      </c>
      <c r="Q34" s="1" t="s">
        <v>40</v>
      </c>
      <c r="R34" s="4" t="s">
        <v>54</v>
      </c>
      <c r="S34" s="25">
        <f>Table1[[#This Row],[Clicks]]/Table1[[#This Row],[Impressions]]</f>
        <v>9.9002496863393005E-2</v>
      </c>
      <c r="T34" s="22">
        <f>Table1[[#This Row],[Sales]]/Table1[[#This Row],[USD_Spend]]</f>
        <v>7.9005385548678753</v>
      </c>
      <c r="U34" s="1" t="str">
        <f>Outlier_Check!C44</f>
        <v>Normal</v>
      </c>
    </row>
    <row r="35" spans="1:21" x14ac:dyDescent="0.35">
      <c r="A35" s="3" t="s">
        <v>104</v>
      </c>
      <c r="B35" s="1" t="s">
        <v>48</v>
      </c>
      <c r="C35" s="1" t="s">
        <v>36</v>
      </c>
      <c r="D35" s="1" t="s">
        <v>51</v>
      </c>
      <c r="E35" s="1" t="s">
        <v>22</v>
      </c>
      <c r="F35" s="1" t="s">
        <v>52</v>
      </c>
      <c r="G35" s="2">
        <v>44965</v>
      </c>
      <c r="H35" s="2">
        <v>45004</v>
      </c>
      <c r="I35" s="1">
        <v>10771.3</v>
      </c>
      <c r="J35" s="1">
        <v>0.45400000000000001</v>
      </c>
      <c r="K35" s="1">
        <v>4890.17</v>
      </c>
      <c r="L35" s="1">
        <v>24760</v>
      </c>
      <c r="M35" s="1">
        <v>21216</v>
      </c>
      <c r="N35" s="1">
        <v>190427.7</v>
      </c>
      <c r="O35" s="1">
        <v>2023</v>
      </c>
      <c r="P35" s="1" t="s">
        <v>39</v>
      </c>
      <c r="Q35" s="1" t="s">
        <v>40</v>
      </c>
      <c r="R35" s="4" t="s">
        <v>61</v>
      </c>
      <c r="S35" s="25">
        <f>Table1[[#This Row],[Clicks]]/Table1[[#This Row],[Impressions]]</f>
        <v>0.85686591276252022</v>
      </c>
      <c r="T35" s="22">
        <f>Table1[[#This Row],[Sales]]/Table1[[#This Row],[USD_Spend]]</f>
        <v>38.940916164468725</v>
      </c>
      <c r="U35" s="1" t="str">
        <f>Outlier_Check!C45</f>
        <v>Normal</v>
      </c>
    </row>
    <row r="36" spans="1:21" x14ac:dyDescent="0.35">
      <c r="A36" s="3" t="s">
        <v>89</v>
      </c>
      <c r="B36" s="1" t="s">
        <v>28</v>
      </c>
      <c r="C36" s="1" t="s">
        <v>20</v>
      </c>
      <c r="D36" s="1" t="s">
        <v>37</v>
      </c>
      <c r="E36" s="1" t="s">
        <v>38</v>
      </c>
      <c r="F36" s="1" t="s">
        <v>49</v>
      </c>
      <c r="G36" s="2">
        <v>44965</v>
      </c>
      <c r="H36" s="2">
        <v>44999</v>
      </c>
      <c r="I36" s="1">
        <v>33230.620000000003</v>
      </c>
      <c r="J36" s="1">
        <v>0.51270000000000004</v>
      </c>
      <c r="K36" s="1">
        <v>17037.34</v>
      </c>
      <c r="L36" s="1">
        <v>549764</v>
      </c>
      <c r="M36" s="1">
        <v>27701</v>
      </c>
      <c r="N36" s="1">
        <v>70321.63</v>
      </c>
      <c r="O36" s="1">
        <v>2023</v>
      </c>
      <c r="P36" s="1" t="s">
        <v>39</v>
      </c>
      <c r="Q36" s="1" t="s">
        <v>40</v>
      </c>
      <c r="R36" s="4" t="s">
        <v>54</v>
      </c>
      <c r="S36" s="25">
        <f>Table1[[#This Row],[Clicks]]/Table1[[#This Row],[Impressions]]</f>
        <v>5.0387075181350542E-2</v>
      </c>
      <c r="T36" s="22">
        <f>Table1[[#This Row],[Sales]]/Table1[[#This Row],[USD_Spend]]</f>
        <v>4.127500537055667</v>
      </c>
      <c r="U36" s="1" t="str">
        <f>Outlier_Check!C46</f>
        <v>Normal</v>
      </c>
    </row>
    <row r="37" spans="1:21" x14ac:dyDescent="0.35">
      <c r="A37" s="3" t="s">
        <v>70</v>
      </c>
      <c r="B37" s="1" t="s">
        <v>28</v>
      </c>
      <c r="C37" s="1" t="s">
        <v>69</v>
      </c>
      <c r="D37" s="1" t="s">
        <v>51</v>
      </c>
      <c r="E37" s="1" t="s">
        <v>22</v>
      </c>
      <c r="F37" s="1" t="s">
        <v>23</v>
      </c>
      <c r="G37" s="2">
        <v>44965</v>
      </c>
      <c r="H37" s="2">
        <v>44981</v>
      </c>
      <c r="I37" s="1">
        <v>14495.29</v>
      </c>
      <c r="J37" s="1">
        <v>0.1812</v>
      </c>
      <c r="K37" s="1">
        <v>2626.55</v>
      </c>
      <c r="L37" s="1">
        <v>648221</v>
      </c>
      <c r="M37" s="1">
        <v>44717</v>
      </c>
      <c r="N37" s="1">
        <v>174947.01</v>
      </c>
      <c r="O37" s="1">
        <v>2023</v>
      </c>
      <c r="P37" s="1" t="s">
        <v>39</v>
      </c>
      <c r="Q37" s="1" t="s">
        <v>40</v>
      </c>
      <c r="R37" s="4" t="s">
        <v>54</v>
      </c>
      <c r="S37" s="25">
        <f>Table1[[#This Row],[Clicks]]/Table1[[#This Row],[Impressions]]</f>
        <v>6.8984189034295401E-2</v>
      </c>
      <c r="T37" s="22">
        <f>Table1[[#This Row],[Sales]]/Table1[[#This Row],[USD_Spend]]</f>
        <v>66.607150063771869</v>
      </c>
      <c r="U37" s="1" t="str">
        <f>Outlier_Check!C47</f>
        <v>Normal</v>
      </c>
    </row>
    <row r="38" spans="1:21" x14ac:dyDescent="0.35">
      <c r="A38" s="3" t="s">
        <v>113</v>
      </c>
      <c r="B38" s="1" t="s">
        <v>48</v>
      </c>
      <c r="C38" s="1" t="s">
        <v>36</v>
      </c>
      <c r="D38" s="1" t="s">
        <v>21</v>
      </c>
      <c r="E38" s="1" t="s">
        <v>22</v>
      </c>
      <c r="F38" s="1" t="s">
        <v>23</v>
      </c>
      <c r="G38" s="2">
        <v>44966</v>
      </c>
      <c r="H38" s="2">
        <v>44994</v>
      </c>
      <c r="I38" s="1">
        <v>2413.0100000000002</v>
      </c>
      <c r="J38" s="1">
        <v>1.0742</v>
      </c>
      <c r="K38" s="1">
        <v>2592.06</v>
      </c>
      <c r="L38" s="1">
        <v>170633</v>
      </c>
      <c r="M38" s="1">
        <v>46344</v>
      </c>
      <c r="N38" s="1">
        <v>185368.06</v>
      </c>
      <c r="O38" s="1">
        <v>2023</v>
      </c>
      <c r="P38" s="1" t="s">
        <v>39</v>
      </c>
      <c r="Q38" s="1" t="s">
        <v>40</v>
      </c>
      <c r="R38" s="4" t="s">
        <v>54</v>
      </c>
      <c r="S38" s="25">
        <f>Table1[[#This Row],[Clicks]]/Table1[[#This Row],[Impressions]]</f>
        <v>0.27160045243299946</v>
      </c>
      <c r="T38" s="22">
        <f>Table1[[#This Row],[Sales]]/Table1[[#This Row],[USD_Spend]]</f>
        <v>71.513799834880359</v>
      </c>
      <c r="U38" s="1" t="str">
        <f>Outlier_Check!C48</f>
        <v>Normal</v>
      </c>
    </row>
    <row r="39" spans="1:21" x14ac:dyDescent="0.35">
      <c r="A39" s="3" t="s">
        <v>119</v>
      </c>
      <c r="B39" s="1" t="s">
        <v>19</v>
      </c>
      <c r="C39" s="1" t="s">
        <v>36</v>
      </c>
      <c r="D39" s="1" t="s">
        <v>43</v>
      </c>
      <c r="E39" s="1" t="s">
        <v>30</v>
      </c>
      <c r="F39" s="1" t="s">
        <v>31</v>
      </c>
      <c r="G39" s="2">
        <v>44969</v>
      </c>
      <c r="H39" s="2">
        <v>45011</v>
      </c>
      <c r="I39" s="1">
        <v>48448.18</v>
      </c>
      <c r="J39" s="1">
        <v>1.0620000000000001</v>
      </c>
      <c r="K39" s="1">
        <v>51451.97</v>
      </c>
      <c r="L39" s="1">
        <v>867115</v>
      </c>
      <c r="M39" s="1">
        <v>12580</v>
      </c>
      <c r="N39" s="1">
        <v>52267.24</v>
      </c>
      <c r="O39" s="1">
        <v>2023</v>
      </c>
      <c r="P39" s="1" t="s">
        <v>39</v>
      </c>
      <c r="Q39" s="1" t="s">
        <v>40</v>
      </c>
      <c r="R39" s="4" t="s">
        <v>41</v>
      </c>
      <c r="S39" s="25">
        <f>Table1[[#This Row],[Clicks]]/Table1[[#This Row],[Impressions]]</f>
        <v>1.4507879577680008E-2</v>
      </c>
      <c r="T39" s="22">
        <f>Table1[[#This Row],[Sales]]/Table1[[#This Row],[USD_Spend]]</f>
        <v>1.0158452630676726</v>
      </c>
      <c r="U39" s="1" t="str">
        <f>Outlier_Check!C49</f>
        <v>Normal</v>
      </c>
    </row>
    <row r="40" spans="1:21" x14ac:dyDescent="0.35">
      <c r="A40" s="3" t="s">
        <v>87</v>
      </c>
      <c r="B40" s="1" t="s">
        <v>35</v>
      </c>
      <c r="C40" s="1" t="s">
        <v>29</v>
      </c>
      <c r="D40" s="1" t="s">
        <v>21</v>
      </c>
      <c r="E40" s="1" t="s">
        <v>30</v>
      </c>
      <c r="F40" s="1" t="s">
        <v>44</v>
      </c>
      <c r="G40" s="2">
        <v>44969</v>
      </c>
      <c r="H40" s="2">
        <v>44974</v>
      </c>
      <c r="I40" s="1">
        <v>29063.21</v>
      </c>
      <c r="J40" s="1">
        <v>0.47899999999999998</v>
      </c>
      <c r="K40" s="1">
        <v>13921.28</v>
      </c>
      <c r="L40" s="1">
        <v>584122</v>
      </c>
      <c r="M40" s="1">
        <v>5678</v>
      </c>
      <c r="N40" s="1">
        <v>79649.33</v>
      </c>
      <c r="O40" s="1">
        <v>2023</v>
      </c>
      <c r="P40" s="1" t="s">
        <v>39</v>
      </c>
      <c r="Q40" s="1" t="s">
        <v>40</v>
      </c>
      <c r="R40" s="4" t="s">
        <v>61</v>
      </c>
      <c r="S40" s="25">
        <f>Table1[[#This Row],[Clicks]]/Table1[[#This Row],[Impressions]]</f>
        <v>9.7205720722725736E-3</v>
      </c>
      <c r="T40" s="22">
        <f>Table1[[#This Row],[Sales]]/Table1[[#This Row],[USD_Spend]]</f>
        <v>5.7214085199062152</v>
      </c>
      <c r="U40" s="1" t="str">
        <f>Outlier_Check!C50</f>
        <v>Normal</v>
      </c>
    </row>
    <row r="41" spans="1:21" x14ac:dyDescent="0.35">
      <c r="A41" s="3" t="s">
        <v>91</v>
      </c>
      <c r="B41" s="1" t="s">
        <v>48</v>
      </c>
      <c r="C41" s="1" t="s">
        <v>36</v>
      </c>
      <c r="D41" s="1" t="s">
        <v>37</v>
      </c>
      <c r="E41" s="1" t="s">
        <v>22</v>
      </c>
      <c r="F41" s="1" t="s">
        <v>31</v>
      </c>
      <c r="G41" s="2">
        <v>44970</v>
      </c>
      <c r="H41" s="2">
        <v>45027</v>
      </c>
      <c r="I41" s="1">
        <v>41486.17</v>
      </c>
      <c r="J41" s="1">
        <v>1.0032000000000001</v>
      </c>
      <c r="K41" s="1">
        <v>41618.93</v>
      </c>
      <c r="L41" s="1">
        <v>328677</v>
      </c>
      <c r="M41" s="1">
        <v>32481</v>
      </c>
      <c r="N41" s="1">
        <v>142023.85999999999</v>
      </c>
      <c r="O41" s="1">
        <v>2023</v>
      </c>
      <c r="P41" s="1" t="s">
        <v>39</v>
      </c>
      <c r="Q41" s="1" t="s">
        <v>40</v>
      </c>
      <c r="R41" s="4" t="s">
        <v>41</v>
      </c>
      <c r="S41" s="25">
        <f>Table1[[#This Row],[Clicks]]/Table1[[#This Row],[Impressions]]</f>
        <v>9.882346498233828E-2</v>
      </c>
      <c r="T41" s="22">
        <f>Table1[[#This Row],[Sales]]/Table1[[#This Row],[USD_Spend]]</f>
        <v>3.4124822526672354</v>
      </c>
      <c r="U41" s="1" t="str">
        <f>Outlier_Check!C51</f>
        <v>Normal</v>
      </c>
    </row>
    <row r="42" spans="1:21" x14ac:dyDescent="0.35">
      <c r="A42" s="3" t="s">
        <v>94</v>
      </c>
      <c r="B42" s="1" t="s">
        <v>48</v>
      </c>
      <c r="C42" s="1" t="s">
        <v>69</v>
      </c>
      <c r="D42" s="1" t="s">
        <v>37</v>
      </c>
      <c r="E42" s="1" t="s">
        <v>30</v>
      </c>
      <c r="F42" s="1" t="s">
        <v>31</v>
      </c>
      <c r="G42" s="2">
        <v>44971</v>
      </c>
      <c r="H42" s="2">
        <v>44980</v>
      </c>
      <c r="I42" s="1">
        <v>44387.54</v>
      </c>
      <c r="J42" s="1">
        <v>0.49919999999999998</v>
      </c>
      <c r="K42" s="1">
        <v>22158.26</v>
      </c>
      <c r="L42" s="1">
        <v>814829</v>
      </c>
      <c r="M42" s="1">
        <v>39347</v>
      </c>
      <c r="N42" s="1">
        <v>127396.13</v>
      </c>
      <c r="O42" s="1">
        <v>2023</v>
      </c>
      <c r="P42" s="1" t="s">
        <v>39</v>
      </c>
      <c r="Q42" s="1" t="s">
        <v>40</v>
      </c>
      <c r="R42" s="4" t="s">
        <v>54</v>
      </c>
      <c r="S42" s="25">
        <f>Table1[[#This Row],[Clicks]]/Table1[[#This Row],[Impressions]]</f>
        <v>4.8288659338339701E-2</v>
      </c>
      <c r="T42" s="22">
        <f>Table1[[#This Row],[Sales]]/Table1[[#This Row],[USD_Spend]]</f>
        <v>5.7493742739727765</v>
      </c>
      <c r="U42" s="1" t="str">
        <f>Outlier_Check!C52</f>
        <v>Normal</v>
      </c>
    </row>
    <row r="43" spans="1:21" x14ac:dyDescent="0.35">
      <c r="A43" s="3" t="s">
        <v>84</v>
      </c>
      <c r="B43" s="1" t="s">
        <v>28</v>
      </c>
      <c r="C43" s="1" t="s">
        <v>20</v>
      </c>
      <c r="D43" s="1" t="s">
        <v>37</v>
      </c>
      <c r="E43" s="1" t="s">
        <v>22</v>
      </c>
      <c r="F43" s="1" t="s">
        <v>23</v>
      </c>
      <c r="G43" s="2">
        <v>44972</v>
      </c>
      <c r="H43" s="2">
        <v>44977</v>
      </c>
      <c r="I43" s="1">
        <v>17344.27</v>
      </c>
      <c r="J43" s="1">
        <v>0.16569999999999999</v>
      </c>
      <c r="K43" s="1">
        <v>2873.95</v>
      </c>
      <c r="L43" s="1">
        <v>284680</v>
      </c>
      <c r="M43" s="1">
        <v>10689</v>
      </c>
      <c r="N43" s="1">
        <v>186601.57</v>
      </c>
      <c r="O43" s="1">
        <v>2023</v>
      </c>
      <c r="P43" s="1" t="s">
        <v>39</v>
      </c>
      <c r="Q43" s="1" t="s">
        <v>40</v>
      </c>
      <c r="R43" s="4" t="s">
        <v>61</v>
      </c>
      <c r="S43" s="25">
        <f>Table1[[#This Row],[Clicks]]/Table1[[#This Row],[Impressions]]</f>
        <v>3.7547421666432483E-2</v>
      </c>
      <c r="T43" s="22">
        <f>Table1[[#This Row],[Sales]]/Table1[[#This Row],[USD_Spend]]</f>
        <v>64.928606969501914</v>
      </c>
      <c r="U43" s="1" t="str">
        <f>Outlier_Check!C53</f>
        <v>Normal</v>
      </c>
    </row>
    <row r="44" spans="1:21" x14ac:dyDescent="0.35">
      <c r="A44" s="3" t="s">
        <v>57</v>
      </c>
      <c r="B44" s="1" t="s">
        <v>19</v>
      </c>
      <c r="C44" s="1" t="s">
        <v>29</v>
      </c>
      <c r="D44" s="1" t="s">
        <v>21</v>
      </c>
      <c r="E44" s="1" t="s">
        <v>30</v>
      </c>
      <c r="F44" s="1" t="s">
        <v>49</v>
      </c>
      <c r="G44" s="2">
        <v>44973</v>
      </c>
      <c r="H44" s="2">
        <v>45014</v>
      </c>
      <c r="I44" s="1">
        <v>3978.88</v>
      </c>
      <c r="J44" s="1">
        <v>1.1672</v>
      </c>
      <c r="K44" s="1">
        <v>4644.1499999999996</v>
      </c>
      <c r="L44" s="1">
        <v>209429</v>
      </c>
      <c r="M44" s="1">
        <v>48643</v>
      </c>
      <c r="N44" s="1">
        <v>204560.71</v>
      </c>
      <c r="O44" s="1">
        <v>2023</v>
      </c>
      <c r="P44" s="1" t="s">
        <v>39</v>
      </c>
      <c r="Q44" s="1" t="s">
        <v>40</v>
      </c>
      <c r="R44" s="4" t="s">
        <v>54</v>
      </c>
      <c r="S44" s="25">
        <f>Table1[[#This Row],[Clicks]]/Table1[[#This Row],[Impressions]]</f>
        <v>0.23226487258211614</v>
      </c>
      <c r="T44" s="22">
        <f>Table1[[#This Row],[Sales]]/Table1[[#This Row],[USD_Spend]]</f>
        <v>44.046964460665571</v>
      </c>
      <c r="U44" s="1" t="str">
        <f>Outlier_Check!C54</f>
        <v>Normal</v>
      </c>
    </row>
    <row r="45" spans="1:21" x14ac:dyDescent="0.35">
      <c r="A45" s="3" t="s">
        <v>117</v>
      </c>
      <c r="B45" s="1" t="s">
        <v>19</v>
      </c>
      <c r="C45" s="1" t="s">
        <v>69</v>
      </c>
      <c r="D45" s="1" t="s">
        <v>21</v>
      </c>
      <c r="E45" s="1" t="s">
        <v>22</v>
      </c>
      <c r="F45" s="1" t="s">
        <v>52</v>
      </c>
      <c r="G45" s="2">
        <v>44973</v>
      </c>
      <c r="H45" s="2">
        <v>45005</v>
      </c>
      <c r="I45" s="1">
        <v>17881.91</v>
      </c>
      <c r="J45" s="1">
        <v>8.5900000000000004E-2</v>
      </c>
      <c r="K45" s="1">
        <v>1536.06</v>
      </c>
      <c r="L45" s="1">
        <v>73182</v>
      </c>
      <c r="M45" s="1">
        <v>4623</v>
      </c>
      <c r="N45" s="1">
        <v>246603.63</v>
      </c>
      <c r="O45" s="1">
        <v>2023</v>
      </c>
      <c r="P45" s="1" t="s">
        <v>39</v>
      </c>
      <c r="Q45" s="1" t="s">
        <v>40</v>
      </c>
      <c r="R45" s="4" t="s">
        <v>54</v>
      </c>
      <c r="S45" s="25">
        <f>Table1[[#This Row],[Clicks]]/Table1[[#This Row],[Impressions]]</f>
        <v>6.3171271624169884E-2</v>
      </c>
      <c r="T45" s="22">
        <f>Table1[[#This Row],[Sales]]/Table1[[#This Row],[USD_Spend]]</f>
        <v>160.54296707159878</v>
      </c>
      <c r="U45" s="1" t="str">
        <f>Outlier_Check!C55</f>
        <v>Normal</v>
      </c>
    </row>
    <row r="46" spans="1:21" x14ac:dyDescent="0.35">
      <c r="A46" s="3" t="s">
        <v>50</v>
      </c>
      <c r="B46" s="1" t="s">
        <v>48</v>
      </c>
      <c r="C46" s="1" t="s">
        <v>69</v>
      </c>
      <c r="D46" s="1" t="s">
        <v>43</v>
      </c>
      <c r="E46" s="1" t="s">
        <v>38</v>
      </c>
      <c r="F46" s="1" t="s">
        <v>52</v>
      </c>
      <c r="G46" s="2">
        <v>44973</v>
      </c>
      <c r="H46" s="2">
        <v>44980</v>
      </c>
      <c r="I46" s="1">
        <v>7714.78</v>
      </c>
      <c r="J46" s="1">
        <v>0.40629999999999999</v>
      </c>
      <c r="K46" s="1">
        <v>3134.52</v>
      </c>
      <c r="L46" s="1">
        <v>506756</v>
      </c>
      <c r="M46" s="1">
        <v>34134</v>
      </c>
      <c r="N46" s="1">
        <v>116962.2</v>
      </c>
      <c r="O46" s="1">
        <v>2023</v>
      </c>
      <c r="P46" s="1" t="s">
        <v>39</v>
      </c>
      <c r="Q46" s="1" t="s">
        <v>40</v>
      </c>
      <c r="R46" s="4" t="s">
        <v>54</v>
      </c>
      <c r="S46" s="25">
        <f>Table1[[#This Row],[Clicks]]/Table1[[#This Row],[Impressions]]</f>
        <v>6.7357860587738475E-2</v>
      </c>
      <c r="T46" s="22">
        <f>Table1[[#This Row],[Sales]]/Table1[[#This Row],[USD_Spend]]</f>
        <v>37.314229929941426</v>
      </c>
      <c r="U46" s="1" t="str">
        <f>Outlier_Check!C56</f>
        <v>Normal</v>
      </c>
    </row>
    <row r="47" spans="1:21" x14ac:dyDescent="0.35">
      <c r="A47" s="3" t="s">
        <v>88</v>
      </c>
      <c r="B47" s="1" t="s">
        <v>48</v>
      </c>
      <c r="C47" s="1" t="s">
        <v>36</v>
      </c>
      <c r="D47" s="1" t="s">
        <v>51</v>
      </c>
      <c r="E47" s="1" t="s">
        <v>38</v>
      </c>
      <c r="F47" s="1" t="s">
        <v>52</v>
      </c>
      <c r="G47" s="2">
        <v>44974</v>
      </c>
      <c r="H47" s="2">
        <v>45027</v>
      </c>
      <c r="I47" s="1">
        <v>31185.37</v>
      </c>
      <c r="J47" s="1">
        <v>0.23499999999999999</v>
      </c>
      <c r="K47" s="1">
        <v>7328.56</v>
      </c>
      <c r="L47" s="1">
        <v>571479</v>
      </c>
      <c r="M47" s="1">
        <v>19379</v>
      </c>
      <c r="N47" s="1">
        <v>198449.01</v>
      </c>
      <c r="O47" s="1">
        <v>2023</v>
      </c>
      <c r="P47" s="1" t="s">
        <v>39</v>
      </c>
      <c r="Q47" s="1" t="s">
        <v>40</v>
      </c>
      <c r="R47" s="4" t="s">
        <v>54</v>
      </c>
      <c r="S47" s="25">
        <f>Table1[[#This Row],[Clicks]]/Table1[[#This Row],[Impressions]]</f>
        <v>3.3910257419782701E-2</v>
      </c>
      <c r="T47" s="22">
        <f>Table1[[#This Row],[Sales]]/Table1[[#This Row],[USD_Spend]]</f>
        <v>27.078854508934906</v>
      </c>
      <c r="U47" s="1" t="str">
        <f>Outlier_Check!C57</f>
        <v>Normal</v>
      </c>
    </row>
    <row r="48" spans="1:21" x14ac:dyDescent="0.35">
      <c r="A48" s="3" t="s">
        <v>104</v>
      </c>
      <c r="B48" s="1" t="s">
        <v>28</v>
      </c>
      <c r="C48" s="1" t="s">
        <v>20</v>
      </c>
      <c r="D48" s="1" t="s">
        <v>51</v>
      </c>
      <c r="E48" s="1" t="s">
        <v>22</v>
      </c>
      <c r="F48" s="1" t="s">
        <v>52</v>
      </c>
      <c r="G48" s="2">
        <v>44974</v>
      </c>
      <c r="H48" s="2">
        <v>44999</v>
      </c>
      <c r="I48" s="1">
        <v>40011.03</v>
      </c>
      <c r="J48" s="1">
        <v>0.35909999999999997</v>
      </c>
      <c r="K48" s="1">
        <v>14367.96</v>
      </c>
      <c r="L48" s="1">
        <v>403049</v>
      </c>
      <c r="M48" s="1">
        <v>28325</v>
      </c>
      <c r="N48" s="1">
        <v>40664.6</v>
      </c>
      <c r="O48" s="1">
        <v>2023</v>
      </c>
      <c r="P48" s="1" t="s">
        <v>39</v>
      </c>
      <c r="Q48" s="1" t="s">
        <v>40</v>
      </c>
      <c r="R48" s="4" t="s">
        <v>61</v>
      </c>
      <c r="S48" s="25">
        <f>Table1[[#This Row],[Clicks]]/Table1[[#This Row],[Impressions]]</f>
        <v>7.0276814977831475E-2</v>
      </c>
      <c r="T48" s="22">
        <f>Table1[[#This Row],[Sales]]/Table1[[#This Row],[USD_Spend]]</f>
        <v>2.8302278124382307</v>
      </c>
      <c r="U48" s="1" t="str">
        <f>Outlier_Check!C58</f>
        <v>Normal</v>
      </c>
    </row>
    <row r="49" spans="1:21" x14ac:dyDescent="0.35">
      <c r="A49" s="3" t="s">
        <v>62</v>
      </c>
      <c r="B49" s="1" t="s">
        <v>48</v>
      </c>
      <c r="C49" s="1" t="s">
        <v>36</v>
      </c>
      <c r="D49" s="1" t="s">
        <v>59</v>
      </c>
      <c r="E49" s="1" t="s">
        <v>30</v>
      </c>
      <c r="F49" s="1" t="s">
        <v>31</v>
      </c>
      <c r="G49" s="2">
        <v>44975</v>
      </c>
      <c r="H49" s="2">
        <v>45032</v>
      </c>
      <c r="I49" s="1">
        <v>1509.41</v>
      </c>
      <c r="J49" s="1">
        <v>0.1351</v>
      </c>
      <c r="K49" s="1">
        <v>203.92</v>
      </c>
      <c r="L49" s="1">
        <v>348542</v>
      </c>
      <c r="M49" s="1">
        <v>45162</v>
      </c>
      <c r="N49" s="1">
        <v>182442.07</v>
      </c>
      <c r="O49" s="1">
        <v>2023</v>
      </c>
      <c r="P49" s="1" t="s">
        <v>39</v>
      </c>
      <c r="Q49" s="1" t="s">
        <v>40</v>
      </c>
      <c r="R49" s="4" t="s">
        <v>26</v>
      </c>
      <c r="S49" s="25">
        <f>Table1[[#This Row],[Clicks]]/Table1[[#This Row],[Impressions]]</f>
        <v>0.1295740542029368</v>
      </c>
      <c r="T49" s="22">
        <f>Table1[[#This Row],[Sales]]/Table1[[#This Row],[USD_Spend]]</f>
        <v>894.67472538250308</v>
      </c>
      <c r="U49" s="1" t="str">
        <f>Outlier_Check!C59</f>
        <v>Normal</v>
      </c>
    </row>
    <row r="50" spans="1:21" x14ac:dyDescent="0.35">
      <c r="A50" s="3" t="s">
        <v>105</v>
      </c>
      <c r="B50" s="1" t="s">
        <v>35</v>
      </c>
      <c r="C50" s="1" t="s">
        <v>20</v>
      </c>
      <c r="D50" s="1" t="s">
        <v>21</v>
      </c>
      <c r="E50" s="1" t="s">
        <v>22</v>
      </c>
      <c r="F50" s="1" t="s">
        <v>49</v>
      </c>
      <c r="G50" s="2">
        <v>44976</v>
      </c>
      <c r="H50" s="2">
        <v>45005</v>
      </c>
      <c r="I50" s="1">
        <v>22472.79</v>
      </c>
      <c r="J50" s="1">
        <v>0.50939999999999996</v>
      </c>
      <c r="K50" s="1">
        <v>11447.64</v>
      </c>
      <c r="L50" s="1">
        <v>184418</v>
      </c>
      <c r="M50" s="1">
        <v>27233</v>
      </c>
      <c r="N50" s="1">
        <v>125805.09</v>
      </c>
      <c r="O50" s="1">
        <v>2023</v>
      </c>
      <c r="P50" s="1" t="s">
        <v>39</v>
      </c>
      <c r="Q50" s="1" t="s">
        <v>40</v>
      </c>
      <c r="R50" s="4" t="s">
        <v>61</v>
      </c>
      <c r="S50" s="25">
        <f>Table1[[#This Row],[Clicks]]/Table1[[#This Row],[Impressions]]</f>
        <v>0.14766996713986705</v>
      </c>
      <c r="T50" s="22">
        <f>Table1[[#This Row],[Sales]]/Table1[[#This Row],[USD_Spend]]</f>
        <v>10.989609212029729</v>
      </c>
      <c r="U50" s="1" t="str">
        <f>Outlier_Check!C60</f>
        <v>Normal</v>
      </c>
    </row>
    <row r="51" spans="1:21" x14ac:dyDescent="0.35">
      <c r="A51" s="3" t="s">
        <v>119</v>
      </c>
      <c r="B51" s="1" t="s">
        <v>48</v>
      </c>
      <c r="C51" s="1" t="s">
        <v>20</v>
      </c>
      <c r="D51" s="1" t="s">
        <v>63</v>
      </c>
      <c r="E51" s="1" t="s">
        <v>30</v>
      </c>
      <c r="F51" s="1" t="s">
        <v>49</v>
      </c>
      <c r="G51" s="2">
        <v>44977</v>
      </c>
      <c r="H51" s="2">
        <v>45033</v>
      </c>
      <c r="I51" s="1">
        <v>25202.78</v>
      </c>
      <c r="J51" s="1">
        <v>6.5699999999999995E-2</v>
      </c>
      <c r="K51" s="1">
        <v>1655.82</v>
      </c>
      <c r="L51" s="1">
        <v>297745</v>
      </c>
      <c r="M51" s="1">
        <v>27706</v>
      </c>
      <c r="N51" s="1">
        <v>34218.46</v>
      </c>
      <c r="O51" s="1">
        <v>2023</v>
      </c>
      <c r="P51" s="1" t="s">
        <v>39</v>
      </c>
      <c r="Q51" s="1" t="s">
        <v>40</v>
      </c>
      <c r="R51" s="4" t="s">
        <v>61</v>
      </c>
      <c r="S51" s="25">
        <f>Table1[[#This Row],[Clicks]]/Table1[[#This Row],[Impressions]]</f>
        <v>9.3052780063477142E-2</v>
      </c>
      <c r="T51" s="22">
        <f>Table1[[#This Row],[Sales]]/Table1[[#This Row],[USD_Spend]]</f>
        <v>20.665567513377059</v>
      </c>
      <c r="U51" s="1" t="str">
        <f>Outlier_Check!C61</f>
        <v>Normal</v>
      </c>
    </row>
    <row r="52" spans="1:21" x14ac:dyDescent="0.35">
      <c r="A52" s="3" t="s">
        <v>77</v>
      </c>
      <c r="B52" s="1" t="s">
        <v>19</v>
      </c>
      <c r="C52" s="1" t="s">
        <v>29</v>
      </c>
      <c r="D52" s="1" t="s">
        <v>21</v>
      </c>
      <c r="E52" s="1" t="s">
        <v>38</v>
      </c>
      <c r="F52" s="1" t="s">
        <v>49</v>
      </c>
      <c r="G52" s="2">
        <v>44978</v>
      </c>
      <c r="H52" s="2">
        <v>45026</v>
      </c>
      <c r="I52" s="1">
        <v>36847.35</v>
      </c>
      <c r="J52" s="1">
        <v>0.47749999999999998</v>
      </c>
      <c r="K52" s="1">
        <v>17594.61</v>
      </c>
      <c r="L52" s="1">
        <v>477262</v>
      </c>
      <c r="M52" s="1">
        <v>49438</v>
      </c>
      <c r="N52" s="1">
        <v>150807.39000000001</v>
      </c>
      <c r="O52" s="1">
        <v>2023</v>
      </c>
      <c r="P52" s="1" t="s">
        <v>39</v>
      </c>
      <c r="Q52" s="1" t="s">
        <v>40</v>
      </c>
      <c r="R52" s="4" t="s">
        <v>61</v>
      </c>
      <c r="S52" s="25">
        <f>Table1[[#This Row],[Clicks]]/Table1[[#This Row],[Impressions]]</f>
        <v>0.10358670918698744</v>
      </c>
      <c r="T52" s="22">
        <f>Table1[[#This Row],[Sales]]/Table1[[#This Row],[USD_Spend]]</f>
        <v>8.571226642704783</v>
      </c>
      <c r="U52" s="1" t="str">
        <f>Outlier_Check!C62</f>
        <v>Normal</v>
      </c>
    </row>
    <row r="53" spans="1:21" x14ac:dyDescent="0.35">
      <c r="A53" s="3" t="s">
        <v>72</v>
      </c>
      <c r="B53" s="1" t="s">
        <v>19</v>
      </c>
      <c r="C53" s="1" t="s">
        <v>20</v>
      </c>
      <c r="D53" s="1" t="s">
        <v>51</v>
      </c>
      <c r="E53" s="1" t="s">
        <v>22</v>
      </c>
      <c r="F53" s="1" t="s">
        <v>52</v>
      </c>
      <c r="G53" s="2">
        <v>44979</v>
      </c>
      <c r="H53" s="2">
        <v>44991</v>
      </c>
      <c r="I53" s="1">
        <v>19764.79</v>
      </c>
      <c r="J53" s="1">
        <v>0.56379999999999997</v>
      </c>
      <c r="K53" s="1">
        <v>11143.39</v>
      </c>
      <c r="L53" s="1">
        <v>52859</v>
      </c>
      <c r="M53" s="1">
        <v>24058</v>
      </c>
      <c r="N53" s="1">
        <v>94776.08</v>
      </c>
      <c r="O53" s="1">
        <v>2023</v>
      </c>
      <c r="P53" s="1" t="s">
        <v>39</v>
      </c>
      <c r="Q53" s="1" t="s">
        <v>40</v>
      </c>
      <c r="R53" s="4" t="s">
        <v>41</v>
      </c>
      <c r="S53" s="25">
        <f>Table1[[#This Row],[Clicks]]/Table1[[#This Row],[Impressions]]</f>
        <v>0.45513536010896916</v>
      </c>
      <c r="T53" s="22">
        <f>Table1[[#This Row],[Sales]]/Table1[[#This Row],[USD_Spend]]</f>
        <v>8.5051389209208335</v>
      </c>
      <c r="U53" s="1" t="str">
        <f>Outlier_Check!C63</f>
        <v>Normal</v>
      </c>
    </row>
    <row r="54" spans="1:21" x14ac:dyDescent="0.35">
      <c r="A54" s="3" t="s">
        <v>95</v>
      </c>
      <c r="B54" s="1" t="s">
        <v>35</v>
      </c>
      <c r="C54" s="1" t="s">
        <v>20</v>
      </c>
      <c r="D54" s="1" t="s">
        <v>43</v>
      </c>
      <c r="E54" s="1" t="s">
        <v>22</v>
      </c>
      <c r="F54" s="1" t="s">
        <v>49</v>
      </c>
      <c r="G54" s="2">
        <v>44980</v>
      </c>
      <c r="H54" s="2">
        <v>44993</v>
      </c>
      <c r="I54" s="1">
        <v>37344.18</v>
      </c>
      <c r="J54" s="1">
        <v>0.63600000000000001</v>
      </c>
      <c r="K54" s="1">
        <v>23750.9</v>
      </c>
      <c r="L54" s="1">
        <v>791886</v>
      </c>
      <c r="M54" s="1">
        <v>4265</v>
      </c>
      <c r="N54" s="1">
        <v>121680.26</v>
      </c>
      <c r="O54" s="1">
        <v>2023</v>
      </c>
      <c r="P54" s="1" t="s">
        <v>39</v>
      </c>
      <c r="Q54" s="1" t="s">
        <v>40</v>
      </c>
      <c r="R54" s="4" t="s">
        <v>61</v>
      </c>
      <c r="S54" s="25">
        <f>Table1[[#This Row],[Clicks]]/Table1[[#This Row],[Impressions]]</f>
        <v>5.3858762498642477E-3</v>
      </c>
      <c r="T54" s="22">
        <f>Table1[[#This Row],[Sales]]/Table1[[#This Row],[USD_Spend]]</f>
        <v>5.1231852266650941</v>
      </c>
      <c r="U54" s="1" t="str">
        <f>Outlier_Check!C64</f>
        <v>Normal</v>
      </c>
    </row>
    <row r="55" spans="1:21" x14ac:dyDescent="0.35">
      <c r="A55" s="3" t="s">
        <v>64</v>
      </c>
      <c r="B55" s="1" t="s">
        <v>19</v>
      </c>
      <c r="C55" s="1" t="s">
        <v>36</v>
      </c>
      <c r="D55" s="1" t="s">
        <v>51</v>
      </c>
      <c r="E55" s="1" t="s">
        <v>38</v>
      </c>
      <c r="F55" s="1" t="s">
        <v>31</v>
      </c>
      <c r="G55" s="2">
        <v>44981</v>
      </c>
      <c r="H55" s="2">
        <v>44998</v>
      </c>
      <c r="I55" s="1">
        <v>6521.28</v>
      </c>
      <c r="J55" s="1">
        <v>0.18759999999999999</v>
      </c>
      <c r="K55" s="1">
        <v>1223.3900000000001</v>
      </c>
      <c r="L55" s="1">
        <v>894769</v>
      </c>
      <c r="M55" s="1">
        <v>31191</v>
      </c>
      <c r="N55" s="1">
        <v>126891.14</v>
      </c>
      <c r="O55" s="1">
        <v>2023</v>
      </c>
      <c r="P55" s="1" t="s">
        <v>39</v>
      </c>
      <c r="Q55" s="1" t="s">
        <v>40</v>
      </c>
      <c r="R55" s="4" t="s">
        <v>61</v>
      </c>
      <c r="S55" s="25">
        <f>Table1[[#This Row],[Clicks]]/Table1[[#This Row],[Impressions]]</f>
        <v>3.4859276528355361E-2</v>
      </c>
      <c r="T55" s="22">
        <f>Table1[[#This Row],[Sales]]/Table1[[#This Row],[USD_Spend]]</f>
        <v>103.72092300901592</v>
      </c>
      <c r="U55" s="1" t="str">
        <f>Outlier_Check!C65</f>
        <v>Normal</v>
      </c>
    </row>
    <row r="56" spans="1:21" x14ac:dyDescent="0.35">
      <c r="A56" s="3" t="s">
        <v>109</v>
      </c>
      <c r="B56" s="1" t="s">
        <v>28</v>
      </c>
      <c r="C56" s="1" t="s">
        <v>58</v>
      </c>
      <c r="D56" s="1" t="s">
        <v>37</v>
      </c>
      <c r="E56" s="1" t="s">
        <v>38</v>
      </c>
      <c r="F56" s="1" t="s">
        <v>23</v>
      </c>
      <c r="G56" s="2">
        <v>44981</v>
      </c>
      <c r="H56" s="2">
        <v>44998</v>
      </c>
      <c r="I56" s="1">
        <v>8282.42</v>
      </c>
      <c r="J56" s="1">
        <v>0.28349999999999997</v>
      </c>
      <c r="K56" s="1">
        <v>2348.0700000000002</v>
      </c>
      <c r="L56" s="1">
        <v>47604</v>
      </c>
      <c r="M56" s="1">
        <v>30918</v>
      </c>
      <c r="N56" s="1">
        <v>68754.87</v>
      </c>
      <c r="O56" s="1">
        <v>2023</v>
      </c>
      <c r="P56" s="1" t="s">
        <v>39</v>
      </c>
      <c r="Q56" s="1" t="s">
        <v>40</v>
      </c>
      <c r="R56" s="4" t="s">
        <v>54</v>
      </c>
      <c r="S56" s="25">
        <f>Table1[[#This Row],[Clicks]]/Table1[[#This Row],[Impressions]]</f>
        <v>0.64948323670279806</v>
      </c>
      <c r="T56" s="22">
        <f>Table1[[#This Row],[Sales]]/Table1[[#This Row],[USD_Spend]]</f>
        <v>29.281439650436312</v>
      </c>
      <c r="U56" s="1" t="str">
        <f>Outlier_Check!C66</f>
        <v>Normal</v>
      </c>
    </row>
    <row r="57" spans="1:21" x14ac:dyDescent="0.35">
      <c r="A57" s="3" t="s">
        <v>86</v>
      </c>
      <c r="B57" s="1" t="s">
        <v>48</v>
      </c>
      <c r="C57" s="1" t="s">
        <v>69</v>
      </c>
      <c r="D57" s="1" t="s">
        <v>59</v>
      </c>
      <c r="E57" s="1" t="s">
        <v>22</v>
      </c>
      <c r="F57" s="1" t="s">
        <v>52</v>
      </c>
      <c r="G57" s="2">
        <v>44982</v>
      </c>
      <c r="H57" s="2">
        <v>45031</v>
      </c>
      <c r="I57" s="1">
        <v>6194.48</v>
      </c>
      <c r="J57" s="1">
        <v>0.70209999999999995</v>
      </c>
      <c r="K57" s="1">
        <v>4349.1400000000003</v>
      </c>
      <c r="L57" s="1">
        <v>509988</v>
      </c>
      <c r="M57" s="1">
        <v>39023</v>
      </c>
      <c r="N57" s="1">
        <v>218266.86</v>
      </c>
      <c r="O57" s="1">
        <v>2023</v>
      </c>
      <c r="P57" s="1" t="s">
        <v>39</v>
      </c>
      <c r="Q57" s="1" t="s">
        <v>40</v>
      </c>
      <c r="R57" s="4" t="s">
        <v>26</v>
      </c>
      <c r="S57" s="25">
        <f>Table1[[#This Row],[Clicks]]/Table1[[#This Row],[Impressions]]</f>
        <v>7.6517486685961242E-2</v>
      </c>
      <c r="T57" s="22">
        <f>Table1[[#This Row],[Sales]]/Table1[[#This Row],[USD_Spend]]</f>
        <v>50.186211526876569</v>
      </c>
      <c r="U57" s="1" t="str">
        <f>Outlier_Check!C67</f>
        <v>Normal</v>
      </c>
    </row>
    <row r="58" spans="1:21" x14ac:dyDescent="0.35">
      <c r="A58" s="3" t="s">
        <v>99</v>
      </c>
      <c r="B58" s="1" t="s">
        <v>19</v>
      </c>
      <c r="C58" s="1" t="s">
        <v>69</v>
      </c>
      <c r="D58" s="1" t="s">
        <v>37</v>
      </c>
      <c r="E58" s="1" t="s">
        <v>22</v>
      </c>
      <c r="F58" s="1" t="s">
        <v>49</v>
      </c>
      <c r="G58" s="2">
        <v>44984</v>
      </c>
      <c r="H58" s="2">
        <v>44999</v>
      </c>
      <c r="I58" s="1">
        <v>13654.72</v>
      </c>
      <c r="J58" s="1">
        <v>0.22420000000000001</v>
      </c>
      <c r="K58" s="1">
        <v>3061.39</v>
      </c>
      <c r="L58" s="1">
        <v>435151</v>
      </c>
      <c r="M58" s="1">
        <v>39379</v>
      </c>
      <c r="N58" s="1">
        <v>242464.7</v>
      </c>
      <c r="O58" s="1">
        <v>2023</v>
      </c>
      <c r="P58" s="1" t="s">
        <v>39</v>
      </c>
      <c r="Q58" s="1" t="s">
        <v>40</v>
      </c>
      <c r="R58" s="4" t="s">
        <v>54</v>
      </c>
      <c r="S58" s="25">
        <f>Table1[[#This Row],[Clicks]]/Table1[[#This Row],[Impressions]]</f>
        <v>9.0495023566532079E-2</v>
      </c>
      <c r="T58" s="22">
        <f>Table1[[#This Row],[Sales]]/Table1[[#This Row],[USD_Spend]]</f>
        <v>79.200853207203266</v>
      </c>
      <c r="U58" s="1" t="str">
        <f>Outlier_Check!C68</f>
        <v>Normal</v>
      </c>
    </row>
    <row r="59" spans="1:21" x14ac:dyDescent="0.35">
      <c r="A59" s="3" t="s">
        <v>81</v>
      </c>
      <c r="B59" s="1" t="s">
        <v>48</v>
      </c>
      <c r="C59" s="1" t="s">
        <v>69</v>
      </c>
      <c r="D59" s="1" t="s">
        <v>59</v>
      </c>
      <c r="E59" s="1" t="s">
        <v>30</v>
      </c>
      <c r="F59" s="1" t="s">
        <v>49</v>
      </c>
      <c r="G59" s="2">
        <v>44985</v>
      </c>
      <c r="H59" s="2">
        <v>44998</v>
      </c>
      <c r="I59" s="1">
        <v>22489.24</v>
      </c>
      <c r="J59" s="1">
        <v>0.3463</v>
      </c>
      <c r="K59" s="1">
        <v>7788.02</v>
      </c>
      <c r="L59" s="1">
        <v>339384</v>
      </c>
      <c r="M59" s="1">
        <v>23015</v>
      </c>
      <c r="N59" s="1">
        <v>152591.92000000001</v>
      </c>
      <c r="O59" s="1">
        <v>2023</v>
      </c>
      <c r="P59" s="1" t="s">
        <v>39</v>
      </c>
      <c r="Q59" s="1" t="s">
        <v>40</v>
      </c>
      <c r="R59" s="4" t="s">
        <v>54</v>
      </c>
      <c r="S59" s="25">
        <f>Table1[[#This Row],[Clicks]]/Table1[[#This Row],[Impressions]]</f>
        <v>6.7814039554015507E-2</v>
      </c>
      <c r="T59" s="22">
        <f>Table1[[#This Row],[Sales]]/Table1[[#This Row],[USD_Spend]]</f>
        <v>19.593159750488571</v>
      </c>
      <c r="U59" s="1" t="str">
        <f>Outlier_Check!C69</f>
        <v>Normal</v>
      </c>
    </row>
    <row r="60" spans="1:21" x14ac:dyDescent="0.35">
      <c r="A60" s="3" t="s">
        <v>83</v>
      </c>
      <c r="B60" s="1" t="s">
        <v>48</v>
      </c>
      <c r="C60" s="1" t="s">
        <v>69</v>
      </c>
      <c r="D60" s="1" t="s">
        <v>51</v>
      </c>
      <c r="E60" s="1" t="s">
        <v>22</v>
      </c>
      <c r="F60" s="1" t="s">
        <v>49</v>
      </c>
      <c r="G60" s="2">
        <v>44986</v>
      </c>
      <c r="H60" s="2">
        <v>45026</v>
      </c>
      <c r="I60" s="1">
        <v>21221.200000000001</v>
      </c>
      <c r="J60" s="1">
        <v>0.50560000000000005</v>
      </c>
      <c r="K60" s="1">
        <v>10729.44</v>
      </c>
      <c r="L60" s="1">
        <v>565736</v>
      </c>
      <c r="M60" s="1">
        <v>8887</v>
      </c>
      <c r="N60" s="1">
        <v>100162.67</v>
      </c>
      <c r="O60" s="1">
        <v>2023</v>
      </c>
      <c r="P60" s="1" t="s">
        <v>60</v>
      </c>
      <c r="Q60" s="1" t="s">
        <v>40</v>
      </c>
      <c r="R60" s="4" t="s">
        <v>41</v>
      </c>
      <c r="S60" s="25">
        <f>Table1[[#This Row],[Clicks]]/Table1[[#This Row],[Impressions]]</f>
        <v>1.5708740472587922E-2</v>
      </c>
      <c r="T60" s="22">
        <f>Table1[[#This Row],[Sales]]/Table1[[#This Row],[USD_Spend]]</f>
        <v>9.3353120013719249</v>
      </c>
      <c r="U60" s="1" t="str">
        <f>Outlier_Check!C70</f>
        <v>Normal</v>
      </c>
    </row>
    <row r="61" spans="1:21" x14ac:dyDescent="0.35">
      <c r="A61" s="3" t="s">
        <v>70</v>
      </c>
      <c r="B61" s="1" t="s">
        <v>48</v>
      </c>
      <c r="C61" s="1" t="s">
        <v>29</v>
      </c>
      <c r="D61" s="1" t="s">
        <v>21</v>
      </c>
      <c r="E61" s="1" t="s">
        <v>22</v>
      </c>
      <c r="F61" s="1" t="s">
        <v>49</v>
      </c>
      <c r="G61" s="2">
        <v>44988</v>
      </c>
      <c r="H61" s="2">
        <v>45010</v>
      </c>
      <c r="I61" s="1">
        <v>42874.14</v>
      </c>
      <c r="J61" s="1">
        <v>0.46689999999999998</v>
      </c>
      <c r="K61" s="1">
        <v>20017.939999999999</v>
      </c>
      <c r="L61" s="1">
        <v>29764</v>
      </c>
      <c r="M61" s="1">
        <v>25173</v>
      </c>
      <c r="N61" s="1">
        <v>99242.5</v>
      </c>
      <c r="O61" s="1">
        <v>2023</v>
      </c>
      <c r="P61" s="1" t="s">
        <v>60</v>
      </c>
      <c r="Q61" s="1" t="s">
        <v>40</v>
      </c>
      <c r="R61" s="4" t="s">
        <v>26</v>
      </c>
      <c r="S61" s="25">
        <f>Table1[[#This Row],[Clicks]]/Table1[[#This Row],[Impressions]]</f>
        <v>0.84575325897056852</v>
      </c>
      <c r="T61" s="22">
        <f>Table1[[#This Row],[Sales]]/Table1[[#This Row],[USD_Spend]]</f>
        <v>4.957677962867308</v>
      </c>
      <c r="U61" s="1" t="str">
        <f>Outlier_Check!C71</f>
        <v>Normal</v>
      </c>
    </row>
    <row r="62" spans="1:21" x14ac:dyDescent="0.35">
      <c r="A62" s="3" t="s">
        <v>113</v>
      </c>
      <c r="B62" s="1" t="s">
        <v>19</v>
      </c>
      <c r="C62" s="1" t="s">
        <v>58</v>
      </c>
      <c r="D62" s="1" t="s">
        <v>63</v>
      </c>
      <c r="E62" s="1" t="s">
        <v>38</v>
      </c>
      <c r="F62" s="1" t="s">
        <v>52</v>
      </c>
      <c r="G62" s="2">
        <v>44990</v>
      </c>
      <c r="H62" s="2">
        <v>45046</v>
      </c>
      <c r="I62" s="1">
        <v>18713.150000000001</v>
      </c>
      <c r="J62" s="1">
        <v>0.52180000000000004</v>
      </c>
      <c r="K62" s="1">
        <v>9764.52</v>
      </c>
      <c r="L62" s="1">
        <v>506405</v>
      </c>
      <c r="M62" s="1">
        <v>14086</v>
      </c>
      <c r="N62" s="1">
        <v>18248.990000000002</v>
      </c>
      <c r="O62" s="1">
        <v>2023</v>
      </c>
      <c r="P62" s="1" t="s">
        <v>60</v>
      </c>
      <c r="Q62" s="1" t="s">
        <v>40</v>
      </c>
      <c r="R62" s="4" t="s">
        <v>26</v>
      </c>
      <c r="S62" s="25">
        <f>Table1[[#This Row],[Clicks]]/Table1[[#This Row],[Impressions]]</f>
        <v>2.7815681124791422E-2</v>
      </c>
      <c r="T62" s="22">
        <f>Table1[[#This Row],[Sales]]/Table1[[#This Row],[USD_Spend]]</f>
        <v>1.8689080466832984</v>
      </c>
      <c r="U62" s="1" t="str">
        <f>Outlier_Check!C72</f>
        <v>Normal</v>
      </c>
    </row>
    <row r="63" spans="1:21" x14ac:dyDescent="0.35">
      <c r="A63" s="3" t="s">
        <v>86</v>
      </c>
      <c r="B63" s="1" t="s">
        <v>28</v>
      </c>
      <c r="C63" s="1" t="s">
        <v>20</v>
      </c>
      <c r="D63" s="1" t="s">
        <v>43</v>
      </c>
      <c r="E63" s="1" t="s">
        <v>30</v>
      </c>
      <c r="F63" s="1" t="s">
        <v>49</v>
      </c>
      <c r="G63" s="2">
        <v>44992</v>
      </c>
      <c r="H63" s="2">
        <v>45042</v>
      </c>
      <c r="I63" s="1">
        <v>45535.15</v>
      </c>
      <c r="J63" s="1">
        <v>0.95630000000000004</v>
      </c>
      <c r="K63" s="1">
        <v>43545.26</v>
      </c>
      <c r="L63" s="1">
        <v>203871</v>
      </c>
      <c r="M63" s="1">
        <v>26663</v>
      </c>
      <c r="N63" s="1">
        <v>204152.64</v>
      </c>
      <c r="O63" s="1">
        <v>2023</v>
      </c>
      <c r="P63" s="1" t="s">
        <v>60</v>
      </c>
      <c r="Q63" s="1" t="s">
        <v>40</v>
      </c>
      <c r="R63" s="4" t="s">
        <v>26</v>
      </c>
      <c r="S63" s="25">
        <f>Table1[[#This Row],[Clicks]]/Table1[[#This Row],[Impressions]]</f>
        <v>0.13078368183802502</v>
      </c>
      <c r="T63" s="22">
        <f>Table1[[#This Row],[Sales]]/Table1[[#This Row],[USD_Spend]]</f>
        <v>4.6882861647857883</v>
      </c>
      <c r="U63" s="1" t="str">
        <f>Outlier_Check!C73</f>
        <v>Normal</v>
      </c>
    </row>
    <row r="64" spans="1:21" x14ac:dyDescent="0.35">
      <c r="A64" s="3" t="s">
        <v>78</v>
      </c>
      <c r="B64" s="1" t="s">
        <v>19</v>
      </c>
      <c r="C64" s="1" t="s">
        <v>69</v>
      </c>
      <c r="D64" s="1" t="s">
        <v>43</v>
      </c>
      <c r="E64" s="1" t="s">
        <v>22</v>
      </c>
      <c r="F64" s="1" t="s">
        <v>23</v>
      </c>
      <c r="G64" s="2">
        <v>44992</v>
      </c>
      <c r="H64" s="2">
        <v>45027</v>
      </c>
      <c r="I64" s="1">
        <v>27873.25</v>
      </c>
      <c r="J64" s="1">
        <v>4.1399999999999999E-2</v>
      </c>
      <c r="K64" s="1">
        <v>1153.95</v>
      </c>
      <c r="L64" s="1">
        <v>426297</v>
      </c>
      <c r="M64" s="1">
        <v>34439</v>
      </c>
      <c r="N64" s="1">
        <v>192424.11</v>
      </c>
      <c r="O64" s="1">
        <v>2023</v>
      </c>
      <c r="P64" s="1" t="s">
        <v>60</v>
      </c>
      <c r="Q64" s="1" t="s">
        <v>40</v>
      </c>
      <c r="R64" s="4" t="s">
        <v>54</v>
      </c>
      <c r="S64" s="25">
        <f>Table1[[#This Row],[Clicks]]/Table1[[#This Row],[Impressions]]</f>
        <v>8.0786400091954674E-2</v>
      </c>
      <c r="T64" s="22">
        <f>Table1[[#This Row],[Sales]]/Table1[[#This Row],[USD_Spend]]</f>
        <v>166.75255427011567</v>
      </c>
      <c r="U64" s="1" t="str">
        <f>Outlier_Check!C74</f>
        <v>Normal</v>
      </c>
    </row>
    <row r="65" spans="1:21" x14ac:dyDescent="0.35">
      <c r="A65" s="3" t="s">
        <v>86</v>
      </c>
      <c r="B65" s="1" t="s">
        <v>48</v>
      </c>
      <c r="C65" s="1" t="s">
        <v>29</v>
      </c>
      <c r="D65" s="1" t="s">
        <v>59</v>
      </c>
      <c r="E65" s="1" t="s">
        <v>22</v>
      </c>
      <c r="F65" s="1" t="s">
        <v>52</v>
      </c>
      <c r="G65" s="2">
        <v>44994</v>
      </c>
      <c r="H65" s="2">
        <v>45018</v>
      </c>
      <c r="I65" s="1">
        <v>35768.9</v>
      </c>
      <c r="J65" s="1">
        <v>0.49</v>
      </c>
      <c r="K65" s="1">
        <v>17526.759999999998</v>
      </c>
      <c r="L65" s="1">
        <v>828430</v>
      </c>
      <c r="M65" s="1">
        <v>34459</v>
      </c>
      <c r="N65" s="1">
        <v>220436.48000000001</v>
      </c>
      <c r="O65" s="1">
        <v>2023</v>
      </c>
      <c r="P65" s="1" t="s">
        <v>60</v>
      </c>
      <c r="Q65" s="1" t="s">
        <v>40</v>
      </c>
      <c r="R65" s="4" t="s">
        <v>26</v>
      </c>
      <c r="S65" s="25">
        <f>Table1[[#This Row],[Clicks]]/Table1[[#This Row],[Impressions]]</f>
        <v>4.1595548205642E-2</v>
      </c>
      <c r="T65" s="22">
        <f>Table1[[#This Row],[Sales]]/Table1[[#This Row],[USD_Spend]]</f>
        <v>12.577138044909614</v>
      </c>
      <c r="U65" s="1" t="str">
        <f>Outlier_Check!C75</f>
        <v>Normal</v>
      </c>
    </row>
    <row r="66" spans="1:21" x14ac:dyDescent="0.35">
      <c r="A66" s="3" t="s">
        <v>57</v>
      </c>
      <c r="B66" s="1" t="s">
        <v>28</v>
      </c>
      <c r="C66" s="1" t="s">
        <v>58</v>
      </c>
      <c r="D66" s="1" t="s">
        <v>59</v>
      </c>
      <c r="E66" s="1" t="s">
        <v>38</v>
      </c>
      <c r="F66" s="1" t="s">
        <v>52</v>
      </c>
      <c r="G66" s="2">
        <v>44994</v>
      </c>
      <c r="H66" s="2">
        <v>45012</v>
      </c>
      <c r="I66" s="1">
        <v>45743.67</v>
      </c>
      <c r="J66" s="1">
        <v>0.68489999999999995</v>
      </c>
      <c r="K66" s="1">
        <v>31329.84</v>
      </c>
      <c r="L66" s="1">
        <v>762787</v>
      </c>
      <c r="M66" s="1">
        <v>20722</v>
      </c>
      <c r="N66" s="1">
        <v>57093.5</v>
      </c>
      <c r="O66" s="1">
        <v>2023</v>
      </c>
      <c r="P66" s="1" t="s">
        <v>60</v>
      </c>
      <c r="Q66" s="1" t="s">
        <v>40</v>
      </c>
      <c r="R66" s="4" t="s">
        <v>61</v>
      </c>
      <c r="S66" s="25">
        <f>Table1[[#This Row],[Clicks]]/Table1[[#This Row],[Impressions]]</f>
        <v>2.716616827502304E-2</v>
      </c>
      <c r="T66" s="22">
        <f>Table1[[#This Row],[Sales]]/Table1[[#This Row],[USD_Spend]]</f>
        <v>1.8223361498175541</v>
      </c>
      <c r="U66" s="1" t="str">
        <f>Outlier_Check!C76</f>
        <v>Normal</v>
      </c>
    </row>
    <row r="67" spans="1:21" x14ac:dyDescent="0.35">
      <c r="A67" s="3" t="s">
        <v>107</v>
      </c>
      <c r="B67" s="1" t="s">
        <v>28</v>
      </c>
      <c r="C67" s="1" t="s">
        <v>29</v>
      </c>
      <c r="D67" s="1" t="s">
        <v>43</v>
      </c>
      <c r="E67" s="1" t="s">
        <v>30</v>
      </c>
      <c r="F67" s="1" t="s">
        <v>44</v>
      </c>
      <c r="G67" s="2">
        <v>44994</v>
      </c>
      <c r="H67" s="2">
        <v>45005</v>
      </c>
      <c r="I67" s="1">
        <v>34200.660000000003</v>
      </c>
      <c r="J67" s="1">
        <v>0.67549999999999999</v>
      </c>
      <c r="K67" s="1">
        <v>23102.55</v>
      </c>
      <c r="L67" s="1">
        <v>319242</v>
      </c>
      <c r="M67" s="1">
        <v>25099</v>
      </c>
      <c r="N67" s="1">
        <v>103412.35</v>
      </c>
      <c r="O67" s="1">
        <v>2023</v>
      </c>
      <c r="P67" s="1" t="s">
        <v>60</v>
      </c>
      <c r="Q67" s="1" t="s">
        <v>40</v>
      </c>
      <c r="R67" s="4" t="s">
        <v>26</v>
      </c>
      <c r="S67" s="25">
        <f>Table1[[#This Row],[Clicks]]/Table1[[#This Row],[Impressions]]</f>
        <v>7.8620607564167624E-2</v>
      </c>
      <c r="T67" s="22">
        <f>Table1[[#This Row],[Sales]]/Table1[[#This Row],[USD_Spend]]</f>
        <v>4.4762309788313415</v>
      </c>
      <c r="U67" s="1" t="str">
        <f>Outlier_Check!C77</f>
        <v>Normal</v>
      </c>
    </row>
    <row r="68" spans="1:21" x14ac:dyDescent="0.35">
      <c r="A68" s="3" t="s">
        <v>94</v>
      </c>
      <c r="B68" s="1" t="s">
        <v>28</v>
      </c>
      <c r="C68" s="1" t="s">
        <v>36</v>
      </c>
      <c r="D68" s="1" t="s">
        <v>43</v>
      </c>
      <c r="E68" s="1" t="s">
        <v>38</v>
      </c>
      <c r="F68" s="1" t="s">
        <v>49</v>
      </c>
      <c r="G68" s="2">
        <v>44995</v>
      </c>
      <c r="H68" s="2">
        <v>45000</v>
      </c>
      <c r="I68" s="1">
        <v>8498.08</v>
      </c>
      <c r="J68" s="1">
        <v>1.0570999999999999</v>
      </c>
      <c r="K68" s="1">
        <v>8983.32</v>
      </c>
      <c r="L68" s="1">
        <v>555073</v>
      </c>
      <c r="M68" s="1">
        <v>6448</v>
      </c>
      <c r="N68" s="1">
        <v>65565.490000000005</v>
      </c>
      <c r="O68" s="1">
        <v>2023</v>
      </c>
      <c r="P68" s="1" t="s">
        <v>60</v>
      </c>
      <c r="Q68" s="1" t="s">
        <v>40</v>
      </c>
      <c r="R68" s="4" t="s">
        <v>26</v>
      </c>
      <c r="S68" s="25">
        <f>Table1[[#This Row],[Clicks]]/Table1[[#This Row],[Impressions]]</f>
        <v>1.1616490083286343E-2</v>
      </c>
      <c r="T68" s="22">
        <f>Table1[[#This Row],[Sales]]/Table1[[#This Row],[USD_Spend]]</f>
        <v>7.2985811481723912</v>
      </c>
      <c r="U68" s="1" t="str">
        <f>Outlier_Check!C78</f>
        <v>Normal</v>
      </c>
    </row>
    <row r="69" spans="1:21" x14ac:dyDescent="0.35">
      <c r="A69" s="3" t="s">
        <v>102</v>
      </c>
      <c r="B69" s="1" t="s">
        <v>28</v>
      </c>
      <c r="C69" s="1" t="s">
        <v>58</v>
      </c>
      <c r="D69" s="1" t="s">
        <v>51</v>
      </c>
      <c r="E69" s="1" t="s">
        <v>30</v>
      </c>
      <c r="F69" s="1" t="s">
        <v>52</v>
      </c>
      <c r="G69" s="2">
        <v>44996</v>
      </c>
      <c r="H69" s="2">
        <v>45056</v>
      </c>
      <c r="I69" s="1">
        <v>3189.44</v>
      </c>
      <c r="J69" s="1">
        <v>0.58260000000000001</v>
      </c>
      <c r="K69" s="1">
        <v>1858.17</v>
      </c>
      <c r="L69" s="1">
        <v>334745</v>
      </c>
      <c r="M69" s="1">
        <v>37177</v>
      </c>
      <c r="N69" s="1">
        <v>115831.73</v>
      </c>
      <c r="O69" s="1">
        <v>2023</v>
      </c>
      <c r="P69" s="1" t="s">
        <v>60</v>
      </c>
      <c r="Q69" s="1" t="s">
        <v>40</v>
      </c>
      <c r="R69" s="4" t="s">
        <v>61</v>
      </c>
      <c r="S69" s="25">
        <f>Table1[[#This Row],[Clicks]]/Table1[[#This Row],[Impressions]]</f>
        <v>0.1110606581128919</v>
      </c>
      <c r="T69" s="22">
        <f>Table1[[#This Row],[Sales]]/Table1[[#This Row],[USD_Spend]]</f>
        <v>62.33645468390943</v>
      </c>
      <c r="U69" s="1" t="str">
        <f>Outlier_Check!C79</f>
        <v>Normal</v>
      </c>
    </row>
    <row r="70" spans="1:21" x14ac:dyDescent="0.35">
      <c r="A70" s="3" t="s">
        <v>113</v>
      </c>
      <c r="B70" s="1" t="s">
        <v>28</v>
      </c>
      <c r="C70" s="1" t="s">
        <v>36</v>
      </c>
      <c r="D70" s="1" t="s">
        <v>51</v>
      </c>
      <c r="E70" s="1" t="s">
        <v>38</v>
      </c>
      <c r="F70" s="1" t="s">
        <v>31</v>
      </c>
      <c r="G70" s="2">
        <v>44996</v>
      </c>
      <c r="H70" s="2">
        <v>45034</v>
      </c>
      <c r="I70" s="1">
        <v>27660.02</v>
      </c>
      <c r="J70" s="1">
        <v>0.94579999999999997</v>
      </c>
      <c r="K70" s="1">
        <v>26160.85</v>
      </c>
      <c r="L70" s="1">
        <v>542280</v>
      </c>
      <c r="M70" s="1">
        <v>36416</v>
      </c>
      <c r="N70" s="1">
        <v>9981.91</v>
      </c>
      <c r="O70" s="1">
        <v>2023</v>
      </c>
      <c r="P70" s="1" t="s">
        <v>60</v>
      </c>
      <c r="Q70" s="1" t="s">
        <v>40</v>
      </c>
      <c r="R70" s="4" t="s">
        <v>41</v>
      </c>
      <c r="S70" s="25">
        <f>Table1[[#This Row],[Clicks]]/Table1[[#This Row],[Impressions]]</f>
        <v>6.7153500036881322E-2</v>
      </c>
      <c r="T70" s="22">
        <f>Table1[[#This Row],[Sales]]/Table1[[#This Row],[USD_Spend]]</f>
        <v>0.38155908542727013</v>
      </c>
      <c r="U70" s="1" t="str">
        <f>Outlier_Check!C80</f>
        <v>Normal</v>
      </c>
    </row>
    <row r="71" spans="1:21" x14ac:dyDescent="0.35">
      <c r="A71" s="3" t="s">
        <v>66</v>
      </c>
      <c r="B71" s="1" t="s">
        <v>19</v>
      </c>
      <c r="C71" s="1" t="s">
        <v>69</v>
      </c>
      <c r="D71" s="1" t="s">
        <v>59</v>
      </c>
      <c r="E71" s="1" t="s">
        <v>22</v>
      </c>
      <c r="F71" s="1" t="s">
        <v>44</v>
      </c>
      <c r="G71" s="2">
        <v>44997</v>
      </c>
      <c r="H71" s="2">
        <v>45055</v>
      </c>
      <c r="I71" s="1">
        <v>38492.71</v>
      </c>
      <c r="J71" s="1">
        <v>0.25650000000000001</v>
      </c>
      <c r="K71" s="1">
        <v>9873.3799999999992</v>
      </c>
      <c r="L71" s="1">
        <v>236441</v>
      </c>
      <c r="M71" s="1">
        <v>15369</v>
      </c>
      <c r="N71" s="1">
        <v>85497.09</v>
      </c>
      <c r="O71" s="1">
        <v>2023</v>
      </c>
      <c r="P71" s="1" t="s">
        <v>60</v>
      </c>
      <c r="Q71" s="1" t="s">
        <v>40</v>
      </c>
      <c r="R71" s="4" t="s">
        <v>41</v>
      </c>
      <c r="S71" s="25">
        <f>Table1[[#This Row],[Clicks]]/Table1[[#This Row],[Impressions]]</f>
        <v>6.500141684394839E-2</v>
      </c>
      <c r="T71" s="22">
        <f>Table1[[#This Row],[Sales]]/Table1[[#This Row],[USD_Spend]]</f>
        <v>8.6593537370181242</v>
      </c>
      <c r="U71" s="1" t="str">
        <f>Outlier_Check!C81</f>
        <v>Normal</v>
      </c>
    </row>
    <row r="72" spans="1:21" x14ac:dyDescent="0.35">
      <c r="A72" s="3" t="s">
        <v>120</v>
      </c>
      <c r="B72" s="1" t="s">
        <v>28</v>
      </c>
      <c r="C72" s="1" t="s">
        <v>29</v>
      </c>
      <c r="D72" s="1" t="s">
        <v>37</v>
      </c>
      <c r="E72" s="1" t="s">
        <v>30</v>
      </c>
      <c r="F72" s="1" t="s">
        <v>31</v>
      </c>
      <c r="G72" s="2">
        <v>44997</v>
      </c>
      <c r="H72" s="2">
        <v>45035</v>
      </c>
      <c r="I72" s="1">
        <v>8596.25</v>
      </c>
      <c r="J72" s="1">
        <v>0.3619</v>
      </c>
      <c r="K72" s="1">
        <v>3110.98</v>
      </c>
      <c r="L72" s="1">
        <v>286141</v>
      </c>
      <c r="M72" s="1">
        <v>35594</v>
      </c>
      <c r="N72" s="1">
        <v>94942.61</v>
      </c>
      <c r="O72" s="1">
        <v>2023</v>
      </c>
      <c r="P72" s="1" t="s">
        <v>60</v>
      </c>
      <c r="Q72" s="1" t="s">
        <v>40</v>
      </c>
      <c r="R72" s="4" t="s">
        <v>61</v>
      </c>
      <c r="S72" s="25">
        <f>Table1[[#This Row],[Clicks]]/Table1[[#This Row],[Impressions]]</f>
        <v>0.12439321872782999</v>
      </c>
      <c r="T72" s="22">
        <f>Table1[[#This Row],[Sales]]/Table1[[#This Row],[USD_Spend]]</f>
        <v>30.518553639046218</v>
      </c>
      <c r="U72" s="1" t="str">
        <f>Outlier_Check!C82</f>
        <v>Normal</v>
      </c>
    </row>
    <row r="73" spans="1:21" x14ac:dyDescent="0.35">
      <c r="A73" s="3" t="s">
        <v>105</v>
      </c>
      <c r="B73" s="1" t="s">
        <v>28</v>
      </c>
      <c r="C73" s="1" t="s">
        <v>58</v>
      </c>
      <c r="D73" s="1" t="s">
        <v>63</v>
      </c>
      <c r="E73" s="1" t="s">
        <v>22</v>
      </c>
      <c r="F73" s="1" t="s">
        <v>31</v>
      </c>
      <c r="G73" s="2">
        <v>44998</v>
      </c>
      <c r="H73" s="2">
        <v>45012</v>
      </c>
      <c r="I73" s="1">
        <v>37307.480000000003</v>
      </c>
      <c r="J73" s="1">
        <v>1.1665000000000001</v>
      </c>
      <c r="K73" s="1">
        <v>43519.18</v>
      </c>
      <c r="L73" s="1">
        <v>106214</v>
      </c>
      <c r="M73" s="1">
        <v>48997</v>
      </c>
      <c r="N73" s="1">
        <v>134968.26</v>
      </c>
      <c r="O73" s="1">
        <v>2023</v>
      </c>
      <c r="P73" s="1" t="s">
        <v>60</v>
      </c>
      <c r="Q73" s="1" t="s">
        <v>40</v>
      </c>
      <c r="R73" s="4" t="s">
        <v>41</v>
      </c>
      <c r="S73" s="25">
        <f>Table1[[#This Row],[Clicks]]/Table1[[#This Row],[Impressions]]</f>
        <v>0.46130453612518124</v>
      </c>
      <c r="T73" s="22">
        <f>Table1[[#This Row],[Sales]]/Table1[[#This Row],[USD_Spend]]</f>
        <v>3.1013511743557669</v>
      </c>
      <c r="U73" s="1" t="str">
        <f>Outlier_Check!C83</f>
        <v>Normal</v>
      </c>
    </row>
    <row r="74" spans="1:21" x14ac:dyDescent="0.35">
      <c r="A74" s="3" t="s">
        <v>111</v>
      </c>
      <c r="B74" s="1" t="s">
        <v>48</v>
      </c>
      <c r="C74" s="1" t="s">
        <v>58</v>
      </c>
      <c r="D74" s="1" t="s">
        <v>59</v>
      </c>
      <c r="E74" s="1" t="s">
        <v>38</v>
      </c>
      <c r="F74" s="1" t="s">
        <v>49</v>
      </c>
      <c r="G74" s="2">
        <v>44999</v>
      </c>
      <c r="H74" s="2">
        <v>45044</v>
      </c>
      <c r="I74" s="1">
        <v>36901.07</v>
      </c>
      <c r="J74" s="1">
        <v>1.1944999999999999</v>
      </c>
      <c r="K74" s="1">
        <v>44078.33</v>
      </c>
      <c r="L74" s="1">
        <v>740650</v>
      </c>
      <c r="M74" s="1">
        <v>42408</v>
      </c>
      <c r="N74" s="1">
        <v>52193.72</v>
      </c>
      <c r="O74" s="1">
        <v>2023</v>
      </c>
      <c r="P74" s="1" t="s">
        <v>60</v>
      </c>
      <c r="Q74" s="1" t="s">
        <v>40</v>
      </c>
      <c r="R74" s="4" t="s">
        <v>54</v>
      </c>
      <c r="S74" s="25">
        <f>Table1[[#This Row],[Clicks]]/Table1[[#This Row],[Impressions]]</f>
        <v>5.7257814082225071E-2</v>
      </c>
      <c r="T74" s="22">
        <f>Table1[[#This Row],[Sales]]/Table1[[#This Row],[USD_Spend]]</f>
        <v>1.1841129189785546</v>
      </c>
      <c r="U74" s="1" t="str">
        <f>Outlier_Check!C84</f>
        <v>Normal</v>
      </c>
    </row>
    <row r="75" spans="1:21" x14ac:dyDescent="0.35">
      <c r="A75" s="3" t="s">
        <v>81</v>
      </c>
      <c r="B75" s="1" t="s">
        <v>35</v>
      </c>
      <c r="C75" s="1" t="s">
        <v>29</v>
      </c>
      <c r="D75" s="1" t="s">
        <v>21</v>
      </c>
      <c r="E75" s="1" t="s">
        <v>22</v>
      </c>
      <c r="F75" s="1" t="s">
        <v>52</v>
      </c>
      <c r="G75" s="2">
        <v>44999</v>
      </c>
      <c r="H75" s="2">
        <v>45018</v>
      </c>
      <c r="I75" s="1">
        <v>19770.43</v>
      </c>
      <c r="J75" s="1">
        <v>0.87960000000000005</v>
      </c>
      <c r="K75" s="1">
        <v>17390.07</v>
      </c>
      <c r="L75" s="1">
        <v>117402</v>
      </c>
      <c r="M75" s="1">
        <v>6863</v>
      </c>
      <c r="N75" s="1">
        <v>81771.11</v>
      </c>
      <c r="O75" s="1">
        <v>2023</v>
      </c>
      <c r="P75" s="1" t="s">
        <v>60</v>
      </c>
      <c r="Q75" s="1" t="s">
        <v>40</v>
      </c>
      <c r="R75" s="4" t="s">
        <v>26</v>
      </c>
      <c r="S75" s="25">
        <f>Table1[[#This Row],[Clicks]]/Table1[[#This Row],[Impressions]]</f>
        <v>5.845726648609053E-2</v>
      </c>
      <c r="T75" s="22">
        <f>Table1[[#This Row],[Sales]]/Table1[[#This Row],[USD_Spend]]</f>
        <v>4.7021725616975667</v>
      </c>
      <c r="U75" s="1" t="str">
        <f>Outlier_Check!C85</f>
        <v>Normal</v>
      </c>
    </row>
    <row r="76" spans="1:21" x14ac:dyDescent="0.35">
      <c r="A76" s="3" t="s">
        <v>112</v>
      </c>
      <c r="B76" s="1" t="s">
        <v>19</v>
      </c>
      <c r="C76" s="1" t="s">
        <v>36</v>
      </c>
      <c r="D76" s="1" t="s">
        <v>63</v>
      </c>
      <c r="E76" s="1" t="s">
        <v>30</v>
      </c>
      <c r="F76" s="1" t="s">
        <v>44</v>
      </c>
      <c r="G76" s="2">
        <v>45001</v>
      </c>
      <c r="H76" s="2">
        <v>45012</v>
      </c>
      <c r="I76" s="1">
        <v>28293</v>
      </c>
      <c r="J76" s="1">
        <v>7.1999999999999995E-2</v>
      </c>
      <c r="K76" s="1">
        <v>2037.1</v>
      </c>
      <c r="L76" s="1">
        <v>986292</v>
      </c>
      <c r="M76" s="1">
        <v>15490</v>
      </c>
      <c r="N76" s="1">
        <v>120378.44</v>
      </c>
      <c r="O76" s="1">
        <v>2023</v>
      </c>
      <c r="P76" s="1" t="s">
        <v>60</v>
      </c>
      <c r="Q76" s="1" t="s">
        <v>40</v>
      </c>
      <c r="R76" s="4" t="s">
        <v>54</v>
      </c>
      <c r="S76" s="25">
        <f>Table1[[#This Row],[Clicks]]/Table1[[#This Row],[Impressions]]</f>
        <v>1.5705288089125736E-2</v>
      </c>
      <c r="T76" s="22">
        <f>Table1[[#This Row],[Sales]]/Table1[[#This Row],[USD_Spend]]</f>
        <v>59.093044033184434</v>
      </c>
      <c r="U76" s="1" t="str">
        <f>Outlier_Check!C86</f>
        <v>Normal</v>
      </c>
    </row>
    <row r="77" spans="1:21" x14ac:dyDescent="0.35">
      <c r="A77" s="3" t="s">
        <v>87</v>
      </c>
      <c r="B77" s="1" t="s">
        <v>28</v>
      </c>
      <c r="C77" s="1" t="s">
        <v>69</v>
      </c>
      <c r="D77" s="1" t="s">
        <v>21</v>
      </c>
      <c r="E77" s="1" t="s">
        <v>30</v>
      </c>
      <c r="F77" s="1" t="s">
        <v>52</v>
      </c>
      <c r="G77" s="2">
        <v>45002</v>
      </c>
      <c r="H77" s="2">
        <v>45054</v>
      </c>
      <c r="I77" s="1">
        <v>46115.46</v>
      </c>
      <c r="J77" s="1">
        <v>1.1404000000000001</v>
      </c>
      <c r="K77" s="1">
        <v>52590.07</v>
      </c>
      <c r="L77" s="1">
        <v>964911</v>
      </c>
      <c r="M77" s="1">
        <v>26896</v>
      </c>
      <c r="N77" s="1">
        <v>159553.84</v>
      </c>
      <c r="O77" s="1">
        <v>2023</v>
      </c>
      <c r="P77" s="1" t="s">
        <v>60</v>
      </c>
      <c r="Q77" s="1" t="s">
        <v>40</v>
      </c>
      <c r="R77" s="4" t="s">
        <v>61</v>
      </c>
      <c r="S77" s="25">
        <f>Table1[[#This Row],[Clicks]]/Table1[[#This Row],[Impressions]]</f>
        <v>2.7874073360133731E-2</v>
      </c>
      <c r="T77" s="22">
        <f>Table1[[#This Row],[Sales]]/Table1[[#This Row],[USD_Spend]]</f>
        <v>3.0339157183095593</v>
      </c>
      <c r="U77" s="1" t="str">
        <f>Outlier_Check!C87</f>
        <v>Normal</v>
      </c>
    </row>
    <row r="78" spans="1:21" x14ac:dyDescent="0.35">
      <c r="A78" s="3" t="s">
        <v>81</v>
      </c>
      <c r="B78" s="1" t="s">
        <v>48</v>
      </c>
      <c r="C78" s="1" t="s">
        <v>69</v>
      </c>
      <c r="D78" s="1" t="s">
        <v>63</v>
      </c>
      <c r="E78" s="1" t="s">
        <v>22</v>
      </c>
      <c r="F78" s="1" t="s">
        <v>49</v>
      </c>
      <c r="G78" s="2">
        <v>45002</v>
      </c>
      <c r="H78" s="2">
        <v>45041</v>
      </c>
      <c r="I78" s="1">
        <v>11444.56</v>
      </c>
      <c r="J78" s="1">
        <v>0.3256</v>
      </c>
      <c r="K78" s="1">
        <v>3726.35</v>
      </c>
      <c r="L78" s="1">
        <v>988593</v>
      </c>
      <c r="M78" s="1">
        <v>22972</v>
      </c>
      <c r="N78" s="1">
        <v>220811.72</v>
      </c>
      <c r="O78" s="1">
        <v>2023</v>
      </c>
      <c r="P78" s="1" t="s">
        <v>60</v>
      </c>
      <c r="Q78" s="1" t="s">
        <v>40</v>
      </c>
      <c r="R78" s="4" t="s">
        <v>41</v>
      </c>
      <c r="S78" s="25">
        <f>Table1[[#This Row],[Clicks]]/Table1[[#This Row],[Impressions]]</f>
        <v>2.3237065202767974E-2</v>
      </c>
      <c r="T78" s="22">
        <f>Table1[[#This Row],[Sales]]/Table1[[#This Row],[USD_Spend]]</f>
        <v>59.256838461228817</v>
      </c>
      <c r="U78" s="1" t="str">
        <f>Outlier_Check!C88</f>
        <v>Normal</v>
      </c>
    </row>
    <row r="79" spans="1:21" x14ac:dyDescent="0.35">
      <c r="A79" s="3" t="s">
        <v>78</v>
      </c>
      <c r="B79" s="1" t="s">
        <v>35</v>
      </c>
      <c r="C79" s="1" t="s">
        <v>58</v>
      </c>
      <c r="D79" s="1" t="s">
        <v>51</v>
      </c>
      <c r="E79" s="1" t="s">
        <v>22</v>
      </c>
      <c r="F79" s="1" t="s">
        <v>44</v>
      </c>
      <c r="G79" s="2">
        <v>45003</v>
      </c>
      <c r="H79" s="2">
        <v>45043</v>
      </c>
      <c r="I79" s="1">
        <v>13493.4</v>
      </c>
      <c r="J79" s="1">
        <v>0.46429999999999999</v>
      </c>
      <c r="K79" s="1">
        <v>6264.99</v>
      </c>
      <c r="L79" s="1">
        <v>957556</v>
      </c>
      <c r="M79" s="1">
        <v>10803</v>
      </c>
      <c r="N79" s="1">
        <v>103014.55</v>
      </c>
      <c r="O79" s="1">
        <v>2023</v>
      </c>
      <c r="P79" s="1" t="s">
        <v>60</v>
      </c>
      <c r="Q79" s="1" t="s">
        <v>40</v>
      </c>
      <c r="R79" s="4" t="s">
        <v>61</v>
      </c>
      <c r="S79" s="25">
        <f>Table1[[#This Row],[Clicks]]/Table1[[#This Row],[Impressions]]</f>
        <v>1.1281846701393965E-2</v>
      </c>
      <c r="T79" s="22">
        <f>Table1[[#This Row],[Sales]]/Table1[[#This Row],[USD_Spend]]</f>
        <v>16.442891369339776</v>
      </c>
      <c r="U79" s="1" t="str">
        <f>Outlier_Check!C89</f>
        <v>Normal</v>
      </c>
    </row>
    <row r="80" spans="1:21" x14ac:dyDescent="0.35">
      <c r="A80" s="3" t="s">
        <v>83</v>
      </c>
      <c r="B80" s="1" t="s">
        <v>48</v>
      </c>
      <c r="C80" s="1" t="s">
        <v>20</v>
      </c>
      <c r="D80" s="1" t="s">
        <v>37</v>
      </c>
      <c r="E80" s="1" t="s">
        <v>38</v>
      </c>
      <c r="F80" s="1" t="s">
        <v>23</v>
      </c>
      <c r="G80" s="2">
        <v>45005</v>
      </c>
      <c r="H80" s="2">
        <v>45058</v>
      </c>
      <c r="I80" s="1">
        <v>6156</v>
      </c>
      <c r="J80" s="1">
        <v>0.92220000000000002</v>
      </c>
      <c r="K80" s="1">
        <v>5677.06</v>
      </c>
      <c r="L80" s="1">
        <v>351849</v>
      </c>
      <c r="M80" s="1">
        <v>26976</v>
      </c>
      <c r="N80" s="1">
        <v>115479.32</v>
      </c>
      <c r="O80" s="1">
        <v>2023</v>
      </c>
      <c r="P80" s="1" t="s">
        <v>60</v>
      </c>
      <c r="Q80" s="1" t="s">
        <v>40</v>
      </c>
      <c r="R80" s="4" t="s">
        <v>26</v>
      </c>
      <c r="S80" s="25">
        <f>Table1[[#This Row],[Clicks]]/Table1[[#This Row],[Impressions]]</f>
        <v>7.6669253003419077E-2</v>
      </c>
      <c r="T80" s="22">
        <f>Table1[[#This Row],[Sales]]/Table1[[#This Row],[USD_Spend]]</f>
        <v>20.341395017843745</v>
      </c>
      <c r="U80" s="1" t="str">
        <f>Outlier_Check!C90</f>
        <v>Normal</v>
      </c>
    </row>
    <row r="81" spans="1:21" x14ac:dyDescent="0.35">
      <c r="A81" s="3" t="s">
        <v>91</v>
      </c>
      <c r="B81" s="1" t="s">
        <v>19</v>
      </c>
      <c r="C81" s="1" t="s">
        <v>58</v>
      </c>
      <c r="D81" s="1" t="s">
        <v>43</v>
      </c>
      <c r="E81" s="1" t="s">
        <v>30</v>
      </c>
      <c r="F81" s="1" t="s">
        <v>52</v>
      </c>
      <c r="G81" s="2">
        <v>45005</v>
      </c>
      <c r="H81" s="2">
        <v>45051</v>
      </c>
      <c r="I81" s="1">
        <v>43348.25</v>
      </c>
      <c r="J81" s="1">
        <v>1.0278</v>
      </c>
      <c r="K81" s="1">
        <v>44553.33</v>
      </c>
      <c r="L81" s="1">
        <v>654883</v>
      </c>
      <c r="M81" s="1">
        <v>39033</v>
      </c>
      <c r="N81" s="1">
        <v>129231.62</v>
      </c>
      <c r="O81" s="1">
        <v>2023</v>
      </c>
      <c r="P81" s="1" t="s">
        <v>60</v>
      </c>
      <c r="Q81" s="1" t="s">
        <v>40</v>
      </c>
      <c r="R81" s="4" t="s">
        <v>41</v>
      </c>
      <c r="S81" s="25">
        <f>Table1[[#This Row],[Clicks]]/Table1[[#This Row],[Impressions]]</f>
        <v>5.96030130572942E-2</v>
      </c>
      <c r="T81" s="22">
        <f>Table1[[#This Row],[Sales]]/Table1[[#This Row],[USD_Spend]]</f>
        <v>2.9006051848425245</v>
      </c>
      <c r="U81" s="1" t="str">
        <f>Outlier_Check!C91</f>
        <v>Normal</v>
      </c>
    </row>
    <row r="82" spans="1:21" x14ac:dyDescent="0.35">
      <c r="A82" s="3" t="s">
        <v>116</v>
      </c>
      <c r="B82" s="1" t="s">
        <v>19</v>
      </c>
      <c r="C82" s="1" t="s">
        <v>69</v>
      </c>
      <c r="D82" s="1" t="s">
        <v>21</v>
      </c>
      <c r="E82" s="1" t="s">
        <v>30</v>
      </c>
      <c r="F82" s="1" t="s">
        <v>44</v>
      </c>
      <c r="G82" s="2">
        <v>45005</v>
      </c>
      <c r="H82" s="2">
        <v>45016</v>
      </c>
      <c r="I82" s="1">
        <v>9073.5400000000009</v>
      </c>
      <c r="J82" s="1">
        <v>0.14330000000000001</v>
      </c>
      <c r="K82" s="1">
        <v>1300.24</v>
      </c>
      <c r="L82" s="1">
        <v>165141</v>
      </c>
      <c r="M82" s="1">
        <v>32627</v>
      </c>
      <c r="N82" s="1">
        <v>41872.03</v>
      </c>
      <c r="O82" s="1">
        <v>2023</v>
      </c>
      <c r="P82" s="1" t="s">
        <v>60</v>
      </c>
      <c r="Q82" s="1" t="s">
        <v>40</v>
      </c>
      <c r="R82" s="4" t="s">
        <v>61</v>
      </c>
      <c r="S82" s="25">
        <f>Table1[[#This Row],[Clicks]]/Table1[[#This Row],[Impressions]]</f>
        <v>0.19757056091461236</v>
      </c>
      <c r="T82" s="22">
        <f>Table1[[#This Row],[Sales]]/Table1[[#This Row],[USD_Spend]]</f>
        <v>32.203308619947087</v>
      </c>
      <c r="U82" s="1" t="str">
        <f>Outlier_Check!C92</f>
        <v>Normal</v>
      </c>
    </row>
    <row r="83" spans="1:21" x14ac:dyDescent="0.35">
      <c r="A83" s="3" t="s">
        <v>94</v>
      </c>
      <c r="B83" s="1" t="s">
        <v>48</v>
      </c>
      <c r="C83" s="1" t="s">
        <v>20</v>
      </c>
      <c r="D83" s="1" t="s">
        <v>43</v>
      </c>
      <c r="E83" s="1" t="s">
        <v>30</v>
      </c>
      <c r="F83" s="1" t="s">
        <v>49</v>
      </c>
      <c r="G83" s="2">
        <v>45006</v>
      </c>
      <c r="H83" s="2">
        <v>45048</v>
      </c>
      <c r="I83" s="1">
        <v>8468.67</v>
      </c>
      <c r="J83" s="1">
        <v>0.87949999999999995</v>
      </c>
      <c r="K83" s="1">
        <v>7448.2</v>
      </c>
      <c r="L83" s="1">
        <v>303586</v>
      </c>
      <c r="M83" s="1">
        <v>11786</v>
      </c>
      <c r="N83" s="1">
        <v>69419.72</v>
      </c>
      <c r="O83" s="1">
        <v>2023</v>
      </c>
      <c r="P83" s="1" t="s">
        <v>60</v>
      </c>
      <c r="Q83" s="1" t="s">
        <v>40</v>
      </c>
      <c r="R83" s="4" t="s">
        <v>41</v>
      </c>
      <c r="S83" s="25">
        <f>Table1[[#This Row],[Clicks]]/Table1[[#This Row],[Impressions]]</f>
        <v>3.8822607103094348E-2</v>
      </c>
      <c r="T83" s="22">
        <f>Table1[[#This Row],[Sales]]/Table1[[#This Row],[USD_Spend]]</f>
        <v>9.3203351145243154</v>
      </c>
      <c r="U83" s="1" t="str">
        <f>Outlier_Check!C93</f>
        <v>Normal</v>
      </c>
    </row>
    <row r="84" spans="1:21" x14ac:dyDescent="0.35">
      <c r="A84" s="3" t="s">
        <v>113</v>
      </c>
      <c r="B84" s="1" t="s">
        <v>19</v>
      </c>
      <c r="C84" s="1" t="s">
        <v>29</v>
      </c>
      <c r="D84" s="1" t="s">
        <v>51</v>
      </c>
      <c r="E84" s="1" t="s">
        <v>30</v>
      </c>
      <c r="F84" s="1" t="s">
        <v>44</v>
      </c>
      <c r="G84" s="2">
        <v>45007</v>
      </c>
      <c r="H84" s="2">
        <v>45061</v>
      </c>
      <c r="I84" s="1">
        <v>3740.21</v>
      </c>
      <c r="J84" s="1">
        <v>0.9274</v>
      </c>
      <c r="K84" s="1">
        <v>3468.67</v>
      </c>
      <c r="L84" s="1">
        <v>374831</v>
      </c>
      <c r="M84" s="1">
        <v>28562</v>
      </c>
      <c r="N84" s="1">
        <v>107047.82</v>
      </c>
      <c r="O84" s="1">
        <v>2023</v>
      </c>
      <c r="P84" s="1" t="s">
        <v>60</v>
      </c>
      <c r="Q84" s="1" t="s">
        <v>40</v>
      </c>
      <c r="R84" s="4" t="s">
        <v>26</v>
      </c>
      <c r="S84" s="25">
        <f>Table1[[#This Row],[Clicks]]/Table1[[#This Row],[Impressions]]</f>
        <v>7.619967398640988E-2</v>
      </c>
      <c r="T84" s="22">
        <f>Table1[[#This Row],[Sales]]/Table1[[#This Row],[USD_Spend]]</f>
        <v>30.861344549928361</v>
      </c>
      <c r="U84" s="1" t="str">
        <f>Outlier_Check!C94</f>
        <v>Normal</v>
      </c>
    </row>
    <row r="85" spans="1:21" x14ac:dyDescent="0.35">
      <c r="A85" s="3" t="s">
        <v>66</v>
      </c>
      <c r="B85" s="1" t="s">
        <v>48</v>
      </c>
      <c r="C85" s="1" t="s">
        <v>58</v>
      </c>
      <c r="D85" s="1" t="s">
        <v>51</v>
      </c>
      <c r="E85" s="1" t="s">
        <v>38</v>
      </c>
      <c r="F85" s="1" t="s">
        <v>49</v>
      </c>
      <c r="G85" s="2">
        <v>45007</v>
      </c>
      <c r="H85" s="2">
        <v>45051</v>
      </c>
      <c r="I85" s="1">
        <v>43671.14</v>
      </c>
      <c r="J85" s="1">
        <v>0.74750000000000005</v>
      </c>
      <c r="K85" s="1">
        <v>32644.18</v>
      </c>
      <c r="L85" s="1">
        <v>262528</v>
      </c>
      <c r="M85" s="1">
        <v>32715</v>
      </c>
      <c r="N85" s="1">
        <v>228643.11</v>
      </c>
      <c r="O85" s="1">
        <v>2023</v>
      </c>
      <c r="P85" s="1" t="s">
        <v>60</v>
      </c>
      <c r="Q85" s="1" t="s">
        <v>40</v>
      </c>
      <c r="R85" s="4" t="s">
        <v>41</v>
      </c>
      <c r="S85" s="25">
        <f>Table1[[#This Row],[Clicks]]/Table1[[#This Row],[Impressions]]</f>
        <v>0.12461527913213066</v>
      </c>
      <c r="T85" s="22">
        <f>Table1[[#This Row],[Sales]]/Table1[[#This Row],[USD_Spend]]</f>
        <v>7.0041002714725868</v>
      </c>
      <c r="U85" s="1" t="str">
        <f>Outlier_Check!C95</f>
        <v>Normal</v>
      </c>
    </row>
    <row r="86" spans="1:21" x14ac:dyDescent="0.35">
      <c r="A86" s="3" t="s">
        <v>72</v>
      </c>
      <c r="B86" s="1" t="s">
        <v>35</v>
      </c>
      <c r="C86" s="1" t="s">
        <v>29</v>
      </c>
      <c r="D86" s="1" t="s">
        <v>21</v>
      </c>
      <c r="E86" s="1" t="s">
        <v>38</v>
      </c>
      <c r="F86" s="1" t="s">
        <v>49</v>
      </c>
      <c r="G86" s="2">
        <v>45008</v>
      </c>
      <c r="H86" s="2">
        <v>45057</v>
      </c>
      <c r="I86" s="1">
        <v>39211.49</v>
      </c>
      <c r="J86" s="1">
        <v>0.1696</v>
      </c>
      <c r="K86" s="1">
        <v>6650.27</v>
      </c>
      <c r="L86" s="1">
        <v>897240</v>
      </c>
      <c r="M86" s="1">
        <v>39730</v>
      </c>
      <c r="N86" s="1">
        <v>119847.06</v>
      </c>
      <c r="O86" s="1">
        <v>2023</v>
      </c>
      <c r="P86" s="1" t="s">
        <v>60</v>
      </c>
      <c r="Q86" s="1" t="s">
        <v>40</v>
      </c>
      <c r="R86" s="4" t="s">
        <v>61</v>
      </c>
      <c r="S86" s="25">
        <f>Table1[[#This Row],[Clicks]]/Table1[[#This Row],[Impressions]]</f>
        <v>4.4280237171771208E-2</v>
      </c>
      <c r="T86" s="22">
        <f>Table1[[#This Row],[Sales]]/Table1[[#This Row],[USD_Spend]]</f>
        <v>18.021382590481288</v>
      </c>
      <c r="U86" s="1" t="str">
        <f>Outlier_Check!C96</f>
        <v>Normal</v>
      </c>
    </row>
    <row r="87" spans="1:21" x14ac:dyDescent="0.35">
      <c r="A87" s="3" t="s">
        <v>62</v>
      </c>
      <c r="B87" s="1" t="s">
        <v>28</v>
      </c>
      <c r="C87" s="1" t="s">
        <v>58</v>
      </c>
      <c r="D87" s="1" t="s">
        <v>59</v>
      </c>
      <c r="E87" s="1" t="s">
        <v>30</v>
      </c>
      <c r="F87" s="1" t="s">
        <v>52</v>
      </c>
      <c r="G87" s="2">
        <v>45008</v>
      </c>
      <c r="H87" s="2">
        <v>45035</v>
      </c>
      <c r="I87" s="1">
        <v>28462.400000000001</v>
      </c>
      <c r="J87" s="1">
        <v>0.10100000000000001</v>
      </c>
      <c r="K87" s="1">
        <v>2874.7</v>
      </c>
      <c r="L87" s="1">
        <v>389895</v>
      </c>
      <c r="M87" s="1">
        <v>42916</v>
      </c>
      <c r="N87" s="1">
        <v>123617.86</v>
      </c>
      <c r="O87" s="1">
        <v>2023</v>
      </c>
      <c r="P87" s="1" t="s">
        <v>60</v>
      </c>
      <c r="Q87" s="1" t="s">
        <v>40</v>
      </c>
      <c r="R87" s="4" t="s">
        <v>61</v>
      </c>
      <c r="S87" s="25">
        <f>Table1[[#This Row],[Clicks]]/Table1[[#This Row],[Impressions]]</f>
        <v>0.1100706600495005</v>
      </c>
      <c r="T87" s="22">
        <f>Table1[[#This Row],[Sales]]/Table1[[#This Row],[USD_Spend]]</f>
        <v>43.002003687341293</v>
      </c>
      <c r="U87" s="1" t="str">
        <f>Outlier_Check!C97</f>
        <v>Normal</v>
      </c>
    </row>
    <row r="88" spans="1:21" x14ac:dyDescent="0.35">
      <c r="A88" s="3" t="s">
        <v>98</v>
      </c>
      <c r="B88" s="1" t="s">
        <v>48</v>
      </c>
      <c r="C88" s="1" t="s">
        <v>29</v>
      </c>
      <c r="D88" s="1" t="s">
        <v>59</v>
      </c>
      <c r="E88" s="1" t="s">
        <v>38</v>
      </c>
      <c r="F88" s="1" t="s">
        <v>31</v>
      </c>
      <c r="G88" s="2">
        <v>45010</v>
      </c>
      <c r="H88" s="2">
        <v>45051</v>
      </c>
      <c r="I88" s="1">
        <v>40575.97</v>
      </c>
      <c r="J88" s="1">
        <v>1.1883999999999999</v>
      </c>
      <c r="K88" s="1">
        <v>48220.480000000003</v>
      </c>
      <c r="L88" s="1">
        <v>246588</v>
      </c>
      <c r="M88" s="1">
        <v>45290</v>
      </c>
      <c r="N88" s="1">
        <v>108835.96</v>
      </c>
      <c r="O88" s="1">
        <v>2023</v>
      </c>
      <c r="P88" s="1" t="s">
        <v>60</v>
      </c>
      <c r="Q88" s="1" t="s">
        <v>40</v>
      </c>
      <c r="R88" s="4" t="s">
        <v>26</v>
      </c>
      <c r="S88" s="25">
        <f>Table1[[#This Row],[Clicks]]/Table1[[#This Row],[Impressions]]</f>
        <v>0.18366668288805618</v>
      </c>
      <c r="T88" s="22">
        <f>Table1[[#This Row],[Sales]]/Table1[[#This Row],[USD_Spend]]</f>
        <v>2.2570484574189225</v>
      </c>
      <c r="U88" s="1" t="str">
        <f>Outlier_Check!C98</f>
        <v>Normal</v>
      </c>
    </row>
    <row r="89" spans="1:21" x14ac:dyDescent="0.35">
      <c r="A89" s="3" t="s">
        <v>111</v>
      </c>
      <c r="B89" s="1" t="s">
        <v>28</v>
      </c>
      <c r="C89" s="1" t="s">
        <v>20</v>
      </c>
      <c r="D89" s="1" t="s">
        <v>43</v>
      </c>
      <c r="E89" s="1" t="s">
        <v>30</v>
      </c>
      <c r="F89" s="1" t="s">
        <v>49</v>
      </c>
      <c r="G89" s="2">
        <v>45010</v>
      </c>
      <c r="H89" s="2">
        <v>45020</v>
      </c>
      <c r="I89" s="1">
        <v>4047.49</v>
      </c>
      <c r="J89" s="1">
        <v>1.0672999999999999</v>
      </c>
      <c r="K89" s="1">
        <v>4319.8900000000003</v>
      </c>
      <c r="L89" s="1">
        <v>509387</v>
      </c>
      <c r="M89" s="1">
        <v>14176</v>
      </c>
      <c r="N89" s="1">
        <v>114310.2</v>
      </c>
      <c r="O89" s="1">
        <v>2023</v>
      </c>
      <c r="P89" s="1" t="s">
        <v>60</v>
      </c>
      <c r="Q89" s="1" t="s">
        <v>40</v>
      </c>
      <c r="R89" s="4" t="s">
        <v>41</v>
      </c>
      <c r="S89" s="25">
        <f>Table1[[#This Row],[Clicks]]/Table1[[#This Row],[Impressions]]</f>
        <v>2.7829528433195194E-2</v>
      </c>
      <c r="T89" s="22">
        <f>Table1[[#This Row],[Sales]]/Table1[[#This Row],[USD_Spend]]</f>
        <v>26.461368229283615</v>
      </c>
      <c r="U89" s="1" t="str">
        <f>Outlier_Check!C99</f>
        <v>Normal</v>
      </c>
    </row>
    <row r="90" spans="1:21" x14ac:dyDescent="0.35">
      <c r="A90" s="3" t="s">
        <v>42</v>
      </c>
      <c r="B90" s="1" t="s">
        <v>19</v>
      </c>
      <c r="C90" s="1" t="s">
        <v>36</v>
      </c>
      <c r="D90" s="1" t="s">
        <v>59</v>
      </c>
      <c r="E90" s="1" t="s">
        <v>38</v>
      </c>
      <c r="F90" s="1" t="s">
        <v>31</v>
      </c>
      <c r="G90" s="2">
        <v>45011</v>
      </c>
      <c r="H90" s="2">
        <v>45025</v>
      </c>
      <c r="I90" s="1">
        <v>31744.46</v>
      </c>
      <c r="J90" s="1">
        <v>0.76970000000000005</v>
      </c>
      <c r="K90" s="1">
        <v>24433.71</v>
      </c>
      <c r="L90" s="1">
        <v>617497</v>
      </c>
      <c r="M90" s="1">
        <v>6877</v>
      </c>
      <c r="N90" s="1">
        <v>32178.22</v>
      </c>
      <c r="O90" s="1">
        <v>2023</v>
      </c>
      <c r="P90" s="1" t="s">
        <v>60</v>
      </c>
      <c r="Q90" s="1" t="s">
        <v>40</v>
      </c>
      <c r="R90" s="4" t="s">
        <v>61</v>
      </c>
      <c r="S90" s="25">
        <f>Table1[[#This Row],[Clicks]]/Table1[[#This Row],[Impressions]]</f>
        <v>1.1136896211641514E-2</v>
      </c>
      <c r="T90" s="22">
        <f>Table1[[#This Row],[Sales]]/Table1[[#This Row],[USD_Spend]]</f>
        <v>1.316960052321158</v>
      </c>
      <c r="U90" s="1" t="str">
        <f>Outlier_Check!C100</f>
        <v>Normal</v>
      </c>
    </row>
    <row r="91" spans="1:21" x14ac:dyDescent="0.35">
      <c r="A91" s="3" t="s">
        <v>88</v>
      </c>
      <c r="B91" s="1" t="s">
        <v>48</v>
      </c>
      <c r="C91" s="1" t="s">
        <v>58</v>
      </c>
      <c r="D91" s="1" t="s">
        <v>63</v>
      </c>
      <c r="E91" s="1" t="s">
        <v>38</v>
      </c>
      <c r="F91" s="1" t="s">
        <v>49</v>
      </c>
      <c r="G91" s="2">
        <v>45012</v>
      </c>
      <c r="H91" s="2">
        <v>45058</v>
      </c>
      <c r="I91" s="1">
        <v>22002.03</v>
      </c>
      <c r="J91" s="1">
        <v>1.0416000000000001</v>
      </c>
      <c r="K91" s="1">
        <v>22917.31</v>
      </c>
      <c r="L91" s="1">
        <v>200556</v>
      </c>
      <c r="M91" s="1">
        <v>3395</v>
      </c>
      <c r="N91" s="1">
        <v>68738.3</v>
      </c>
      <c r="O91" s="1">
        <v>2023</v>
      </c>
      <c r="P91" s="1" t="s">
        <v>60</v>
      </c>
      <c r="Q91" s="1" t="s">
        <v>40</v>
      </c>
      <c r="R91" s="4" t="s">
        <v>41</v>
      </c>
      <c r="S91" s="25">
        <f>Table1[[#This Row],[Clicks]]/Table1[[#This Row],[Impressions]]</f>
        <v>1.6927940325894016E-2</v>
      </c>
      <c r="T91" s="22">
        <f>Table1[[#This Row],[Sales]]/Table1[[#This Row],[USD_Spend]]</f>
        <v>2.999405253059805</v>
      </c>
      <c r="U91" s="1" t="str">
        <f>Outlier_Check!C101</f>
        <v>Normal</v>
      </c>
    </row>
    <row r="92" spans="1:21" x14ac:dyDescent="0.35">
      <c r="A92" s="3" t="s">
        <v>104</v>
      </c>
      <c r="B92" s="1" t="s">
        <v>35</v>
      </c>
      <c r="C92" s="1" t="s">
        <v>29</v>
      </c>
      <c r="D92" s="1" t="s">
        <v>37</v>
      </c>
      <c r="E92" s="1" t="s">
        <v>30</v>
      </c>
      <c r="F92" s="1" t="s">
        <v>44</v>
      </c>
      <c r="G92" s="2">
        <v>45013</v>
      </c>
      <c r="H92" s="2">
        <v>45020</v>
      </c>
      <c r="I92" s="1">
        <v>27334.240000000002</v>
      </c>
      <c r="J92" s="1">
        <v>0.47410000000000002</v>
      </c>
      <c r="K92" s="1">
        <v>12959.16</v>
      </c>
      <c r="L92" s="1">
        <v>763800</v>
      </c>
      <c r="M92" s="1">
        <v>48600</v>
      </c>
      <c r="N92" s="1">
        <v>220569.53</v>
      </c>
      <c r="O92" s="1">
        <v>2023</v>
      </c>
      <c r="P92" s="1" t="s">
        <v>60</v>
      </c>
      <c r="Q92" s="1" t="s">
        <v>40</v>
      </c>
      <c r="R92" s="4" t="s">
        <v>41</v>
      </c>
      <c r="S92" s="25">
        <f>Table1[[#This Row],[Clicks]]/Table1[[#This Row],[Impressions]]</f>
        <v>6.3629222309505101E-2</v>
      </c>
      <c r="T92" s="22">
        <f>Table1[[#This Row],[Sales]]/Table1[[#This Row],[USD_Spend]]</f>
        <v>17.020357029313629</v>
      </c>
      <c r="U92" s="1" t="str">
        <f>Outlier_Check!C102</f>
        <v>Normal</v>
      </c>
    </row>
    <row r="93" spans="1:21" x14ac:dyDescent="0.35">
      <c r="A93" s="3" t="s">
        <v>105</v>
      </c>
      <c r="B93" s="1" t="s">
        <v>28</v>
      </c>
      <c r="C93" s="1" t="s">
        <v>36</v>
      </c>
      <c r="D93" s="1" t="s">
        <v>59</v>
      </c>
      <c r="E93" s="1" t="s">
        <v>38</v>
      </c>
      <c r="F93" s="1" t="s">
        <v>44</v>
      </c>
      <c r="G93" s="2">
        <v>45014</v>
      </c>
      <c r="H93" s="2">
        <v>45052</v>
      </c>
      <c r="I93" s="1">
        <v>35656.68</v>
      </c>
      <c r="J93" s="1">
        <v>0.875</v>
      </c>
      <c r="K93" s="1">
        <v>31199.599999999999</v>
      </c>
      <c r="L93" s="1">
        <v>546521</v>
      </c>
      <c r="M93" s="1">
        <v>40212</v>
      </c>
      <c r="N93" s="1">
        <v>237689.7</v>
      </c>
      <c r="O93" s="1">
        <v>2023</v>
      </c>
      <c r="P93" s="1" t="s">
        <v>60</v>
      </c>
      <c r="Q93" s="1" t="s">
        <v>40</v>
      </c>
      <c r="R93" s="4" t="s">
        <v>61</v>
      </c>
      <c r="S93" s="25">
        <f>Table1[[#This Row],[Clicks]]/Table1[[#This Row],[Impressions]]</f>
        <v>7.357814246845043E-2</v>
      </c>
      <c r="T93" s="22">
        <f>Table1[[#This Row],[Sales]]/Table1[[#This Row],[USD_Spend]]</f>
        <v>7.6183572866318805</v>
      </c>
      <c r="U93" s="1" t="str">
        <f>Outlier_Check!C103</f>
        <v>Normal</v>
      </c>
    </row>
    <row r="94" spans="1:21" x14ac:dyDescent="0.35">
      <c r="A94" s="3" t="s">
        <v>114</v>
      </c>
      <c r="B94" s="1" t="s">
        <v>28</v>
      </c>
      <c r="C94" s="1" t="s">
        <v>69</v>
      </c>
      <c r="D94" s="1" t="s">
        <v>37</v>
      </c>
      <c r="E94" s="1" t="s">
        <v>38</v>
      </c>
      <c r="F94" s="1" t="s">
        <v>31</v>
      </c>
      <c r="G94" s="2">
        <v>45014</v>
      </c>
      <c r="H94" s="2">
        <v>45030</v>
      </c>
      <c r="I94" s="1">
        <v>36857.129999999997</v>
      </c>
      <c r="J94" s="1">
        <v>1.1017999999999999</v>
      </c>
      <c r="K94" s="1">
        <v>40609.19</v>
      </c>
      <c r="L94" s="1">
        <v>977301</v>
      </c>
      <c r="M94" s="1">
        <v>26114</v>
      </c>
      <c r="N94" s="1">
        <v>193213.08</v>
      </c>
      <c r="O94" s="1">
        <v>2023</v>
      </c>
      <c r="P94" s="1" t="s">
        <v>60</v>
      </c>
      <c r="Q94" s="1" t="s">
        <v>40</v>
      </c>
      <c r="R94" s="4" t="s">
        <v>54</v>
      </c>
      <c r="S94" s="25">
        <f>Table1[[#This Row],[Clicks]]/Table1[[#This Row],[Impressions]]</f>
        <v>2.6720529294454832E-2</v>
      </c>
      <c r="T94" s="22">
        <f>Table1[[#This Row],[Sales]]/Table1[[#This Row],[USD_Spend]]</f>
        <v>4.7578658919323429</v>
      </c>
      <c r="U94" s="1" t="str">
        <f>Outlier_Check!C104</f>
        <v>Normal</v>
      </c>
    </row>
    <row r="95" spans="1:21" x14ac:dyDescent="0.35">
      <c r="A95" s="3" t="s">
        <v>106</v>
      </c>
      <c r="B95" s="1" t="s">
        <v>19</v>
      </c>
      <c r="C95" s="1" t="s">
        <v>58</v>
      </c>
      <c r="D95" s="1" t="s">
        <v>37</v>
      </c>
      <c r="E95" s="1" t="s">
        <v>38</v>
      </c>
      <c r="F95" s="1" t="s">
        <v>44</v>
      </c>
      <c r="G95" s="2">
        <v>45014</v>
      </c>
      <c r="H95" s="2">
        <v>45022</v>
      </c>
      <c r="I95" s="1">
        <v>45919</v>
      </c>
      <c r="J95" s="1">
        <v>0.45910000000000001</v>
      </c>
      <c r="K95" s="1">
        <v>21081.41</v>
      </c>
      <c r="L95" s="1">
        <v>943320</v>
      </c>
      <c r="M95" s="1">
        <v>45540</v>
      </c>
      <c r="N95" s="1">
        <v>20931.91</v>
      </c>
      <c r="O95" s="1">
        <v>2023</v>
      </c>
      <c r="P95" s="1" t="s">
        <v>60</v>
      </c>
      <c r="Q95" s="1" t="s">
        <v>40</v>
      </c>
      <c r="R95" s="4" t="s">
        <v>54</v>
      </c>
      <c r="S95" s="25">
        <f>Table1[[#This Row],[Clicks]]/Table1[[#This Row],[Impressions]]</f>
        <v>4.8276300725098586E-2</v>
      </c>
      <c r="T95" s="22">
        <f>Table1[[#This Row],[Sales]]/Table1[[#This Row],[USD_Spend]]</f>
        <v>0.99290844397979072</v>
      </c>
      <c r="U95" s="1" t="str">
        <f>Outlier_Check!C105</f>
        <v>Normal</v>
      </c>
    </row>
    <row r="96" spans="1:21" x14ac:dyDescent="0.35">
      <c r="A96" s="3" t="s">
        <v>106</v>
      </c>
      <c r="B96" s="1" t="s">
        <v>19</v>
      </c>
      <c r="C96" s="1" t="s">
        <v>69</v>
      </c>
      <c r="D96" s="1" t="s">
        <v>21</v>
      </c>
      <c r="E96" s="1" t="s">
        <v>30</v>
      </c>
      <c r="F96" s="1" t="s">
        <v>44</v>
      </c>
      <c r="G96" s="2">
        <v>45015</v>
      </c>
      <c r="H96" s="2">
        <v>45057</v>
      </c>
      <c r="I96" s="1">
        <v>2187.91</v>
      </c>
      <c r="J96" s="1">
        <v>1.1521999999999999</v>
      </c>
      <c r="K96" s="1">
        <v>2520.91</v>
      </c>
      <c r="L96" s="1">
        <v>110879</v>
      </c>
      <c r="M96" s="1">
        <v>13439</v>
      </c>
      <c r="N96" s="1">
        <v>13143.6</v>
      </c>
      <c r="O96" s="1">
        <v>2023</v>
      </c>
      <c r="P96" s="1" t="s">
        <v>60</v>
      </c>
      <c r="Q96" s="1" t="s">
        <v>40</v>
      </c>
      <c r="R96" s="4" t="s">
        <v>26</v>
      </c>
      <c r="S96" s="25">
        <f>Table1[[#This Row],[Clicks]]/Table1[[#This Row],[Impressions]]</f>
        <v>0.12120419556453431</v>
      </c>
      <c r="T96" s="22">
        <f>Table1[[#This Row],[Sales]]/Table1[[#This Row],[USD_Spend]]</f>
        <v>5.2138315132233997</v>
      </c>
      <c r="U96" s="1" t="str">
        <f>Outlier_Check!C106</f>
        <v>Normal</v>
      </c>
    </row>
    <row r="97" spans="1:21" x14ac:dyDescent="0.35">
      <c r="A97" s="3" t="s">
        <v>79</v>
      </c>
      <c r="B97" s="1" t="s">
        <v>48</v>
      </c>
      <c r="C97" s="1" t="s">
        <v>36</v>
      </c>
      <c r="D97" s="1" t="s">
        <v>63</v>
      </c>
      <c r="E97" s="1" t="s">
        <v>22</v>
      </c>
      <c r="F97" s="1" t="s">
        <v>52</v>
      </c>
      <c r="G97" s="2">
        <v>45015</v>
      </c>
      <c r="H97" s="2">
        <v>45051</v>
      </c>
      <c r="I97" s="1">
        <v>43975.39</v>
      </c>
      <c r="J97" s="1">
        <v>0.45219999999999999</v>
      </c>
      <c r="K97" s="1">
        <v>19885.669999999998</v>
      </c>
      <c r="L97" s="1">
        <v>879749</v>
      </c>
      <c r="M97" s="1">
        <v>19933</v>
      </c>
      <c r="N97" s="1">
        <v>57954.27</v>
      </c>
      <c r="O97" s="1">
        <v>2023</v>
      </c>
      <c r="P97" s="1" t="s">
        <v>60</v>
      </c>
      <c r="Q97" s="1" t="s">
        <v>40</v>
      </c>
      <c r="R97" s="4" t="s">
        <v>26</v>
      </c>
      <c r="S97" s="25">
        <f>Table1[[#This Row],[Clicks]]/Table1[[#This Row],[Impressions]]</f>
        <v>2.2657598928785369E-2</v>
      </c>
      <c r="T97" s="22">
        <f>Table1[[#This Row],[Sales]]/Table1[[#This Row],[USD_Spend]]</f>
        <v>2.9143735162053881</v>
      </c>
      <c r="U97" s="1" t="str">
        <f>Outlier_Check!C107</f>
        <v>Normal</v>
      </c>
    </row>
    <row r="98" spans="1:21" x14ac:dyDescent="0.35">
      <c r="A98" s="3" t="s">
        <v>104</v>
      </c>
      <c r="B98" s="1" t="s">
        <v>19</v>
      </c>
      <c r="C98" s="1" t="s">
        <v>36</v>
      </c>
      <c r="D98" s="1" t="s">
        <v>37</v>
      </c>
      <c r="E98" s="1" t="s">
        <v>30</v>
      </c>
      <c r="F98" s="1" t="s">
        <v>31</v>
      </c>
      <c r="G98" s="2">
        <v>45015</v>
      </c>
      <c r="H98" s="2">
        <v>45037</v>
      </c>
      <c r="I98" s="1">
        <v>39203.97</v>
      </c>
      <c r="J98" s="1">
        <v>0.43020000000000003</v>
      </c>
      <c r="K98" s="1">
        <v>16865.55</v>
      </c>
      <c r="L98" s="1">
        <v>424337</v>
      </c>
      <c r="M98" s="1">
        <v>26671</v>
      </c>
      <c r="N98" s="1">
        <v>148589.64000000001</v>
      </c>
      <c r="O98" s="1">
        <v>2023</v>
      </c>
      <c r="P98" s="1" t="s">
        <v>60</v>
      </c>
      <c r="Q98" s="1" t="s">
        <v>40</v>
      </c>
      <c r="R98" s="4" t="s">
        <v>41</v>
      </c>
      <c r="S98" s="25">
        <f>Table1[[#This Row],[Clicks]]/Table1[[#This Row],[Impressions]]</f>
        <v>6.2853345336371796E-2</v>
      </c>
      <c r="T98" s="22">
        <f>Table1[[#This Row],[Sales]]/Table1[[#This Row],[USD_Spend]]</f>
        <v>8.8102457376130641</v>
      </c>
      <c r="U98" s="1" t="str">
        <f>Outlier_Check!C108</f>
        <v>Normal</v>
      </c>
    </row>
    <row r="99" spans="1:21" x14ac:dyDescent="0.35">
      <c r="A99" s="3" t="s">
        <v>68</v>
      </c>
      <c r="B99" s="1" t="s">
        <v>35</v>
      </c>
      <c r="C99" s="1" t="s">
        <v>29</v>
      </c>
      <c r="D99" s="1" t="s">
        <v>59</v>
      </c>
      <c r="E99" s="1" t="s">
        <v>38</v>
      </c>
      <c r="F99" s="1" t="s">
        <v>23</v>
      </c>
      <c r="G99" s="2">
        <v>45015</v>
      </c>
      <c r="H99" s="2">
        <v>45026</v>
      </c>
      <c r="I99" s="1">
        <v>7860.64</v>
      </c>
      <c r="J99" s="1">
        <v>0.15659999999999999</v>
      </c>
      <c r="K99" s="1">
        <v>1230.98</v>
      </c>
      <c r="L99" s="1">
        <v>775470</v>
      </c>
      <c r="M99" s="1">
        <v>25267</v>
      </c>
      <c r="N99" s="1">
        <v>91126.23</v>
      </c>
      <c r="O99" s="1">
        <v>2023</v>
      </c>
      <c r="P99" s="1" t="s">
        <v>60</v>
      </c>
      <c r="Q99" s="1" t="s">
        <v>40</v>
      </c>
      <c r="R99" s="4" t="s">
        <v>61</v>
      </c>
      <c r="S99" s="25">
        <f>Table1[[#This Row],[Clicks]]/Table1[[#This Row],[Impressions]]</f>
        <v>3.2582820740969992E-2</v>
      </c>
      <c r="T99" s="22">
        <f>Table1[[#This Row],[Sales]]/Table1[[#This Row],[USD_Spend]]</f>
        <v>74.027384685372624</v>
      </c>
      <c r="U99" s="1" t="str">
        <f>Outlier_Check!C109</f>
        <v>Normal</v>
      </c>
    </row>
    <row r="100" spans="1:21" x14ac:dyDescent="0.35">
      <c r="A100" s="3" t="s">
        <v>93</v>
      </c>
      <c r="B100" s="1" t="s">
        <v>35</v>
      </c>
      <c r="C100" s="1" t="s">
        <v>29</v>
      </c>
      <c r="D100" s="1" t="s">
        <v>63</v>
      </c>
      <c r="E100" s="1" t="s">
        <v>38</v>
      </c>
      <c r="F100" s="1" t="s">
        <v>44</v>
      </c>
      <c r="G100" s="2">
        <v>45016</v>
      </c>
      <c r="H100" s="2">
        <v>45028</v>
      </c>
      <c r="I100" s="1">
        <v>5367.83</v>
      </c>
      <c r="J100" s="1">
        <v>0.89129999999999998</v>
      </c>
      <c r="K100" s="1">
        <v>4784.3500000000004</v>
      </c>
      <c r="L100" s="1">
        <v>992736</v>
      </c>
      <c r="M100" s="1">
        <v>12431</v>
      </c>
      <c r="N100" s="1">
        <v>187431.35</v>
      </c>
      <c r="O100" s="1">
        <v>2023</v>
      </c>
      <c r="P100" s="1" t="s">
        <v>60</v>
      </c>
      <c r="Q100" s="1" t="s">
        <v>40</v>
      </c>
      <c r="R100" s="4" t="s">
        <v>26</v>
      </c>
      <c r="S100" s="25">
        <f>Table1[[#This Row],[Clicks]]/Table1[[#This Row],[Impressions]]</f>
        <v>1.2521959513909036E-2</v>
      </c>
      <c r="T100" s="22">
        <f>Table1[[#This Row],[Sales]]/Table1[[#This Row],[USD_Spend]]</f>
        <v>39.175927764482111</v>
      </c>
      <c r="U100" s="1" t="str">
        <f>Outlier_Check!C110</f>
        <v>Normal</v>
      </c>
    </row>
    <row r="101" spans="1:21" x14ac:dyDescent="0.35">
      <c r="A101" s="3" t="s">
        <v>87</v>
      </c>
      <c r="B101" s="1" t="s">
        <v>35</v>
      </c>
      <c r="C101" s="1" t="s">
        <v>20</v>
      </c>
      <c r="D101" s="1" t="s">
        <v>21</v>
      </c>
      <c r="E101" s="1" t="s">
        <v>30</v>
      </c>
      <c r="F101" s="1" t="s">
        <v>31</v>
      </c>
      <c r="G101" s="2">
        <v>45019</v>
      </c>
      <c r="H101" s="2">
        <v>45074</v>
      </c>
      <c r="I101" s="1">
        <v>20334.150000000001</v>
      </c>
      <c r="J101" s="1">
        <v>0.32469999999999999</v>
      </c>
      <c r="K101" s="1">
        <v>6602.5</v>
      </c>
      <c r="L101" s="1">
        <v>139592</v>
      </c>
      <c r="M101" s="1">
        <v>29904</v>
      </c>
      <c r="N101" s="1">
        <v>95303.49</v>
      </c>
      <c r="O101" s="1">
        <v>2023</v>
      </c>
      <c r="P101" s="1" t="s">
        <v>76</v>
      </c>
      <c r="Q101" s="1" t="s">
        <v>46</v>
      </c>
      <c r="R101" s="4" t="s">
        <v>26</v>
      </c>
      <c r="S101" s="25">
        <f>Table1[[#This Row],[Clicks]]/Table1[[#This Row],[Impressions]]</f>
        <v>0.21422431084875923</v>
      </c>
      <c r="T101" s="22">
        <f>Table1[[#This Row],[Sales]]/Table1[[#This Row],[USD_Spend]]</f>
        <v>14.434455130632337</v>
      </c>
      <c r="U101" s="1" t="str">
        <f>Outlier_Check!C111</f>
        <v>Normal</v>
      </c>
    </row>
    <row r="102" spans="1:21" x14ac:dyDescent="0.35">
      <c r="A102" s="3" t="s">
        <v>116</v>
      </c>
      <c r="B102" s="1" t="s">
        <v>35</v>
      </c>
      <c r="C102" s="1" t="s">
        <v>29</v>
      </c>
      <c r="D102" s="1" t="s">
        <v>37</v>
      </c>
      <c r="E102" s="1" t="s">
        <v>30</v>
      </c>
      <c r="F102" s="1" t="s">
        <v>52</v>
      </c>
      <c r="G102" s="2">
        <v>45019</v>
      </c>
      <c r="H102" s="2">
        <v>45034</v>
      </c>
      <c r="I102" s="1">
        <v>40572.25</v>
      </c>
      <c r="J102" s="1">
        <v>0.372</v>
      </c>
      <c r="K102" s="1">
        <v>15092.88</v>
      </c>
      <c r="L102" s="1">
        <v>748936</v>
      </c>
      <c r="M102" s="1">
        <v>45770</v>
      </c>
      <c r="N102" s="1">
        <v>152809.10999999999</v>
      </c>
      <c r="O102" s="1">
        <v>2023</v>
      </c>
      <c r="P102" s="1" t="s">
        <v>76</v>
      </c>
      <c r="Q102" s="1" t="s">
        <v>46</v>
      </c>
      <c r="R102" s="4" t="s">
        <v>41</v>
      </c>
      <c r="S102" s="25">
        <f>Table1[[#This Row],[Clicks]]/Table1[[#This Row],[Impressions]]</f>
        <v>6.1113366162128674E-2</v>
      </c>
      <c r="T102" s="22">
        <f>Table1[[#This Row],[Sales]]/Table1[[#This Row],[USD_Spend]]</f>
        <v>10.124582584635935</v>
      </c>
      <c r="U102" s="1" t="str">
        <f>Outlier_Check!C112</f>
        <v>Normal</v>
      </c>
    </row>
    <row r="103" spans="1:21" x14ac:dyDescent="0.35">
      <c r="A103" s="3" t="s">
        <v>57</v>
      </c>
      <c r="B103" s="1" t="s">
        <v>35</v>
      </c>
      <c r="C103" s="1" t="s">
        <v>58</v>
      </c>
      <c r="D103" s="1" t="s">
        <v>51</v>
      </c>
      <c r="E103" s="1" t="s">
        <v>22</v>
      </c>
      <c r="F103" s="1" t="s">
        <v>31</v>
      </c>
      <c r="G103" s="2">
        <v>45019</v>
      </c>
      <c r="H103" s="2">
        <v>45033</v>
      </c>
      <c r="I103" s="1">
        <v>1721.52</v>
      </c>
      <c r="J103" s="1">
        <v>0.26850000000000002</v>
      </c>
      <c r="K103" s="1">
        <v>462.23</v>
      </c>
      <c r="L103" s="1">
        <v>450656</v>
      </c>
      <c r="M103" s="1">
        <v>20519</v>
      </c>
      <c r="N103" s="1">
        <v>197502.71</v>
      </c>
      <c r="O103" s="1">
        <v>2023</v>
      </c>
      <c r="P103" s="1" t="s">
        <v>76</v>
      </c>
      <c r="Q103" s="1" t="s">
        <v>46</v>
      </c>
      <c r="R103" s="4" t="s">
        <v>26</v>
      </c>
      <c r="S103" s="25">
        <f>Table1[[#This Row],[Clicks]]/Table1[[#This Row],[Impressions]]</f>
        <v>4.5531403110132783E-2</v>
      </c>
      <c r="T103" s="22">
        <f>Table1[[#This Row],[Sales]]/Table1[[#This Row],[USD_Spend]]</f>
        <v>427.2823269800748</v>
      </c>
      <c r="U103" s="1" t="str">
        <f>Outlier_Check!C113</f>
        <v>Normal</v>
      </c>
    </row>
    <row r="104" spans="1:21" x14ac:dyDescent="0.35">
      <c r="A104" s="3" t="s">
        <v>106</v>
      </c>
      <c r="B104" s="1" t="s">
        <v>19</v>
      </c>
      <c r="C104" s="1" t="s">
        <v>20</v>
      </c>
      <c r="D104" s="1" t="s">
        <v>43</v>
      </c>
      <c r="E104" s="1" t="s">
        <v>30</v>
      </c>
      <c r="F104" s="1" t="s">
        <v>31</v>
      </c>
      <c r="G104" s="2">
        <v>45020</v>
      </c>
      <c r="H104" s="2">
        <v>45078</v>
      </c>
      <c r="I104" s="1">
        <v>5182.8500000000004</v>
      </c>
      <c r="J104" s="1">
        <v>0.52390000000000003</v>
      </c>
      <c r="K104" s="1">
        <v>2715.3</v>
      </c>
      <c r="L104" s="1">
        <v>790758</v>
      </c>
      <c r="M104" s="1">
        <v>48517</v>
      </c>
      <c r="N104" s="1">
        <v>96298.48</v>
      </c>
      <c r="O104" s="1">
        <v>2023</v>
      </c>
      <c r="P104" s="1" t="s">
        <v>76</v>
      </c>
      <c r="Q104" s="1" t="s">
        <v>46</v>
      </c>
      <c r="R104" s="4" t="s">
        <v>26</v>
      </c>
      <c r="S104" s="25">
        <f>Table1[[#This Row],[Clicks]]/Table1[[#This Row],[Impressions]]</f>
        <v>6.1355054264389357E-2</v>
      </c>
      <c r="T104" s="22">
        <f>Table1[[#This Row],[Sales]]/Table1[[#This Row],[USD_Spend]]</f>
        <v>35.465134607594003</v>
      </c>
      <c r="U104" s="1" t="str">
        <f>Outlier_Check!C114</f>
        <v>Normal</v>
      </c>
    </row>
    <row r="105" spans="1:21" x14ac:dyDescent="0.35">
      <c r="A105" s="3" t="s">
        <v>108</v>
      </c>
      <c r="B105" s="1" t="s">
        <v>19</v>
      </c>
      <c r="C105" s="1" t="s">
        <v>29</v>
      </c>
      <c r="D105" s="1" t="s">
        <v>43</v>
      </c>
      <c r="E105" s="1" t="s">
        <v>38</v>
      </c>
      <c r="F105" s="1" t="s">
        <v>49</v>
      </c>
      <c r="G105" s="2">
        <v>45020</v>
      </c>
      <c r="H105" s="2">
        <v>45076</v>
      </c>
      <c r="I105" s="1">
        <v>31131.26</v>
      </c>
      <c r="J105" s="1">
        <v>0.18060000000000001</v>
      </c>
      <c r="K105" s="1">
        <v>5622.31</v>
      </c>
      <c r="L105" s="1">
        <v>508560</v>
      </c>
      <c r="M105" s="1">
        <v>116</v>
      </c>
      <c r="N105" s="1">
        <v>84217.78</v>
      </c>
      <c r="O105" s="1">
        <v>2023</v>
      </c>
      <c r="P105" s="1" t="s">
        <v>76</v>
      </c>
      <c r="Q105" s="1" t="s">
        <v>46</v>
      </c>
      <c r="R105" s="4" t="s">
        <v>54</v>
      </c>
      <c r="S105" s="25">
        <f>Table1[[#This Row],[Clicks]]/Table1[[#This Row],[Impressions]]</f>
        <v>2.28095013371087E-4</v>
      </c>
      <c r="T105" s="22">
        <f>Table1[[#This Row],[Sales]]/Table1[[#This Row],[USD_Spend]]</f>
        <v>14.97921317038726</v>
      </c>
      <c r="U105" s="1" t="str">
        <f>Outlier_Check!C115</f>
        <v>Normal</v>
      </c>
    </row>
    <row r="106" spans="1:21" x14ac:dyDescent="0.35">
      <c r="A106" s="3" t="s">
        <v>112</v>
      </c>
      <c r="B106" s="1" t="s">
        <v>48</v>
      </c>
      <c r="C106" s="1" t="s">
        <v>20</v>
      </c>
      <c r="D106" s="1" t="s">
        <v>37</v>
      </c>
      <c r="E106" s="1" t="s">
        <v>22</v>
      </c>
      <c r="F106" s="1" t="s">
        <v>49</v>
      </c>
      <c r="G106" s="2">
        <v>45020</v>
      </c>
      <c r="H106" s="2">
        <v>45068</v>
      </c>
      <c r="I106" s="1">
        <v>31313.599999999999</v>
      </c>
      <c r="J106" s="1">
        <v>1.1176999999999999</v>
      </c>
      <c r="K106" s="1">
        <v>34999.21</v>
      </c>
      <c r="L106" s="1">
        <v>806456</v>
      </c>
      <c r="M106" s="1">
        <v>41068</v>
      </c>
      <c r="N106" s="1">
        <v>19712.82</v>
      </c>
      <c r="O106" s="1">
        <v>2023</v>
      </c>
      <c r="P106" s="1" t="s">
        <v>76</v>
      </c>
      <c r="Q106" s="1" t="s">
        <v>46</v>
      </c>
      <c r="R106" s="4" t="s">
        <v>61</v>
      </c>
      <c r="S106" s="25">
        <f>Table1[[#This Row],[Clicks]]/Table1[[#This Row],[Impressions]]</f>
        <v>5.0924042973206227E-2</v>
      </c>
      <c r="T106" s="22">
        <f>Table1[[#This Row],[Sales]]/Table1[[#This Row],[USD_Spend]]</f>
        <v>0.56323614161576785</v>
      </c>
      <c r="U106" s="1" t="str">
        <f>Outlier_Check!C116</f>
        <v>Normal</v>
      </c>
    </row>
    <row r="107" spans="1:21" x14ac:dyDescent="0.35">
      <c r="A107" s="3" t="s">
        <v>50</v>
      </c>
      <c r="B107" s="1" t="s">
        <v>19</v>
      </c>
      <c r="C107" s="1" t="s">
        <v>36</v>
      </c>
      <c r="D107" s="1" t="s">
        <v>59</v>
      </c>
      <c r="E107" s="1" t="s">
        <v>30</v>
      </c>
      <c r="F107" s="1" t="s">
        <v>44</v>
      </c>
      <c r="G107" s="2">
        <v>45021</v>
      </c>
      <c r="H107" s="2">
        <v>45060</v>
      </c>
      <c r="I107" s="1">
        <v>36504.65</v>
      </c>
      <c r="J107" s="1">
        <v>0.23669999999999999</v>
      </c>
      <c r="K107" s="1">
        <v>8640.65</v>
      </c>
      <c r="L107" s="1">
        <v>291502</v>
      </c>
      <c r="M107" s="1">
        <v>24818</v>
      </c>
      <c r="N107" s="1">
        <v>170049.62</v>
      </c>
      <c r="O107" s="1">
        <v>2023</v>
      </c>
      <c r="P107" s="1" t="s">
        <v>76</v>
      </c>
      <c r="Q107" s="1" t="s">
        <v>46</v>
      </c>
      <c r="R107" s="4" t="s">
        <v>61</v>
      </c>
      <c r="S107" s="25">
        <f>Table1[[#This Row],[Clicks]]/Table1[[#This Row],[Impressions]]</f>
        <v>8.5138352395523878E-2</v>
      </c>
      <c r="T107" s="22">
        <f>Table1[[#This Row],[Sales]]/Table1[[#This Row],[USD_Spend]]</f>
        <v>19.680188411751431</v>
      </c>
      <c r="U107" s="1" t="str">
        <f>Outlier_Check!C117</f>
        <v>Normal</v>
      </c>
    </row>
    <row r="108" spans="1:21" x14ac:dyDescent="0.35">
      <c r="A108" s="3" t="s">
        <v>66</v>
      </c>
      <c r="B108" s="1" t="s">
        <v>19</v>
      </c>
      <c r="C108" s="1" t="s">
        <v>36</v>
      </c>
      <c r="D108" s="1" t="s">
        <v>59</v>
      </c>
      <c r="E108" s="1" t="s">
        <v>38</v>
      </c>
      <c r="F108" s="1" t="s">
        <v>44</v>
      </c>
      <c r="G108" s="2">
        <v>45022</v>
      </c>
      <c r="H108" s="2">
        <v>45079</v>
      </c>
      <c r="I108" s="1">
        <v>47647.98</v>
      </c>
      <c r="J108" s="1">
        <v>0.28949999999999998</v>
      </c>
      <c r="K108" s="1">
        <v>13794.09</v>
      </c>
      <c r="L108" s="1">
        <v>335498</v>
      </c>
      <c r="M108" s="1">
        <v>14822</v>
      </c>
      <c r="N108" s="1">
        <v>202607.91</v>
      </c>
      <c r="O108" s="1">
        <v>2023</v>
      </c>
      <c r="P108" s="1" t="s">
        <v>76</v>
      </c>
      <c r="Q108" s="1" t="s">
        <v>46</v>
      </c>
      <c r="R108" s="4" t="s">
        <v>26</v>
      </c>
      <c r="S108" s="25">
        <f>Table1[[#This Row],[Clicks]]/Table1[[#This Row],[Impressions]]</f>
        <v>4.417910091863439E-2</v>
      </c>
      <c r="T108" s="22">
        <f>Table1[[#This Row],[Sales]]/Table1[[#This Row],[USD_Spend]]</f>
        <v>14.688022914161065</v>
      </c>
      <c r="U108" s="1" t="str">
        <f>Outlier_Check!C118</f>
        <v>Normal</v>
      </c>
    </row>
    <row r="109" spans="1:21" x14ac:dyDescent="0.35">
      <c r="A109" s="3" t="s">
        <v>75</v>
      </c>
      <c r="B109" s="1" t="s">
        <v>19</v>
      </c>
      <c r="C109" s="1" t="s">
        <v>29</v>
      </c>
      <c r="D109" s="1" t="s">
        <v>21</v>
      </c>
      <c r="E109" s="1" t="s">
        <v>22</v>
      </c>
      <c r="F109" s="1" t="s">
        <v>49</v>
      </c>
      <c r="G109" s="2">
        <v>45022</v>
      </c>
      <c r="H109" s="2">
        <v>45075</v>
      </c>
      <c r="I109" s="1">
        <v>42586.09</v>
      </c>
      <c r="J109" s="1">
        <v>0.2079</v>
      </c>
      <c r="K109" s="1">
        <v>8853.65</v>
      </c>
      <c r="L109" s="1">
        <v>519231</v>
      </c>
      <c r="M109" s="1">
        <v>31646</v>
      </c>
      <c r="N109" s="1">
        <v>57368.09</v>
      </c>
      <c r="O109" s="1">
        <v>2023</v>
      </c>
      <c r="P109" s="1" t="s">
        <v>76</v>
      </c>
      <c r="Q109" s="1" t="s">
        <v>46</v>
      </c>
      <c r="R109" s="4" t="s">
        <v>41</v>
      </c>
      <c r="S109" s="25">
        <f>Table1[[#This Row],[Clicks]]/Table1[[#This Row],[Impressions]]</f>
        <v>6.0947824763929737E-2</v>
      </c>
      <c r="T109" s="22">
        <f>Table1[[#This Row],[Sales]]/Table1[[#This Row],[USD_Spend]]</f>
        <v>6.4795976800528594</v>
      </c>
      <c r="U109" s="1" t="str">
        <f>Outlier_Check!C119</f>
        <v>Normal</v>
      </c>
    </row>
    <row r="110" spans="1:21" x14ac:dyDescent="0.35">
      <c r="A110" s="3" t="s">
        <v>66</v>
      </c>
      <c r="B110" s="1" t="s">
        <v>28</v>
      </c>
      <c r="C110" s="1" t="s">
        <v>69</v>
      </c>
      <c r="D110" s="1" t="s">
        <v>43</v>
      </c>
      <c r="E110" s="1" t="s">
        <v>30</v>
      </c>
      <c r="F110" s="1" t="s">
        <v>31</v>
      </c>
      <c r="G110" s="2">
        <v>45022</v>
      </c>
      <c r="H110" s="2">
        <v>45041</v>
      </c>
      <c r="I110" s="1">
        <v>49620.6</v>
      </c>
      <c r="J110" s="1">
        <v>1.0964</v>
      </c>
      <c r="K110" s="1">
        <v>54404.03</v>
      </c>
      <c r="L110" s="1">
        <v>493863</v>
      </c>
      <c r="M110" s="1">
        <v>7798</v>
      </c>
      <c r="N110" s="1">
        <v>163688.87</v>
      </c>
      <c r="O110" s="1">
        <v>2023</v>
      </c>
      <c r="P110" s="1" t="s">
        <v>76</v>
      </c>
      <c r="Q110" s="1" t="s">
        <v>46</v>
      </c>
      <c r="R110" s="4" t="s">
        <v>54</v>
      </c>
      <c r="S110" s="25">
        <f>Table1[[#This Row],[Clicks]]/Table1[[#This Row],[Impressions]]</f>
        <v>1.578980405497071E-2</v>
      </c>
      <c r="T110" s="22">
        <f>Table1[[#This Row],[Sales]]/Table1[[#This Row],[USD_Spend]]</f>
        <v>3.0087636890134792</v>
      </c>
      <c r="U110" s="1" t="str">
        <f>Outlier_Check!C120</f>
        <v>Outlier</v>
      </c>
    </row>
    <row r="111" spans="1:21" x14ac:dyDescent="0.35">
      <c r="A111" s="3" t="s">
        <v>107</v>
      </c>
      <c r="B111" s="1" t="s">
        <v>19</v>
      </c>
      <c r="C111" s="1" t="s">
        <v>20</v>
      </c>
      <c r="D111" s="1" t="s">
        <v>21</v>
      </c>
      <c r="E111" s="1" t="s">
        <v>22</v>
      </c>
      <c r="F111" s="1" t="s">
        <v>52</v>
      </c>
      <c r="G111" s="2">
        <v>45022</v>
      </c>
      <c r="H111" s="2">
        <v>45032</v>
      </c>
      <c r="I111" s="1">
        <v>2256.37</v>
      </c>
      <c r="J111" s="1">
        <v>2.3699999999999999E-2</v>
      </c>
      <c r="K111" s="1">
        <v>53.48</v>
      </c>
      <c r="L111" s="1">
        <v>817437</v>
      </c>
      <c r="M111" s="1">
        <v>38981</v>
      </c>
      <c r="N111" s="1">
        <v>42496.91</v>
      </c>
      <c r="O111" s="1">
        <v>2023</v>
      </c>
      <c r="P111" s="1" t="s">
        <v>76</v>
      </c>
      <c r="Q111" s="1" t="s">
        <v>46</v>
      </c>
      <c r="R111" s="4" t="s">
        <v>54</v>
      </c>
      <c r="S111" s="25">
        <f>Table1[[#This Row],[Clicks]]/Table1[[#This Row],[Impressions]]</f>
        <v>4.76868553784573E-2</v>
      </c>
      <c r="T111" s="22">
        <f>Table1[[#This Row],[Sales]]/Table1[[#This Row],[USD_Spend]]</f>
        <v>794.63182498130152</v>
      </c>
      <c r="U111" s="1" t="str">
        <f>Outlier_Check!C121</f>
        <v>Normal</v>
      </c>
    </row>
    <row r="112" spans="1:21" x14ac:dyDescent="0.35">
      <c r="A112" s="3" t="s">
        <v>57</v>
      </c>
      <c r="B112" s="1" t="s">
        <v>19</v>
      </c>
      <c r="C112" s="1" t="s">
        <v>58</v>
      </c>
      <c r="D112" s="1" t="s">
        <v>37</v>
      </c>
      <c r="E112" s="1" t="s">
        <v>38</v>
      </c>
      <c r="F112" s="1" t="s">
        <v>23</v>
      </c>
      <c r="G112" s="2">
        <v>45022</v>
      </c>
      <c r="H112" s="2">
        <v>45031</v>
      </c>
      <c r="I112" s="1">
        <v>25218.01</v>
      </c>
      <c r="J112" s="1">
        <v>0.44009999999999999</v>
      </c>
      <c r="K112" s="1">
        <v>11098.45</v>
      </c>
      <c r="L112" s="1">
        <v>889037</v>
      </c>
      <c r="M112" s="1">
        <v>13729</v>
      </c>
      <c r="N112" s="1">
        <v>100746.05</v>
      </c>
      <c r="O112" s="1">
        <v>2023</v>
      </c>
      <c r="P112" s="1" t="s">
        <v>76</v>
      </c>
      <c r="Q112" s="1" t="s">
        <v>46</v>
      </c>
      <c r="R112" s="4" t="s">
        <v>61</v>
      </c>
      <c r="S112" s="25">
        <f>Table1[[#This Row],[Clicks]]/Table1[[#This Row],[Impressions]]</f>
        <v>1.5442551884792197E-2</v>
      </c>
      <c r="T112" s="22">
        <f>Table1[[#This Row],[Sales]]/Table1[[#This Row],[USD_Spend]]</f>
        <v>9.0774882979154743</v>
      </c>
      <c r="U112" s="1" t="str">
        <f>Outlier_Check!C122</f>
        <v>Normal</v>
      </c>
    </row>
    <row r="113" spans="1:21" x14ac:dyDescent="0.35">
      <c r="A113" s="3" t="s">
        <v>67</v>
      </c>
      <c r="B113" s="1" t="s">
        <v>48</v>
      </c>
      <c r="C113" s="1" t="s">
        <v>69</v>
      </c>
      <c r="D113" s="1" t="s">
        <v>63</v>
      </c>
      <c r="E113" s="1" t="s">
        <v>22</v>
      </c>
      <c r="F113" s="1" t="s">
        <v>44</v>
      </c>
      <c r="G113" s="2">
        <v>45023</v>
      </c>
      <c r="H113" s="2">
        <v>45030</v>
      </c>
      <c r="I113" s="1">
        <v>23558.12</v>
      </c>
      <c r="J113" s="1">
        <v>0.1958</v>
      </c>
      <c r="K113" s="1">
        <v>4612.68</v>
      </c>
      <c r="L113" s="1">
        <v>287860</v>
      </c>
      <c r="M113" s="1">
        <v>24157</v>
      </c>
      <c r="N113" s="1">
        <v>222958.21</v>
      </c>
      <c r="O113" s="1">
        <v>2023</v>
      </c>
      <c r="P113" s="1" t="s">
        <v>76</v>
      </c>
      <c r="Q113" s="1" t="s">
        <v>46</v>
      </c>
      <c r="R113" s="4" t="s">
        <v>54</v>
      </c>
      <c r="S113" s="25">
        <f>Table1[[#This Row],[Clicks]]/Table1[[#This Row],[Impressions]]</f>
        <v>8.3919266310011814E-2</v>
      </c>
      <c r="T113" s="22">
        <f>Table1[[#This Row],[Sales]]/Table1[[#This Row],[USD_Spend]]</f>
        <v>48.335937025763762</v>
      </c>
      <c r="U113" s="1" t="str">
        <f>Outlier_Check!C123</f>
        <v>Normal</v>
      </c>
    </row>
    <row r="114" spans="1:21" x14ac:dyDescent="0.35">
      <c r="A114" s="3" t="s">
        <v>71</v>
      </c>
      <c r="B114" s="1" t="s">
        <v>35</v>
      </c>
      <c r="C114" s="1" t="s">
        <v>58</v>
      </c>
      <c r="D114" s="1" t="s">
        <v>43</v>
      </c>
      <c r="E114" s="1" t="s">
        <v>30</v>
      </c>
      <c r="F114" s="1" t="s">
        <v>23</v>
      </c>
      <c r="G114" s="2">
        <v>45024</v>
      </c>
      <c r="H114" s="2">
        <v>45076</v>
      </c>
      <c r="I114" s="1">
        <v>29821.59</v>
      </c>
      <c r="J114" s="1">
        <v>0.47539999999999999</v>
      </c>
      <c r="K114" s="1">
        <v>14177.18</v>
      </c>
      <c r="L114" s="1">
        <v>881861</v>
      </c>
      <c r="M114" s="1">
        <v>39794</v>
      </c>
      <c r="N114" s="1">
        <v>215529.25</v>
      </c>
      <c r="O114" s="1">
        <v>2023</v>
      </c>
      <c r="P114" s="1" t="s">
        <v>76</v>
      </c>
      <c r="Q114" s="1" t="s">
        <v>46</v>
      </c>
      <c r="R114" s="4" t="s">
        <v>41</v>
      </c>
      <c r="S114" s="25">
        <f>Table1[[#This Row],[Clicks]]/Table1[[#This Row],[Impressions]]</f>
        <v>4.5125025372479338E-2</v>
      </c>
      <c r="T114" s="22">
        <f>Table1[[#This Row],[Sales]]/Table1[[#This Row],[USD_Spend]]</f>
        <v>15.202547333108559</v>
      </c>
      <c r="U114" s="1" t="str">
        <f>Outlier_Check!C124</f>
        <v>Normal</v>
      </c>
    </row>
    <row r="115" spans="1:21" x14ac:dyDescent="0.35">
      <c r="A115" s="3" t="s">
        <v>72</v>
      </c>
      <c r="B115" s="1" t="s">
        <v>35</v>
      </c>
      <c r="C115" s="1" t="s">
        <v>20</v>
      </c>
      <c r="D115" s="1" t="s">
        <v>21</v>
      </c>
      <c r="E115" s="1" t="s">
        <v>22</v>
      </c>
      <c r="F115" s="1" t="s">
        <v>49</v>
      </c>
      <c r="G115" s="2">
        <v>45025</v>
      </c>
      <c r="H115" s="2">
        <v>45052</v>
      </c>
      <c r="I115" s="1">
        <v>48733.78</v>
      </c>
      <c r="J115" s="1">
        <v>0.2238</v>
      </c>
      <c r="K115" s="1">
        <v>10906.62</v>
      </c>
      <c r="L115" s="1">
        <v>65021</v>
      </c>
      <c r="M115" s="1">
        <v>7790</v>
      </c>
      <c r="N115" s="1">
        <v>245167.81</v>
      </c>
      <c r="O115" s="1">
        <v>2023</v>
      </c>
      <c r="P115" s="1" t="s">
        <v>76</v>
      </c>
      <c r="Q115" s="1" t="s">
        <v>46</v>
      </c>
      <c r="R115" s="4" t="s">
        <v>61</v>
      </c>
      <c r="S115" s="25">
        <f>Table1[[#This Row],[Clicks]]/Table1[[#This Row],[Impressions]]</f>
        <v>0.11980744682487196</v>
      </c>
      <c r="T115" s="22">
        <f>Table1[[#This Row],[Sales]]/Table1[[#This Row],[USD_Spend]]</f>
        <v>22.478807366535186</v>
      </c>
      <c r="U115" s="1" t="str">
        <f>Outlier_Check!C125</f>
        <v>Normal</v>
      </c>
    </row>
    <row r="116" spans="1:21" x14ac:dyDescent="0.35">
      <c r="A116" s="3" t="s">
        <v>62</v>
      </c>
      <c r="B116" s="1" t="s">
        <v>48</v>
      </c>
      <c r="C116" s="1" t="s">
        <v>20</v>
      </c>
      <c r="D116" s="1" t="s">
        <v>63</v>
      </c>
      <c r="E116" s="1" t="s">
        <v>38</v>
      </c>
      <c r="F116" s="1" t="s">
        <v>49</v>
      </c>
      <c r="G116" s="2">
        <v>45026</v>
      </c>
      <c r="H116" s="2">
        <v>45060</v>
      </c>
      <c r="I116" s="1">
        <v>16209.19</v>
      </c>
      <c r="J116" s="1">
        <v>0.77690000000000003</v>
      </c>
      <c r="K116" s="1">
        <v>12592.92</v>
      </c>
      <c r="L116" s="1">
        <v>813726</v>
      </c>
      <c r="M116" s="1">
        <v>30600</v>
      </c>
      <c r="N116" s="1">
        <v>120283.74</v>
      </c>
      <c r="O116" s="1">
        <v>2023</v>
      </c>
      <c r="P116" s="1" t="s">
        <v>76</v>
      </c>
      <c r="Q116" s="1" t="s">
        <v>46</v>
      </c>
      <c r="R116" s="4" t="s">
        <v>61</v>
      </c>
      <c r="S116" s="25">
        <f>Table1[[#This Row],[Clicks]]/Table1[[#This Row],[Impressions]]</f>
        <v>3.7604795717477379E-2</v>
      </c>
      <c r="T116" s="22">
        <f>Table1[[#This Row],[Sales]]/Table1[[#This Row],[USD_Spend]]</f>
        <v>9.5516957147349473</v>
      </c>
      <c r="U116" s="1" t="str">
        <f>Outlier_Check!C126</f>
        <v>Normal</v>
      </c>
    </row>
    <row r="117" spans="1:21" x14ac:dyDescent="0.35">
      <c r="A117" s="3" t="s">
        <v>68</v>
      </c>
      <c r="B117" s="1" t="s">
        <v>48</v>
      </c>
      <c r="C117" s="1" t="s">
        <v>29</v>
      </c>
      <c r="D117" s="1" t="s">
        <v>63</v>
      </c>
      <c r="E117" s="1" t="s">
        <v>22</v>
      </c>
      <c r="F117" s="1" t="s">
        <v>52</v>
      </c>
      <c r="G117" s="2">
        <v>45026</v>
      </c>
      <c r="H117" s="2">
        <v>45035</v>
      </c>
      <c r="I117" s="1">
        <v>38913.440000000002</v>
      </c>
      <c r="J117" s="1">
        <v>0.50719999999999998</v>
      </c>
      <c r="K117" s="1">
        <v>19736.900000000001</v>
      </c>
      <c r="L117" s="1">
        <v>447090</v>
      </c>
      <c r="M117" s="1">
        <v>42994</v>
      </c>
      <c r="N117" s="1">
        <v>75643.360000000001</v>
      </c>
      <c r="O117" s="1">
        <v>2023</v>
      </c>
      <c r="P117" s="1" t="s">
        <v>76</v>
      </c>
      <c r="Q117" s="1" t="s">
        <v>46</v>
      </c>
      <c r="R117" s="4" t="s">
        <v>61</v>
      </c>
      <c r="S117" s="25">
        <f>Table1[[#This Row],[Clicks]]/Table1[[#This Row],[Impressions]]</f>
        <v>9.6164083294191322E-2</v>
      </c>
      <c r="T117" s="22">
        <f>Table1[[#This Row],[Sales]]/Table1[[#This Row],[USD_Spend]]</f>
        <v>3.832585664415384</v>
      </c>
      <c r="U117" s="1" t="str">
        <f>Outlier_Check!C127</f>
        <v>Normal</v>
      </c>
    </row>
    <row r="118" spans="1:21" x14ac:dyDescent="0.35">
      <c r="A118" s="3" t="s">
        <v>111</v>
      </c>
      <c r="B118" s="1" t="s">
        <v>35</v>
      </c>
      <c r="C118" s="1" t="s">
        <v>58</v>
      </c>
      <c r="D118" s="1" t="s">
        <v>37</v>
      </c>
      <c r="E118" s="1" t="s">
        <v>30</v>
      </c>
      <c r="F118" s="1" t="s">
        <v>52</v>
      </c>
      <c r="G118" s="2">
        <v>45027</v>
      </c>
      <c r="H118" s="2">
        <v>45083</v>
      </c>
      <c r="I118" s="1">
        <v>49084.6</v>
      </c>
      <c r="J118" s="1">
        <v>0.56869999999999998</v>
      </c>
      <c r="K118" s="1">
        <v>27914.41</v>
      </c>
      <c r="L118" s="1">
        <v>890521</v>
      </c>
      <c r="M118" s="1">
        <v>21086</v>
      </c>
      <c r="N118" s="1">
        <v>229010.97</v>
      </c>
      <c r="O118" s="1">
        <v>2023</v>
      </c>
      <c r="P118" s="1" t="s">
        <v>76</v>
      </c>
      <c r="Q118" s="1" t="s">
        <v>46</v>
      </c>
      <c r="R118" s="4" t="s">
        <v>61</v>
      </c>
      <c r="S118" s="25">
        <f>Table1[[#This Row],[Clicks]]/Table1[[#This Row],[Impressions]]</f>
        <v>2.3678273729648151E-2</v>
      </c>
      <c r="T118" s="22">
        <f>Table1[[#This Row],[Sales]]/Table1[[#This Row],[USD_Spend]]</f>
        <v>8.2040412102566389</v>
      </c>
      <c r="U118" s="1" t="str">
        <f>Outlier_Check!C128</f>
        <v>Normal</v>
      </c>
    </row>
    <row r="119" spans="1:21" x14ac:dyDescent="0.35">
      <c r="A119" s="3" t="s">
        <v>75</v>
      </c>
      <c r="B119" s="1" t="s">
        <v>35</v>
      </c>
      <c r="C119" s="1" t="s">
        <v>36</v>
      </c>
      <c r="D119" s="1" t="s">
        <v>51</v>
      </c>
      <c r="E119" s="1" t="s">
        <v>38</v>
      </c>
      <c r="F119" s="1" t="s">
        <v>49</v>
      </c>
      <c r="G119" s="2">
        <v>45027</v>
      </c>
      <c r="H119" s="2">
        <v>45059</v>
      </c>
      <c r="I119" s="1">
        <v>12375.06</v>
      </c>
      <c r="J119" s="1">
        <v>0.10050000000000001</v>
      </c>
      <c r="K119" s="1">
        <v>1243.69</v>
      </c>
      <c r="L119" s="1">
        <v>644565</v>
      </c>
      <c r="M119" s="1">
        <v>40330</v>
      </c>
      <c r="N119" s="1">
        <v>238940.31</v>
      </c>
      <c r="O119" s="1">
        <v>2023</v>
      </c>
      <c r="P119" s="1" t="s">
        <v>76</v>
      </c>
      <c r="Q119" s="1" t="s">
        <v>46</v>
      </c>
      <c r="R119" s="4" t="s">
        <v>54</v>
      </c>
      <c r="S119" s="25">
        <f>Table1[[#This Row],[Clicks]]/Table1[[#This Row],[Impressions]]</f>
        <v>6.2569329702977974E-2</v>
      </c>
      <c r="T119" s="22">
        <f>Table1[[#This Row],[Sales]]/Table1[[#This Row],[USD_Spend]]</f>
        <v>192.12208026115832</v>
      </c>
      <c r="U119" s="1" t="str">
        <f>Outlier_Check!C129</f>
        <v>Normal</v>
      </c>
    </row>
    <row r="120" spans="1:21" x14ac:dyDescent="0.35">
      <c r="A120" s="3" t="s">
        <v>90</v>
      </c>
      <c r="B120" s="1" t="s">
        <v>28</v>
      </c>
      <c r="C120" s="1" t="s">
        <v>36</v>
      </c>
      <c r="D120" s="1" t="s">
        <v>21</v>
      </c>
      <c r="E120" s="1" t="s">
        <v>22</v>
      </c>
      <c r="F120" s="1" t="s">
        <v>52</v>
      </c>
      <c r="G120" s="2">
        <v>45027</v>
      </c>
      <c r="H120" s="2">
        <v>45047</v>
      </c>
      <c r="I120" s="1">
        <v>37149.65</v>
      </c>
      <c r="J120" s="1">
        <v>1.0451999999999999</v>
      </c>
      <c r="K120" s="1">
        <v>38828.81</v>
      </c>
      <c r="L120" s="1">
        <v>403774</v>
      </c>
      <c r="M120" s="1">
        <v>14561</v>
      </c>
      <c r="N120" s="1">
        <v>23014.78</v>
      </c>
      <c r="O120" s="1">
        <v>2023</v>
      </c>
      <c r="P120" s="1" t="s">
        <v>76</v>
      </c>
      <c r="Q120" s="1" t="s">
        <v>46</v>
      </c>
      <c r="R120" s="4" t="s">
        <v>54</v>
      </c>
      <c r="S120" s="25">
        <f>Table1[[#This Row],[Clicks]]/Table1[[#This Row],[Impressions]]</f>
        <v>3.6062252646282329E-2</v>
      </c>
      <c r="T120" s="22">
        <f>Table1[[#This Row],[Sales]]/Table1[[#This Row],[USD_Spend]]</f>
        <v>0.59272431990576069</v>
      </c>
      <c r="U120" s="1" t="str">
        <f>Outlier_Check!C130</f>
        <v>Normal</v>
      </c>
    </row>
    <row r="121" spans="1:21" x14ac:dyDescent="0.35">
      <c r="A121" s="3" t="s">
        <v>81</v>
      </c>
      <c r="B121" s="1" t="s">
        <v>48</v>
      </c>
      <c r="C121" s="1" t="s">
        <v>69</v>
      </c>
      <c r="D121" s="1" t="s">
        <v>63</v>
      </c>
      <c r="E121" s="1" t="s">
        <v>30</v>
      </c>
      <c r="F121" s="1" t="s">
        <v>23</v>
      </c>
      <c r="G121" s="2">
        <v>45028</v>
      </c>
      <c r="H121" s="2">
        <v>45055</v>
      </c>
      <c r="I121" s="1">
        <v>14954.76</v>
      </c>
      <c r="J121" s="1">
        <v>0.15110000000000001</v>
      </c>
      <c r="K121" s="1">
        <v>2259.66</v>
      </c>
      <c r="L121" s="1">
        <v>297150</v>
      </c>
      <c r="M121" s="1">
        <v>31992</v>
      </c>
      <c r="N121" s="1">
        <v>112534.6</v>
      </c>
      <c r="O121" s="1">
        <v>2023</v>
      </c>
      <c r="P121" s="1" t="s">
        <v>76</v>
      </c>
      <c r="Q121" s="1" t="s">
        <v>46</v>
      </c>
      <c r="R121" s="4" t="s">
        <v>61</v>
      </c>
      <c r="S121" s="25">
        <f>Table1[[#This Row],[Clicks]]/Table1[[#This Row],[Impressions]]</f>
        <v>0.10766279656739021</v>
      </c>
      <c r="T121" s="22">
        <f>Table1[[#This Row],[Sales]]/Table1[[#This Row],[USD_Spend]]</f>
        <v>49.801563067010086</v>
      </c>
      <c r="U121" s="1" t="str">
        <f>Outlier_Check!C131</f>
        <v>Normal</v>
      </c>
    </row>
    <row r="122" spans="1:21" x14ac:dyDescent="0.35">
      <c r="A122" s="3" t="s">
        <v>89</v>
      </c>
      <c r="B122" s="1" t="s">
        <v>35</v>
      </c>
      <c r="C122" s="1" t="s">
        <v>36</v>
      </c>
      <c r="D122" s="1" t="s">
        <v>63</v>
      </c>
      <c r="E122" s="1" t="s">
        <v>22</v>
      </c>
      <c r="F122" s="1" t="s">
        <v>44</v>
      </c>
      <c r="G122" s="2">
        <v>45028</v>
      </c>
      <c r="H122" s="2">
        <v>45035</v>
      </c>
      <c r="I122" s="1">
        <v>28979.599999999999</v>
      </c>
      <c r="J122" s="1">
        <v>1.0052000000000001</v>
      </c>
      <c r="K122" s="1">
        <v>29130.29</v>
      </c>
      <c r="L122" s="1">
        <v>699880</v>
      </c>
      <c r="M122" s="1">
        <v>32206</v>
      </c>
      <c r="N122" s="1">
        <v>133826.23000000001</v>
      </c>
      <c r="O122" s="1">
        <v>2023</v>
      </c>
      <c r="P122" s="1" t="s">
        <v>76</v>
      </c>
      <c r="Q122" s="1" t="s">
        <v>46</v>
      </c>
      <c r="R122" s="4" t="s">
        <v>26</v>
      </c>
      <c r="S122" s="25">
        <f>Table1[[#This Row],[Clicks]]/Table1[[#This Row],[Impressions]]</f>
        <v>4.6016459964565354E-2</v>
      </c>
      <c r="T122" s="22">
        <f>Table1[[#This Row],[Sales]]/Table1[[#This Row],[USD_Spend]]</f>
        <v>4.5940575943459541</v>
      </c>
      <c r="U122" s="1" t="str">
        <f>Outlier_Check!C132</f>
        <v>Normal</v>
      </c>
    </row>
    <row r="123" spans="1:21" x14ac:dyDescent="0.35">
      <c r="A123" s="3" t="s">
        <v>27</v>
      </c>
      <c r="B123" s="1" t="s">
        <v>35</v>
      </c>
      <c r="C123" s="1" t="s">
        <v>58</v>
      </c>
      <c r="D123" s="1" t="s">
        <v>63</v>
      </c>
      <c r="E123" s="1" t="s">
        <v>38</v>
      </c>
      <c r="F123" s="1" t="s">
        <v>49</v>
      </c>
      <c r="G123" s="2">
        <v>45029</v>
      </c>
      <c r="H123" s="2">
        <v>45053</v>
      </c>
      <c r="I123" s="1">
        <v>40390.74</v>
      </c>
      <c r="J123" s="1">
        <v>0.40949999999999998</v>
      </c>
      <c r="K123" s="1">
        <v>16540.009999999998</v>
      </c>
      <c r="L123" s="1">
        <v>524496</v>
      </c>
      <c r="M123" s="1">
        <v>48256</v>
      </c>
      <c r="N123" s="1">
        <v>90941.36</v>
      </c>
      <c r="O123" s="1">
        <v>2023</v>
      </c>
      <c r="P123" s="1" t="s">
        <v>76</v>
      </c>
      <c r="Q123" s="1" t="s">
        <v>46</v>
      </c>
      <c r="R123" s="4" t="s">
        <v>26</v>
      </c>
      <c r="S123" s="25">
        <f>Table1[[#This Row],[Clicks]]/Table1[[#This Row],[Impressions]]</f>
        <v>9.2004514810408472E-2</v>
      </c>
      <c r="T123" s="22">
        <f>Table1[[#This Row],[Sales]]/Table1[[#This Row],[USD_Spend]]</f>
        <v>5.4982651159219378</v>
      </c>
      <c r="U123" s="1" t="str">
        <f>Outlier_Check!C133</f>
        <v>Normal</v>
      </c>
    </row>
    <row r="124" spans="1:21" x14ac:dyDescent="0.35">
      <c r="A124" s="3" t="s">
        <v>18</v>
      </c>
      <c r="B124" s="1" t="s">
        <v>19</v>
      </c>
      <c r="C124" s="1" t="s">
        <v>29</v>
      </c>
      <c r="D124" s="1" t="s">
        <v>21</v>
      </c>
      <c r="E124" s="1" t="s">
        <v>30</v>
      </c>
      <c r="F124" s="1" t="s">
        <v>23</v>
      </c>
      <c r="G124" s="2">
        <v>45029</v>
      </c>
      <c r="H124" s="2">
        <v>45047</v>
      </c>
      <c r="I124" s="1">
        <v>25908.83</v>
      </c>
      <c r="J124" s="1">
        <v>0.94540000000000002</v>
      </c>
      <c r="K124" s="1">
        <v>24494.21</v>
      </c>
      <c r="L124" s="1">
        <v>849756</v>
      </c>
      <c r="M124" s="1">
        <v>36182</v>
      </c>
      <c r="N124" s="1">
        <v>155436.21</v>
      </c>
      <c r="O124" s="1">
        <v>2023</v>
      </c>
      <c r="P124" s="1" t="s">
        <v>76</v>
      </c>
      <c r="Q124" s="1" t="s">
        <v>46</v>
      </c>
      <c r="R124" s="4" t="s">
        <v>26</v>
      </c>
      <c r="S124" s="25">
        <f>Table1[[#This Row],[Clicks]]/Table1[[#This Row],[Impressions]]</f>
        <v>4.2579281582007071E-2</v>
      </c>
      <c r="T124" s="22">
        <f>Table1[[#This Row],[Sales]]/Table1[[#This Row],[USD_Spend]]</f>
        <v>6.3458347911608497</v>
      </c>
      <c r="U124" s="1" t="str">
        <f>Outlier_Check!C134</f>
        <v>Normal</v>
      </c>
    </row>
    <row r="125" spans="1:21" x14ac:dyDescent="0.35">
      <c r="A125" s="3" t="s">
        <v>70</v>
      </c>
      <c r="B125" s="1" t="s">
        <v>28</v>
      </c>
      <c r="C125" s="1" t="s">
        <v>58</v>
      </c>
      <c r="D125" s="1" t="s">
        <v>59</v>
      </c>
      <c r="E125" s="1" t="s">
        <v>30</v>
      </c>
      <c r="F125" s="1" t="s">
        <v>52</v>
      </c>
      <c r="G125" s="2">
        <v>45030</v>
      </c>
      <c r="H125" s="2">
        <v>45073</v>
      </c>
      <c r="I125" s="1">
        <v>2645.24</v>
      </c>
      <c r="J125" s="1">
        <v>0.72140000000000004</v>
      </c>
      <c r="K125" s="1">
        <v>1908.28</v>
      </c>
      <c r="L125" s="1">
        <v>747449</v>
      </c>
      <c r="M125" s="1">
        <v>3290</v>
      </c>
      <c r="N125" s="1">
        <v>64959.87</v>
      </c>
      <c r="O125" s="1">
        <v>2023</v>
      </c>
      <c r="P125" s="1" t="s">
        <v>76</v>
      </c>
      <c r="Q125" s="1" t="s">
        <v>46</v>
      </c>
      <c r="R125" s="4" t="s">
        <v>26</v>
      </c>
      <c r="S125" s="25">
        <f>Table1[[#This Row],[Clicks]]/Table1[[#This Row],[Impressions]]</f>
        <v>4.4016381050747278E-3</v>
      </c>
      <c r="T125" s="22">
        <f>Table1[[#This Row],[Sales]]/Table1[[#This Row],[USD_Spend]]</f>
        <v>34.041057916029096</v>
      </c>
      <c r="U125" s="1" t="str">
        <f>Outlier_Check!C135</f>
        <v>Normal</v>
      </c>
    </row>
    <row r="126" spans="1:21" x14ac:dyDescent="0.35">
      <c r="A126" s="3" t="s">
        <v>100</v>
      </c>
      <c r="B126" s="1" t="s">
        <v>35</v>
      </c>
      <c r="C126" s="1" t="s">
        <v>69</v>
      </c>
      <c r="D126" s="1" t="s">
        <v>21</v>
      </c>
      <c r="E126" s="1" t="s">
        <v>30</v>
      </c>
      <c r="F126" s="1" t="s">
        <v>31</v>
      </c>
      <c r="G126" s="2">
        <v>45030</v>
      </c>
      <c r="H126" s="2">
        <v>45042</v>
      </c>
      <c r="I126" s="1">
        <v>25436.9</v>
      </c>
      <c r="J126" s="1">
        <v>7.1300000000000002E-2</v>
      </c>
      <c r="K126" s="1">
        <v>1813.65</v>
      </c>
      <c r="L126" s="1">
        <v>576795</v>
      </c>
      <c r="M126" s="1">
        <v>21787</v>
      </c>
      <c r="N126" s="1">
        <v>10522.91</v>
      </c>
      <c r="O126" s="1">
        <v>2023</v>
      </c>
      <c r="P126" s="1" t="s">
        <v>76</v>
      </c>
      <c r="Q126" s="1" t="s">
        <v>46</v>
      </c>
      <c r="R126" s="4" t="s">
        <v>26</v>
      </c>
      <c r="S126" s="25">
        <f>Table1[[#This Row],[Clicks]]/Table1[[#This Row],[Impressions]]</f>
        <v>3.7772518832514153E-2</v>
      </c>
      <c r="T126" s="22">
        <f>Table1[[#This Row],[Sales]]/Table1[[#This Row],[USD_Spend]]</f>
        <v>5.8020621398836596</v>
      </c>
      <c r="U126" s="1" t="str">
        <f>Outlier_Check!C136</f>
        <v>Normal</v>
      </c>
    </row>
    <row r="127" spans="1:21" x14ac:dyDescent="0.35">
      <c r="A127" s="3" t="s">
        <v>68</v>
      </c>
      <c r="B127" s="1" t="s">
        <v>28</v>
      </c>
      <c r="C127" s="1" t="s">
        <v>29</v>
      </c>
      <c r="D127" s="1" t="s">
        <v>63</v>
      </c>
      <c r="E127" s="1" t="s">
        <v>30</v>
      </c>
      <c r="F127" s="1" t="s">
        <v>31</v>
      </c>
      <c r="G127" s="2">
        <v>45032</v>
      </c>
      <c r="H127" s="2">
        <v>45069</v>
      </c>
      <c r="I127" s="1">
        <v>44436.39</v>
      </c>
      <c r="J127" s="1">
        <v>0.50419999999999998</v>
      </c>
      <c r="K127" s="1">
        <v>22404.83</v>
      </c>
      <c r="L127" s="1">
        <v>11269</v>
      </c>
      <c r="M127" s="1">
        <v>14800</v>
      </c>
      <c r="N127" s="1">
        <v>10880.21</v>
      </c>
      <c r="O127" s="1">
        <v>2023</v>
      </c>
      <c r="P127" s="1" t="s">
        <v>76</v>
      </c>
      <c r="Q127" s="1" t="s">
        <v>46</v>
      </c>
      <c r="R127" s="4" t="s">
        <v>61</v>
      </c>
      <c r="S127" s="25">
        <f>Table1[[#This Row],[Clicks]]/Table1[[#This Row],[Impressions]]</f>
        <v>1.3133374744875321</v>
      </c>
      <c r="T127" s="22">
        <f>Table1[[#This Row],[Sales]]/Table1[[#This Row],[USD_Spend]]</f>
        <v>0.48561894912837983</v>
      </c>
      <c r="U127" s="1" t="str">
        <f>Outlier_Check!C137</f>
        <v>Normal</v>
      </c>
    </row>
    <row r="128" spans="1:21" x14ac:dyDescent="0.35">
      <c r="A128" s="3" t="s">
        <v>107</v>
      </c>
      <c r="B128" s="1" t="s">
        <v>28</v>
      </c>
      <c r="C128" s="1" t="s">
        <v>69</v>
      </c>
      <c r="D128" s="1" t="s">
        <v>43</v>
      </c>
      <c r="E128" s="1" t="s">
        <v>22</v>
      </c>
      <c r="F128" s="1" t="s">
        <v>52</v>
      </c>
      <c r="G128" s="2">
        <v>45033</v>
      </c>
      <c r="H128" s="2">
        <v>45064</v>
      </c>
      <c r="I128" s="1">
        <v>45650.11</v>
      </c>
      <c r="J128" s="1">
        <v>0.58440000000000003</v>
      </c>
      <c r="K128" s="1">
        <v>26677.919999999998</v>
      </c>
      <c r="L128" s="1">
        <v>606580</v>
      </c>
      <c r="M128" s="1">
        <v>44559</v>
      </c>
      <c r="N128" s="1">
        <v>112349.89</v>
      </c>
      <c r="O128" s="1">
        <v>2023</v>
      </c>
      <c r="P128" s="1" t="s">
        <v>76</v>
      </c>
      <c r="Q128" s="1" t="s">
        <v>46</v>
      </c>
      <c r="R128" s="4" t="s">
        <v>54</v>
      </c>
      <c r="S128" s="25">
        <f>Table1[[#This Row],[Clicks]]/Table1[[#This Row],[Impressions]]</f>
        <v>7.3459395298229424E-2</v>
      </c>
      <c r="T128" s="22">
        <f>Table1[[#This Row],[Sales]]/Table1[[#This Row],[USD_Spend]]</f>
        <v>4.2113436879636792</v>
      </c>
      <c r="U128" s="1" t="str">
        <f>Outlier_Check!C138</f>
        <v>Normal</v>
      </c>
    </row>
    <row r="129" spans="1:21" x14ac:dyDescent="0.35">
      <c r="A129" s="3" t="s">
        <v>81</v>
      </c>
      <c r="B129" s="1" t="s">
        <v>28</v>
      </c>
      <c r="C129" s="1" t="s">
        <v>69</v>
      </c>
      <c r="D129" s="1" t="s">
        <v>21</v>
      </c>
      <c r="E129" s="1" t="s">
        <v>30</v>
      </c>
      <c r="F129" s="1" t="s">
        <v>49</v>
      </c>
      <c r="G129" s="2">
        <v>45035</v>
      </c>
      <c r="H129" s="2">
        <v>45076</v>
      </c>
      <c r="I129" s="1">
        <v>39197.69</v>
      </c>
      <c r="J129" s="1">
        <v>0.94499999999999995</v>
      </c>
      <c r="K129" s="1">
        <v>37041.82</v>
      </c>
      <c r="L129" s="1">
        <v>919613</v>
      </c>
      <c r="M129" s="1">
        <v>35203</v>
      </c>
      <c r="N129" s="1">
        <v>220633.27</v>
      </c>
      <c r="O129" s="1">
        <v>2023</v>
      </c>
      <c r="P129" s="1" t="s">
        <v>76</v>
      </c>
      <c r="Q129" s="1" t="s">
        <v>46</v>
      </c>
      <c r="R129" s="4" t="s">
        <v>54</v>
      </c>
      <c r="S129" s="25">
        <f>Table1[[#This Row],[Clicks]]/Table1[[#This Row],[Impressions]]</f>
        <v>3.8280233098053201E-2</v>
      </c>
      <c r="T129" s="22">
        <f>Table1[[#This Row],[Sales]]/Table1[[#This Row],[USD_Spend]]</f>
        <v>5.9563290896613612</v>
      </c>
      <c r="U129" s="1" t="str">
        <f>Outlier_Check!C139</f>
        <v>Normal</v>
      </c>
    </row>
    <row r="130" spans="1:21" x14ac:dyDescent="0.35">
      <c r="A130" s="3" t="s">
        <v>97</v>
      </c>
      <c r="B130" s="1" t="s">
        <v>48</v>
      </c>
      <c r="C130" s="1" t="s">
        <v>58</v>
      </c>
      <c r="D130" s="1" t="s">
        <v>51</v>
      </c>
      <c r="E130" s="1" t="s">
        <v>38</v>
      </c>
      <c r="F130" s="1" t="s">
        <v>52</v>
      </c>
      <c r="G130" s="2">
        <v>45036</v>
      </c>
      <c r="H130" s="2">
        <v>45066</v>
      </c>
      <c r="I130" s="1">
        <v>1450.24</v>
      </c>
      <c r="J130" s="1">
        <v>1.0243</v>
      </c>
      <c r="K130" s="1">
        <v>1485.48</v>
      </c>
      <c r="L130" s="1">
        <v>341272</v>
      </c>
      <c r="M130" s="1">
        <v>9583</v>
      </c>
      <c r="N130" s="1">
        <v>204956.25</v>
      </c>
      <c r="O130" s="1">
        <v>2023</v>
      </c>
      <c r="P130" s="1" t="s">
        <v>76</v>
      </c>
      <c r="Q130" s="1" t="s">
        <v>46</v>
      </c>
      <c r="R130" s="4" t="s">
        <v>41</v>
      </c>
      <c r="S130" s="25">
        <f>Table1[[#This Row],[Clicks]]/Table1[[#This Row],[Impressions]]</f>
        <v>2.8080240980801238E-2</v>
      </c>
      <c r="T130" s="22">
        <f>Table1[[#This Row],[Sales]]/Table1[[#This Row],[USD_Spend]]</f>
        <v>137.97307940867597</v>
      </c>
      <c r="U130" s="1" t="str">
        <f>Outlier_Check!C140</f>
        <v>Normal</v>
      </c>
    </row>
    <row r="131" spans="1:21" x14ac:dyDescent="0.35">
      <c r="A131" s="3" t="s">
        <v>106</v>
      </c>
      <c r="B131" s="1" t="s">
        <v>35</v>
      </c>
      <c r="C131" s="1" t="s">
        <v>69</v>
      </c>
      <c r="D131" s="1" t="s">
        <v>21</v>
      </c>
      <c r="E131" s="1" t="s">
        <v>38</v>
      </c>
      <c r="F131" s="1" t="s">
        <v>44</v>
      </c>
      <c r="G131" s="2">
        <v>45037</v>
      </c>
      <c r="H131" s="2">
        <v>45048</v>
      </c>
      <c r="I131" s="1">
        <v>1602.14</v>
      </c>
      <c r="J131" s="1">
        <v>0.85880000000000001</v>
      </c>
      <c r="K131" s="1">
        <v>1375.92</v>
      </c>
      <c r="L131" s="1">
        <v>631686</v>
      </c>
      <c r="M131" s="1">
        <v>12788</v>
      </c>
      <c r="N131" s="1">
        <v>226570.65</v>
      </c>
      <c r="O131" s="1">
        <v>2023</v>
      </c>
      <c r="P131" s="1" t="s">
        <v>76</v>
      </c>
      <c r="Q131" s="1" t="s">
        <v>46</v>
      </c>
      <c r="R131" s="4" t="s">
        <v>54</v>
      </c>
      <c r="S131" s="25">
        <f>Table1[[#This Row],[Clicks]]/Table1[[#This Row],[Impressions]]</f>
        <v>2.0244235268788605E-2</v>
      </c>
      <c r="T131" s="22">
        <f>Table1[[#This Row],[Sales]]/Table1[[#This Row],[USD_Spend]]</f>
        <v>164.66847636490493</v>
      </c>
      <c r="U131" s="1" t="str">
        <f>Outlier_Check!C141</f>
        <v>Normal</v>
      </c>
    </row>
    <row r="132" spans="1:21" x14ac:dyDescent="0.35">
      <c r="A132" s="3" t="s">
        <v>116</v>
      </c>
      <c r="B132" s="1" t="s">
        <v>28</v>
      </c>
      <c r="C132" s="1" t="s">
        <v>69</v>
      </c>
      <c r="D132" s="1" t="s">
        <v>37</v>
      </c>
      <c r="E132" s="1" t="s">
        <v>22</v>
      </c>
      <c r="F132" s="1" t="s">
        <v>49</v>
      </c>
      <c r="G132" s="2">
        <v>45038</v>
      </c>
      <c r="H132" s="2">
        <v>45083</v>
      </c>
      <c r="I132" s="1">
        <v>29057.97</v>
      </c>
      <c r="J132" s="1">
        <v>0.95909999999999995</v>
      </c>
      <c r="K132" s="1">
        <v>27869.5</v>
      </c>
      <c r="L132" s="1">
        <v>863779</v>
      </c>
      <c r="M132" s="1">
        <v>9452</v>
      </c>
      <c r="N132" s="1">
        <v>70910.23</v>
      </c>
      <c r="O132" s="1">
        <v>2023</v>
      </c>
      <c r="P132" s="1" t="s">
        <v>76</v>
      </c>
      <c r="Q132" s="1" t="s">
        <v>46</v>
      </c>
      <c r="R132" s="4" t="s">
        <v>26</v>
      </c>
      <c r="S132" s="25">
        <f>Table1[[#This Row],[Clicks]]/Table1[[#This Row],[Impressions]]</f>
        <v>1.0942613793574514E-2</v>
      </c>
      <c r="T132" s="22">
        <f>Table1[[#This Row],[Sales]]/Table1[[#This Row],[USD_Spend]]</f>
        <v>2.5443667808895025</v>
      </c>
      <c r="U132" s="1" t="str">
        <f>Outlier_Check!C142</f>
        <v>Normal</v>
      </c>
    </row>
    <row r="133" spans="1:21" x14ac:dyDescent="0.35">
      <c r="A133" s="3" t="s">
        <v>77</v>
      </c>
      <c r="B133" s="1" t="s">
        <v>19</v>
      </c>
      <c r="C133" s="1" t="s">
        <v>58</v>
      </c>
      <c r="D133" s="1" t="s">
        <v>43</v>
      </c>
      <c r="E133" s="1" t="s">
        <v>22</v>
      </c>
      <c r="F133" s="1" t="s">
        <v>31</v>
      </c>
      <c r="G133" s="2">
        <v>45038</v>
      </c>
      <c r="H133" s="2">
        <v>45081</v>
      </c>
      <c r="I133" s="1">
        <v>22293.62</v>
      </c>
      <c r="J133" s="1">
        <v>0.877</v>
      </c>
      <c r="K133" s="1">
        <v>19551.5</v>
      </c>
      <c r="L133" s="1">
        <v>338914</v>
      </c>
      <c r="M133" s="1">
        <v>28699</v>
      </c>
      <c r="N133" s="1">
        <v>153521.17000000001</v>
      </c>
      <c r="O133" s="1">
        <v>2023</v>
      </c>
      <c r="P133" s="1" t="s">
        <v>76</v>
      </c>
      <c r="Q133" s="1" t="s">
        <v>46</v>
      </c>
      <c r="R133" s="4" t="s">
        <v>26</v>
      </c>
      <c r="S133" s="25">
        <f>Table1[[#This Row],[Clicks]]/Table1[[#This Row],[Impressions]]</f>
        <v>8.4679299173241587E-2</v>
      </c>
      <c r="T133" s="22">
        <f>Table1[[#This Row],[Sales]]/Table1[[#This Row],[USD_Spend]]</f>
        <v>7.8521428023425317</v>
      </c>
      <c r="U133" s="1" t="str">
        <f>Outlier_Check!C143</f>
        <v>Normal</v>
      </c>
    </row>
    <row r="134" spans="1:21" x14ac:dyDescent="0.35">
      <c r="A134" s="3" t="s">
        <v>94</v>
      </c>
      <c r="B134" s="1" t="s">
        <v>48</v>
      </c>
      <c r="C134" s="1" t="s">
        <v>36</v>
      </c>
      <c r="D134" s="1" t="s">
        <v>51</v>
      </c>
      <c r="E134" s="1" t="s">
        <v>30</v>
      </c>
      <c r="F134" s="1" t="s">
        <v>49</v>
      </c>
      <c r="G134" s="2">
        <v>45038</v>
      </c>
      <c r="H134" s="2">
        <v>45064</v>
      </c>
      <c r="I134" s="1">
        <v>28906.240000000002</v>
      </c>
      <c r="J134" s="1">
        <v>0.54730000000000001</v>
      </c>
      <c r="K134" s="1">
        <v>15820.39</v>
      </c>
      <c r="L134" s="1">
        <v>948206</v>
      </c>
      <c r="M134" s="1">
        <v>20065</v>
      </c>
      <c r="N134" s="1">
        <v>27844.17</v>
      </c>
      <c r="O134" s="1">
        <v>2023</v>
      </c>
      <c r="P134" s="1" t="s">
        <v>76</v>
      </c>
      <c r="Q134" s="1" t="s">
        <v>46</v>
      </c>
      <c r="R134" s="4" t="s">
        <v>26</v>
      </c>
      <c r="S134" s="25">
        <f>Table1[[#This Row],[Clicks]]/Table1[[#This Row],[Impressions]]</f>
        <v>2.1161013535033527E-2</v>
      </c>
      <c r="T134" s="22">
        <f>Table1[[#This Row],[Sales]]/Table1[[#This Row],[USD_Spend]]</f>
        <v>1.7600179262331712</v>
      </c>
      <c r="U134" s="1" t="str">
        <f>Outlier_Check!C144</f>
        <v>Normal</v>
      </c>
    </row>
    <row r="135" spans="1:21" x14ac:dyDescent="0.35">
      <c r="A135" s="3" t="s">
        <v>119</v>
      </c>
      <c r="B135" s="1" t="s">
        <v>35</v>
      </c>
      <c r="C135" s="1" t="s">
        <v>36</v>
      </c>
      <c r="D135" s="1" t="s">
        <v>37</v>
      </c>
      <c r="E135" s="1" t="s">
        <v>22</v>
      </c>
      <c r="F135" s="1" t="s">
        <v>23</v>
      </c>
      <c r="G135" s="2">
        <v>45038</v>
      </c>
      <c r="H135" s="2">
        <v>45052</v>
      </c>
      <c r="I135" s="1">
        <v>27490.98</v>
      </c>
      <c r="J135" s="1">
        <v>0.5232</v>
      </c>
      <c r="K135" s="1">
        <v>14383.28</v>
      </c>
      <c r="L135" s="1">
        <v>653790</v>
      </c>
      <c r="M135" s="1">
        <v>42261</v>
      </c>
      <c r="N135" s="1">
        <v>31031.18</v>
      </c>
      <c r="O135" s="1">
        <v>2023</v>
      </c>
      <c r="P135" s="1" t="s">
        <v>76</v>
      </c>
      <c r="Q135" s="1" t="s">
        <v>46</v>
      </c>
      <c r="R135" s="4" t="s">
        <v>41</v>
      </c>
      <c r="S135" s="25">
        <f>Table1[[#This Row],[Clicks]]/Table1[[#This Row],[Impressions]]</f>
        <v>6.4640022025421004E-2</v>
      </c>
      <c r="T135" s="22">
        <f>Table1[[#This Row],[Sales]]/Table1[[#This Row],[USD_Spend]]</f>
        <v>2.1574480925074111</v>
      </c>
      <c r="U135" s="1" t="str">
        <f>Outlier_Check!C145</f>
        <v>Normal</v>
      </c>
    </row>
    <row r="136" spans="1:21" x14ac:dyDescent="0.35">
      <c r="A136" s="3" t="s">
        <v>79</v>
      </c>
      <c r="B136" s="1" t="s">
        <v>35</v>
      </c>
      <c r="C136" s="1" t="s">
        <v>69</v>
      </c>
      <c r="D136" s="1" t="s">
        <v>63</v>
      </c>
      <c r="E136" s="1" t="s">
        <v>38</v>
      </c>
      <c r="F136" s="1" t="s">
        <v>23</v>
      </c>
      <c r="G136" s="2">
        <v>45039</v>
      </c>
      <c r="H136" s="2">
        <v>45051</v>
      </c>
      <c r="I136" s="1">
        <v>19109.71</v>
      </c>
      <c r="J136" s="1">
        <v>0.35460000000000003</v>
      </c>
      <c r="K136" s="1">
        <v>6776.3</v>
      </c>
      <c r="L136" s="1">
        <v>558171</v>
      </c>
      <c r="M136" s="1">
        <v>10146</v>
      </c>
      <c r="N136" s="1">
        <v>33846.839999999997</v>
      </c>
      <c r="O136" s="1">
        <v>2023</v>
      </c>
      <c r="P136" s="1" t="s">
        <v>76</v>
      </c>
      <c r="Q136" s="1" t="s">
        <v>46</v>
      </c>
      <c r="R136" s="4" t="s">
        <v>61</v>
      </c>
      <c r="S136" s="25">
        <f>Table1[[#This Row],[Clicks]]/Table1[[#This Row],[Impressions]]</f>
        <v>1.8177225258926028E-2</v>
      </c>
      <c r="T136" s="22">
        <f>Table1[[#This Row],[Sales]]/Table1[[#This Row],[USD_Spend]]</f>
        <v>4.9948851142954114</v>
      </c>
      <c r="U136" s="1" t="str">
        <f>Outlier_Check!C146</f>
        <v>Normal</v>
      </c>
    </row>
    <row r="137" spans="1:21" x14ac:dyDescent="0.35">
      <c r="A137" s="3" t="s">
        <v>115</v>
      </c>
      <c r="B137" s="1" t="s">
        <v>19</v>
      </c>
      <c r="C137" s="1" t="s">
        <v>69</v>
      </c>
      <c r="D137" s="1" t="s">
        <v>51</v>
      </c>
      <c r="E137" s="1" t="s">
        <v>22</v>
      </c>
      <c r="F137" s="1" t="s">
        <v>49</v>
      </c>
      <c r="G137" s="2">
        <v>45040</v>
      </c>
      <c r="H137" s="2">
        <v>45098</v>
      </c>
      <c r="I137" s="1">
        <v>29133.49</v>
      </c>
      <c r="J137" s="1">
        <v>0.59799999999999998</v>
      </c>
      <c r="K137" s="1">
        <v>17421.830000000002</v>
      </c>
      <c r="L137" s="1">
        <v>104458</v>
      </c>
      <c r="M137" s="1">
        <v>33635</v>
      </c>
      <c r="N137" s="1">
        <v>23386.81</v>
      </c>
      <c r="O137" s="1">
        <v>2023</v>
      </c>
      <c r="P137" s="1" t="s">
        <v>76</v>
      </c>
      <c r="Q137" s="1" t="s">
        <v>46</v>
      </c>
      <c r="R137" s="4" t="s">
        <v>41</v>
      </c>
      <c r="S137" s="25">
        <f>Table1[[#This Row],[Clicks]]/Table1[[#This Row],[Impressions]]</f>
        <v>0.32199544314461315</v>
      </c>
      <c r="T137" s="22">
        <f>Table1[[#This Row],[Sales]]/Table1[[#This Row],[USD_Spend]]</f>
        <v>1.3423853866097877</v>
      </c>
      <c r="U137" s="1" t="str">
        <f>Outlier_Check!C147</f>
        <v>Normal</v>
      </c>
    </row>
    <row r="138" spans="1:21" x14ac:dyDescent="0.35">
      <c r="A138" s="3" t="s">
        <v>71</v>
      </c>
      <c r="B138" s="1" t="s">
        <v>28</v>
      </c>
      <c r="C138" s="1" t="s">
        <v>36</v>
      </c>
      <c r="D138" s="1" t="s">
        <v>37</v>
      </c>
      <c r="E138" s="1" t="s">
        <v>38</v>
      </c>
      <c r="F138" s="1" t="s">
        <v>44</v>
      </c>
      <c r="G138" s="2">
        <v>45040</v>
      </c>
      <c r="H138" s="2">
        <v>45094</v>
      </c>
      <c r="I138" s="1">
        <v>15116.98</v>
      </c>
      <c r="J138" s="1">
        <v>0.36840000000000001</v>
      </c>
      <c r="K138" s="1">
        <v>5569.1</v>
      </c>
      <c r="L138" s="1">
        <v>60068</v>
      </c>
      <c r="M138" s="1">
        <v>15726</v>
      </c>
      <c r="N138" s="1">
        <v>107857.26</v>
      </c>
      <c r="O138" s="1">
        <v>2023</v>
      </c>
      <c r="P138" s="1" t="s">
        <v>76</v>
      </c>
      <c r="Q138" s="1" t="s">
        <v>46</v>
      </c>
      <c r="R138" s="4" t="s">
        <v>26</v>
      </c>
      <c r="S138" s="25">
        <f>Table1[[#This Row],[Clicks]]/Table1[[#This Row],[Impressions]]</f>
        <v>0.26180328960511423</v>
      </c>
      <c r="T138" s="22">
        <f>Table1[[#This Row],[Sales]]/Table1[[#This Row],[USD_Spend]]</f>
        <v>19.367089834982313</v>
      </c>
      <c r="U138" s="1" t="str">
        <f>Outlier_Check!C148</f>
        <v>Normal</v>
      </c>
    </row>
    <row r="139" spans="1:21" x14ac:dyDescent="0.35">
      <c r="A139" s="3" t="s">
        <v>100</v>
      </c>
      <c r="B139" s="1" t="s">
        <v>35</v>
      </c>
      <c r="C139" s="1" t="s">
        <v>36</v>
      </c>
      <c r="D139" s="1" t="s">
        <v>63</v>
      </c>
      <c r="E139" s="1" t="s">
        <v>30</v>
      </c>
      <c r="F139" s="1" t="s">
        <v>23</v>
      </c>
      <c r="G139" s="2">
        <v>45042</v>
      </c>
      <c r="H139" s="2">
        <v>45094</v>
      </c>
      <c r="I139" s="1">
        <v>3672.36</v>
      </c>
      <c r="J139" s="1">
        <v>1.1392</v>
      </c>
      <c r="K139" s="1">
        <v>4183.55</v>
      </c>
      <c r="L139" s="1">
        <v>981746</v>
      </c>
      <c r="M139" s="1">
        <v>9778</v>
      </c>
      <c r="N139" s="1">
        <v>217844.33</v>
      </c>
      <c r="O139" s="1">
        <v>2023</v>
      </c>
      <c r="P139" s="1" t="s">
        <v>76</v>
      </c>
      <c r="Q139" s="1" t="s">
        <v>46</v>
      </c>
      <c r="R139" s="4" t="s">
        <v>41</v>
      </c>
      <c r="S139" s="25">
        <f>Table1[[#This Row],[Clicks]]/Table1[[#This Row],[Impressions]]</f>
        <v>9.9598063042782969E-3</v>
      </c>
      <c r="T139" s="22">
        <f>Table1[[#This Row],[Sales]]/Table1[[#This Row],[USD_Spend]]</f>
        <v>52.071644894885914</v>
      </c>
      <c r="U139" s="1" t="str">
        <f>Outlier_Check!C149</f>
        <v>Normal</v>
      </c>
    </row>
    <row r="140" spans="1:21" x14ac:dyDescent="0.35">
      <c r="A140" s="3" t="s">
        <v>96</v>
      </c>
      <c r="B140" s="1" t="s">
        <v>35</v>
      </c>
      <c r="C140" s="1" t="s">
        <v>69</v>
      </c>
      <c r="D140" s="1" t="s">
        <v>43</v>
      </c>
      <c r="E140" s="1" t="s">
        <v>30</v>
      </c>
      <c r="F140" s="1" t="s">
        <v>49</v>
      </c>
      <c r="G140" s="2">
        <v>45043</v>
      </c>
      <c r="H140" s="2">
        <v>45095</v>
      </c>
      <c r="I140" s="1">
        <v>33417.339999999997</v>
      </c>
      <c r="J140" s="1">
        <v>0.22370000000000001</v>
      </c>
      <c r="K140" s="1">
        <v>7475.46</v>
      </c>
      <c r="L140" s="1">
        <v>201059</v>
      </c>
      <c r="M140" s="1">
        <v>25852</v>
      </c>
      <c r="N140" s="1">
        <v>16088.39</v>
      </c>
      <c r="O140" s="1">
        <v>2023</v>
      </c>
      <c r="P140" s="1" t="s">
        <v>76</v>
      </c>
      <c r="Q140" s="1" t="s">
        <v>46</v>
      </c>
      <c r="R140" s="4" t="s">
        <v>54</v>
      </c>
      <c r="S140" s="25">
        <f>Table1[[#This Row],[Clicks]]/Table1[[#This Row],[Impressions]]</f>
        <v>0.12857917327749566</v>
      </c>
      <c r="T140" s="22">
        <f>Table1[[#This Row],[Sales]]/Table1[[#This Row],[USD_Spend]]</f>
        <v>2.1521605359402631</v>
      </c>
      <c r="U140" s="1" t="str">
        <f>Outlier_Check!C150</f>
        <v>Normal</v>
      </c>
    </row>
    <row r="141" spans="1:21" x14ac:dyDescent="0.35">
      <c r="A141" s="3" t="s">
        <v>86</v>
      </c>
      <c r="B141" s="1" t="s">
        <v>28</v>
      </c>
      <c r="C141" s="1" t="s">
        <v>29</v>
      </c>
      <c r="D141" s="1" t="s">
        <v>21</v>
      </c>
      <c r="E141" s="1" t="s">
        <v>38</v>
      </c>
      <c r="F141" s="1" t="s">
        <v>23</v>
      </c>
      <c r="G141" s="2">
        <v>45043</v>
      </c>
      <c r="H141" s="2">
        <v>45084</v>
      </c>
      <c r="I141" s="1">
        <v>10790.2</v>
      </c>
      <c r="J141" s="1">
        <v>1.1967000000000001</v>
      </c>
      <c r="K141" s="1">
        <v>12912.63</v>
      </c>
      <c r="L141" s="1">
        <v>198667</v>
      </c>
      <c r="M141" s="1">
        <v>44776</v>
      </c>
      <c r="N141" s="1">
        <v>193066.39</v>
      </c>
      <c r="O141" s="1">
        <v>2023</v>
      </c>
      <c r="P141" s="1" t="s">
        <v>76</v>
      </c>
      <c r="Q141" s="1" t="s">
        <v>46</v>
      </c>
      <c r="R141" s="4" t="s">
        <v>54</v>
      </c>
      <c r="S141" s="25">
        <f>Table1[[#This Row],[Clicks]]/Table1[[#This Row],[Impressions]]</f>
        <v>0.22538217217756346</v>
      </c>
      <c r="T141" s="22">
        <f>Table1[[#This Row],[Sales]]/Table1[[#This Row],[USD_Spend]]</f>
        <v>14.95174801725133</v>
      </c>
      <c r="U141" s="1" t="str">
        <f>Outlier_Check!C151</f>
        <v>Normal</v>
      </c>
    </row>
    <row r="142" spans="1:21" x14ac:dyDescent="0.35">
      <c r="A142" s="3" t="s">
        <v>95</v>
      </c>
      <c r="B142" s="1" t="s">
        <v>35</v>
      </c>
      <c r="C142" s="1" t="s">
        <v>58</v>
      </c>
      <c r="D142" s="1" t="s">
        <v>59</v>
      </c>
      <c r="E142" s="1" t="s">
        <v>30</v>
      </c>
      <c r="F142" s="1" t="s">
        <v>31</v>
      </c>
      <c r="G142" s="2">
        <v>45043</v>
      </c>
      <c r="H142" s="2">
        <v>45049</v>
      </c>
      <c r="I142" s="1">
        <v>37048.07</v>
      </c>
      <c r="J142" s="1">
        <v>0.60389999999999999</v>
      </c>
      <c r="K142" s="1">
        <v>22373.33</v>
      </c>
      <c r="L142" s="1">
        <v>415785</v>
      </c>
      <c r="M142" s="1">
        <v>36909</v>
      </c>
      <c r="N142" s="1">
        <v>33851.440000000002</v>
      </c>
      <c r="O142" s="1">
        <v>2023</v>
      </c>
      <c r="P142" s="1" t="s">
        <v>76</v>
      </c>
      <c r="Q142" s="1" t="s">
        <v>46</v>
      </c>
      <c r="R142" s="4" t="s">
        <v>54</v>
      </c>
      <c r="S142" s="25">
        <f>Table1[[#This Row],[Clicks]]/Table1[[#This Row],[Impressions]]</f>
        <v>8.8769436126844403E-2</v>
      </c>
      <c r="T142" s="22">
        <f>Table1[[#This Row],[Sales]]/Table1[[#This Row],[USD_Spend]]</f>
        <v>1.5130264471135946</v>
      </c>
      <c r="U142" s="1" t="str">
        <f>Outlier_Check!C152</f>
        <v>Normal</v>
      </c>
    </row>
    <row r="143" spans="1:21" x14ac:dyDescent="0.35">
      <c r="A143" s="3" t="s">
        <v>81</v>
      </c>
      <c r="B143" s="1" t="s">
        <v>48</v>
      </c>
      <c r="C143" s="1" t="s">
        <v>58</v>
      </c>
      <c r="D143" s="1" t="s">
        <v>21</v>
      </c>
      <c r="E143" s="1" t="s">
        <v>38</v>
      </c>
      <c r="F143" s="1" t="s">
        <v>44</v>
      </c>
      <c r="G143" s="2">
        <v>45046</v>
      </c>
      <c r="H143" s="2">
        <v>45059</v>
      </c>
      <c r="I143" s="1">
        <v>3221.99</v>
      </c>
      <c r="J143" s="1">
        <v>5.4300000000000001E-2</v>
      </c>
      <c r="K143" s="1">
        <v>174.95</v>
      </c>
      <c r="L143" s="1">
        <v>526554</v>
      </c>
      <c r="M143" s="1">
        <v>7710</v>
      </c>
      <c r="N143" s="1">
        <v>28812.04</v>
      </c>
      <c r="O143" s="1">
        <v>2023</v>
      </c>
      <c r="P143" s="1" t="s">
        <v>76</v>
      </c>
      <c r="Q143" s="1" t="s">
        <v>46</v>
      </c>
      <c r="R143" s="4" t="s">
        <v>54</v>
      </c>
      <c r="S143" s="25">
        <f>Table1[[#This Row],[Clicks]]/Table1[[#This Row],[Impressions]]</f>
        <v>1.4642372862042639E-2</v>
      </c>
      <c r="T143" s="22">
        <f>Table1[[#This Row],[Sales]]/Table1[[#This Row],[USD_Spend]]</f>
        <v>164.68728208059446</v>
      </c>
      <c r="U143" s="1" t="str">
        <f>Outlier_Check!C153</f>
        <v>Normal</v>
      </c>
    </row>
    <row r="144" spans="1:21" x14ac:dyDescent="0.35">
      <c r="A144" s="3" t="s">
        <v>64</v>
      </c>
      <c r="B144" s="1" t="s">
        <v>35</v>
      </c>
      <c r="C144" s="1" t="s">
        <v>36</v>
      </c>
      <c r="D144" s="1" t="s">
        <v>59</v>
      </c>
      <c r="E144" s="1" t="s">
        <v>30</v>
      </c>
      <c r="F144" s="1" t="s">
        <v>23</v>
      </c>
      <c r="G144" s="2">
        <v>45047</v>
      </c>
      <c r="H144" s="2">
        <v>45073</v>
      </c>
      <c r="I144" s="1">
        <v>49693.24</v>
      </c>
      <c r="J144" s="1">
        <v>0.58589999999999998</v>
      </c>
      <c r="K144" s="1">
        <v>29115.27</v>
      </c>
      <c r="L144" s="1">
        <v>653830</v>
      </c>
      <c r="M144" s="1">
        <v>39421</v>
      </c>
      <c r="N144" s="1">
        <v>138888.28</v>
      </c>
      <c r="O144" s="1">
        <v>2023</v>
      </c>
      <c r="P144" s="1" t="s">
        <v>45</v>
      </c>
      <c r="Q144" s="1" t="s">
        <v>46</v>
      </c>
      <c r="R144" s="4" t="s">
        <v>26</v>
      </c>
      <c r="S144" s="25">
        <f>Table1[[#This Row],[Clicks]]/Table1[[#This Row],[Impressions]]</f>
        <v>6.0292430754171573E-2</v>
      </c>
      <c r="T144" s="22">
        <f>Table1[[#This Row],[Sales]]/Table1[[#This Row],[USD_Spend]]</f>
        <v>4.7702899543778914</v>
      </c>
      <c r="U144" s="1" t="str">
        <f>Outlier_Check!C154</f>
        <v>Normal</v>
      </c>
    </row>
    <row r="145" spans="1:21" x14ac:dyDescent="0.35">
      <c r="A145" s="3" t="s">
        <v>110</v>
      </c>
      <c r="B145" s="1" t="s">
        <v>28</v>
      </c>
      <c r="C145" s="1" t="s">
        <v>20</v>
      </c>
      <c r="D145" s="1" t="s">
        <v>63</v>
      </c>
      <c r="E145" s="1" t="s">
        <v>30</v>
      </c>
      <c r="F145" s="1" t="s">
        <v>52</v>
      </c>
      <c r="G145" s="2">
        <v>45048</v>
      </c>
      <c r="H145" s="2">
        <v>45076</v>
      </c>
      <c r="I145" s="1">
        <v>46242.66</v>
      </c>
      <c r="J145" s="1">
        <v>1.1046</v>
      </c>
      <c r="K145" s="1">
        <v>51079.64</v>
      </c>
      <c r="L145" s="1">
        <v>949090</v>
      </c>
      <c r="M145" s="1">
        <v>2940</v>
      </c>
      <c r="N145" s="1">
        <v>153104.06</v>
      </c>
      <c r="O145" s="1">
        <v>2023</v>
      </c>
      <c r="P145" s="1" t="s">
        <v>45</v>
      </c>
      <c r="Q145" s="1" t="s">
        <v>46</v>
      </c>
      <c r="R145" s="4" t="s">
        <v>54</v>
      </c>
      <c r="S145" s="25">
        <f>Table1[[#This Row],[Clicks]]/Table1[[#This Row],[Impressions]]</f>
        <v>3.0977041165748242E-3</v>
      </c>
      <c r="T145" s="22">
        <f>Table1[[#This Row],[Sales]]/Table1[[#This Row],[USD_Spend]]</f>
        <v>2.9973598091137683</v>
      </c>
      <c r="U145" s="1" t="str">
        <f>Outlier_Check!C155</f>
        <v>Normal</v>
      </c>
    </row>
    <row r="146" spans="1:21" x14ac:dyDescent="0.35">
      <c r="A146" s="3" t="s">
        <v>64</v>
      </c>
      <c r="B146" s="1" t="s">
        <v>19</v>
      </c>
      <c r="C146" s="1" t="s">
        <v>69</v>
      </c>
      <c r="D146" s="1" t="s">
        <v>59</v>
      </c>
      <c r="E146" s="1" t="s">
        <v>38</v>
      </c>
      <c r="F146" s="1" t="s">
        <v>52</v>
      </c>
      <c r="G146" s="2">
        <v>45049</v>
      </c>
      <c r="H146" s="2">
        <v>45063</v>
      </c>
      <c r="I146" s="1">
        <v>20345.759999999998</v>
      </c>
      <c r="J146" s="1">
        <v>0.83709999999999996</v>
      </c>
      <c r="K146" s="1">
        <v>17031.439999999999</v>
      </c>
      <c r="L146" s="1">
        <v>116663</v>
      </c>
      <c r="M146" s="1">
        <v>48690</v>
      </c>
      <c r="N146" s="1">
        <v>231696.13</v>
      </c>
      <c r="O146" s="1">
        <v>2023</v>
      </c>
      <c r="P146" s="1" t="s">
        <v>45</v>
      </c>
      <c r="Q146" s="1" t="s">
        <v>46</v>
      </c>
      <c r="R146" s="4" t="s">
        <v>54</v>
      </c>
      <c r="S146" s="25">
        <f>Table1[[#This Row],[Clicks]]/Table1[[#This Row],[Impressions]]</f>
        <v>0.41735597404489855</v>
      </c>
      <c r="T146" s="22">
        <f>Table1[[#This Row],[Sales]]/Table1[[#This Row],[USD_Spend]]</f>
        <v>13.604024674366936</v>
      </c>
      <c r="U146" s="1" t="str">
        <f>Outlier_Check!C156</f>
        <v>Normal</v>
      </c>
    </row>
    <row r="147" spans="1:21" x14ac:dyDescent="0.35">
      <c r="A147" s="3" t="s">
        <v>106</v>
      </c>
      <c r="B147" s="1" t="s">
        <v>19</v>
      </c>
      <c r="C147" s="1" t="s">
        <v>58</v>
      </c>
      <c r="D147" s="1" t="s">
        <v>37</v>
      </c>
      <c r="E147" s="1" t="s">
        <v>30</v>
      </c>
      <c r="F147" s="1" t="s">
        <v>49</v>
      </c>
      <c r="G147" s="2">
        <v>45050</v>
      </c>
      <c r="H147" s="2">
        <v>45103</v>
      </c>
      <c r="I147" s="1">
        <v>23002.95</v>
      </c>
      <c r="J147" s="1">
        <v>1.1394</v>
      </c>
      <c r="K147" s="1">
        <v>26209.56</v>
      </c>
      <c r="L147" s="1">
        <v>185284</v>
      </c>
      <c r="M147" s="1">
        <v>13986</v>
      </c>
      <c r="N147" s="1">
        <v>203072.88</v>
      </c>
      <c r="O147" s="1">
        <v>2023</v>
      </c>
      <c r="P147" s="1" t="s">
        <v>45</v>
      </c>
      <c r="Q147" s="1" t="s">
        <v>46</v>
      </c>
      <c r="R147" s="4" t="s">
        <v>61</v>
      </c>
      <c r="S147" s="25">
        <f>Table1[[#This Row],[Clicks]]/Table1[[#This Row],[Impressions]]</f>
        <v>7.5484121672675458E-2</v>
      </c>
      <c r="T147" s="22">
        <f>Table1[[#This Row],[Sales]]/Table1[[#This Row],[USD_Spend]]</f>
        <v>7.7480461327851362</v>
      </c>
      <c r="U147" s="1" t="str">
        <f>Outlier_Check!C157</f>
        <v>Normal</v>
      </c>
    </row>
    <row r="148" spans="1:21" x14ac:dyDescent="0.35">
      <c r="A148" s="3" t="s">
        <v>105</v>
      </c>
      <c r="B148" s="1" t="s">
        <v>19</v>
      </c>
      <c r="C148" s="1" t="s">
        <v>69</v>
      </c>
      <c r="D148" s="1" t="s">
        <v>63</v>
      </c>
      <c r="E148" s="1" t="s">
        <v>30</v>
      </c>
      <c r="F148" s="1" t="s">
        <v>31</v>
      </c>
      <c r="G148" s="2">
        <v>45050</v>
      </c>
      <c r="H148" s="2">
        <v>45099</v>
      </c>
      <c r="I148" s="1">
        <v>26392.05</v>
      </c>
      <c r="J148" s="1">
        <v>0.3856</v>
      </c>
      <c r="K148" s="1">
        <v>10176.77</v>
      </c>
      <c r="L148" s="1">
        <v>18827</v>
      </c>
      <c r="M148" s="1">
        <v>874</v>
      </c>
      <c r="N148" s="1">
        <v>170155.25</v>
      </c>
      <c r="O148" s="1">
        <v>2023</v>
      </c>
      <c r="P148" s="1" t="s">
        <v>45</v>
      </c>
      <c r="Q148" s="1" t="s">
        <v>46</v>
      </c>
      <c r="R148" s="4" t="s">
        <v>61</v>
      </c>
      <c r="S148" s="25">
        <f>Table1[[#This Row],[Clicks]]/Table1[[#This Row],[Impressions]]</f>
        <v>4.6422690816380729E-2</v>
      </c>
      <c r="T148" s="22">
        <f>Table1[[#This Row],[Sales]]/Table1[[#This Row],[USD_Spend]]</f>
        <v>16.719966158221123</v>
      </c>
      <c r="U148" s="1" t="str">
        <f>Outlier_Check!C158</f>
        <v>Normal</v>
      </c>
    </row>
    <row r="149" spans="1:21" x14ac:dyDescent="0.35">
      <c r="A149" s="3" t="s">
        <v>90</v>
      </c>
      <c r="B149" s="1" t="s">
        <v>48</v>
      </c>
      <c r="C149" s="1" t="s">
        <v>69</v>
      </c>
      <c r="D149" s="1" t="s">
        <v>37</v>
      </c>
      <c r="E149" s="1" t="s">
        <v>22</v>
      </c>
      <c r="F149" s="1" t="s">
        <v>31</v>
      </c>
      <c r="G149" s="2">
        <v>45050</v>
      </c>
      <c r="H149" s="2">
        <v>45098</v>
      </c>
      <c r="I149" s="1">
        <v>29222.38</v>
      </c>
      <c r="J149" s="1">
        <v>0.1734</v>
      </c>
      <c r="K149" s="1">
        <v>5067.16</v>
      </c>
      <c r="L149" s="1">
        <v>887057</v>
      </c>
      <c r="M149" s="1">
        <v>14074</v>
      </c>
      <c r="N149" s="1">
        <v>192235.83</v>
      </c>
      <c r="O149" s="1">
        <v>2023</v>
      </c>
      <c r="P149" s="1" t="s">
        <v>45</v>
      </c>
      <c r="Q149" s="1" t="s">
        <v>46</v>
      </c>
      <c r="R149" s="4" t="s">
        <v>61</v>
      </c>
      <c r="S149" s="25">
        <f>Table1[[#This Row],[Clicks]]/Table1[[#This Row],[Impressions]]</f>
        <v>1.5865947735038449E-2</v>
      </c>
      <c r="T149" s="22">
        <f>Table1[[#This Row],[Sales]]/Table1[[#This Row],[USD_Spend]]</f>
        <v>37.937588313769446</v>
      </c>
      <c r="U149" s="1" t="str">
        <f>Outlier_Check!C159</f>
        <v>Normal</v>
      </c>
    </row>
    <row r="150" spans="1:21" x14ac:dyDescent="0.35">
      <c r="A150" s="3" t="s">
        <v>67</v>
      </c>
      <c r="B150" s="1" t="s">
        <v>28</v>
      </c>
      <c r="C150" s="1" t="s">
        <v>36</v>
      </c>
      <c r="D150" s="1" t="s">
        <v>43</v>
      </c>
      <c r="E150" s="1" t="s">
        <v>30</v>
      </c>
      <c r="F150" s="1" t="s">
        <v>31</v>
      </c>
      <c r="G150" s="2">
        <v>45050</v>
      </c>
      <c r="H150" s="2">
        <v>45097</v>
      </c>
      <c r="I150" s="1">
        <v>46872.91</v>
      </c>
      <c r="J150" s="1">
        <v>0.22389999999999999</v>
      </c>
      <c r="K150" s="1">
        <v>10494.84</v>
      </c>
      <c r="L150" s="1">
        <v>29895</v>
      </c>
      <c r="M150" s="1">
        <v>18119</v>
      </c>
      <c r="N150" s="1">
        <v>197755.48</v>
      </c>
      <c r="O150" s="1">
        <v>2023</v>
      </c>
      <c r="P150" s="1" t="s">
        <v>45</v>
      </c>
      <c r="Q150" s="1" t="s">
        <v>46</v>
      </c>
      <c r="R150" s="4" t="s">
        <v>54</v>
      </c>
      <c r="S150" s="25">
        <f>Table1[[#This Row],[Clicks]]/Table1[[#This Row],[Impressions]]</f>
        <v>0.60608797457768859</v>
      </c>
      <c r="T150" s="22">
        <f>Table1[[#This Row],[Sales]]/Table1[[#This Row],[USD_Spend]]</f>
        <v>18.843115283320184</v>
      </c>
      <c r="U150" s="1" t="str">
        <f>Outlier_Check!C160</f>
        <v>Normal</v>
      </c>
    </row>
    <row r="151" spans="1:21" x14ac:dyDescent="0.35">
      <c r="A151" s="3" t="s">
        <v>82</v>
      </c>
      <c r="B151" s="1" t="s">
        <v>28</v>
      </c>
      <c r="C151" s="1" t="s">
        <v>36</v>
      </c>
      <c r="D151" s="1" t="s">
        <v>63</v>
      </c>
      <c r="E151" s="1" t="s">
        <v>22</v>
      </c>
      <c r="F151" s="1" t="s">
        <v>49</v>
      </c>
      <c r="G151" s="2">
        <v>45050</v>
      </c>
      <c r="H151" s="2">
        <v>45091</v>
      </c>
      <c r="I151" s="1">
        <v>20082.04</v>
      </c>
      <c r="J151" s="1">
        <v>0.70079999999999998</v>
      </c>
      <c r="K151" s="1">
        <v>14073.49</v>
      </c>
      <c r="L151" s="1">
        <v>45739</v>
      </c>
      <c r="M151" s="1">
        <v>42377</v>
      </c>
      <c r="N151" s="1">
        <v>164353.47</v>
      </c>
      <c r="O151" s="1">
        <v>2023</v>
      </c>
      <c r="P151" s="1" t="s">
        <v>45</v>
      </c>
      <c r="Q151" s="1" t="s">
        <v>46</v>
      </c>
      <c r="R151" s="4" t="s">
        <v>54</v>
      </c>
      <c r="S151" s="25">
        <f>Table1[[#This Row],[Clicks]]/Table1[[#This Row],[Impressions]]</f>
        <v>0.92649598810642997</v>
      </c>
      <c r="T151" s="22">
        <f>Table1[[#This Row],[Sales]]/Table1[[#This Row],[USD_Spend]]</f>
        <v>11.678231199226348</v>
      </c>
      <c r="U151" s="1" t="str">
        <f>Outlier_Check!C161</f>
        <v>Normal</v>
      </c>
    </row>
    <row r="152" spans="1:21" x14ac:dyDescent="0.35">
      <c r="A152" s="3" t="s">
        <v>95</v>
      </c>
      <c r="B152" s="1" t="s">
        <v>35</v>
      </c>
      <c r="C152" s="1" t="s">
        <v>29</v>
      </c>
      <c r="D152" s="1" t="s">
        <v>51</v>
      </c>
      <c r="E152" s="1" t="s">
        <v>30</v>
      </c>
      <c r="F152" s="1" t="s">
        <v>44</v>
      </c>
      <c r="G152" s="2">
        <v>45050</v>
      </c>
      <c r="H152" s="2">
        <v>45090</v>
      </c>
      <c r="I152" s="1">
        <v>11980.69</v>
      </c>
      <c r="J152" s="1">
        <v>0.31680000000000003</v>
      </c>
      <c r="K152" s="1">
        <v>3795.48</v>
      </c>
      <c r="L152" s="1">
        <v>366855</v>
      </c>
      <c r="M152" s="1">
        <v>23381</v>
      </c>
      <c r="N152" s="1">
        <v>193496.61</v>
      </c>
      <c r="O152" s="1">
        <v>2023</v>
      </c>
      <c r="P152" s="1" t="s">
        <v>45</v>
      </c>
      <c r="Q152" s="1" t="s">
        <v>46</v>
      </c>
      <c r="R152" s="4" t="s">
        <v>26</v>
      </c>
      <c r="S152" s="25">
        <f>Table1[[#This Row],[Clicks]]/Table1[[#This Row],[Impressions]]</f>
        <v>6.3733627727576292E-2</v>
      </c>
      <c r="T152" s="22">
        <f>Table1[[#This Row],[Sales]]/Table1[[#This Row],[USD_Spend]]</f>
        <v>50.980800847323657</v>
      </c>
      <c r="U152" s="1" t="str">
        <f>Outlier_Check!C162</f>
        <v>Normal</v>
      </c>
    </row>
    <row r="153" spans="1:21" x14ac:dyDescent="0.35">
      <c r="A153" s="3" t="s">
        <v>107</v>
      </c>
      <c r="B153" s="1" t="s">
        <v>48</v>
      </c>
      <c r="C153" s="1" t="s">
        <v>36</v>
      </c>
      <c r="D153" s="1" t="s">
        <v>37</v>
      </c>
      <c r="E153" s="1" t="s">
        <v>38</v>
      </c>
      <c r="F153" s="1" t="s">
        <v>49</v>
      </c>
      <c r="G153" s="2">
        <v>45050</v>
      </c>
      <c r="H153" s="2">
        <v>45063</v>
      </c>
      <c r="I153" s="1">
        <v>20662.87</v>
      </c>
      <c r="J153" s="1">
        <v>0.33589999999999998</v>
      </c>
      <c r="K153" s="1">
        <v>6940.66</v>
      </c>
      <c r="L153" s="1">
        <v>211512</v>
      </c>
      <c r="M153" s="1">
        <v>9681</v>
      </c>
      <c r="N153" s="1">
        <v>109444.23</v>
      </c>
      <c r="O153" s="1">
        <v>2023</v>
      </c>
      <c r="P153" s="1" t="s">
        <v>45</v>
      </c>
      <c r="Q153" s="1" t="s">
        <v>46</v>
      </c>
      <c r="R153" s="4" t="s">
        <v>41</v>
      </c>
      <c r="S153" s="25">
        <f>Table1[[#This Row],[Clicks]]/Table1[[#This Row],[Impressions]]</f>
        <v>4.5770452740270057E-2</v>
      </c>
      <c r="T153" s="22">
        <f>Table1[[#This Row],[Sales]]/Table1[[#This Row],[USD_Spend]]</f>
        <v>15.768562355741384</v>
      </c>
      <c r="U153" s="1" t="str">
        <f>Outlier_Check!C163</f>
        <v>Normal</v>
      </c>
    </row>
    <row r="154" spans="1:21" x14ac:dyDescent="0.35">
      <c r="A154" s="3" t="s">
        <v>92</v>
      </c>
      <c r="B154" s="1" t="s">
        <v>19</v>
      </c>
      <c r="C154" s="1" t="s">
        <v>69</v>
      </c>
      <c r="D154" s="1" t="s">
        <v>43</v>
      </c>
      <c r="E154" s="1" t="s">
        <v>38</v>
      </c>
      <c r="F154" s="1" t="s">
        <v>23</v>
      </c>
      <c r="G154" s="2">
        <v>45051</v>
      </c>
      <c r="H154" s="2">
        <v>45092</v>
      </c>
      <c r="I154" s="1">
        <v>27229.9</v>
      </c>
      <c r="J154" s="1">
        <v>1.19</v>
      </c>
      <c r="K154" s="1">
        <v>32403.58</v>
      </c>
      <c r="L154" s="1">
        <v>359636</v>
      </c>
      <c r="M154" s="1">
        <v>44784</v>
      </c>
      <c r="N154" s="1">
        <v>79192.88</v>
      </c>
      <c r="O154" s="1">
        <v>2023</v>
      </c>
      <c r="P154" s="1" t="s">
        <v>45</v>
      </c>
      <c r="Q154" s="1" t="s">
        <v>46</v>
      </c>
      <c r="R154" s="4" t="s">
        <v>54</v>
      </c>
      <c r="S154" s="25">
        <f>Table1[[#This Row],[Clicks]]/Table1[[#This Row],[Impressions]]</f>
        <v>0.12452590953074776</v>
      </c>
      <c r="T154" s="22">
        <f>Table1[[#This Row],[Sales]]/Table1[[#This Row],[USD_Spend]]</f>
        <v>2.4439546494553999</v>
      </c>
      <c r="U154" s="1" t="str">
        <f>Outlier_Check!C164</f>
        <v>Normal</v>
      </c>
    </row>
    <row r="155" spans="1:21" x14ac:dyDescent="0.35">
      <c r="A155" s="3" t="s">
        <v>27</v>
      </c>
      <c r="B155" s="1" t="s">
        <v>35</v>
      </c>
      <c r="C155" s="1" t="s">
        <v>20</v>
      </c>
      <c r="D155" s="1" t="s">
        <v>51</v>
      </c>
      <c r="E155" s="1" t="s">
        <v>38</v>
      </c>
      <c r="F155" s="1" t="s">
        <v>44</v>
      </c>
      <c r="G155" s="2">
        <v>45051</v>
      </c>
      <c r="H155" s="2">
        <v>45075</v>
      </c>
      <c r="I155" s="1">
        <v>20823.310000000001</v>
      </c>
      <c r="J155" s="1">
        <v>1.1794</v>
      </c>
      <c r="K155" s="1">
        <v>24559.01</v>
      </c>
      <c r="L155" s="1">
        <v>870116</v>
      </c>
      <c r="M155" s="1">
        <v>15496</v>
      </c>
      <c r="N155" s="1">
        <v>211221.6</v>
      </c>
      <c r="O155" s="1">
        <v>2023</v>
      </c>
      <c r="P155" s="1" t="s">
        <v>45</v>
      </c>
      <c r="Q155" s="1" t="s">
        <v>46</v>
      </c>
      <c r="R155" s="4" t="s">
        <v>26</v>
      </c>
      <c r="S155" s="25">
        <f>Table1[[#This Row],[Clicks]]/Table1[[#This Row],[Impressions]]</f>
        <v>1.7809119703579752E-2</v>
      </c>
      <c r="T155" s="22">
        <f>Table1[[#This Row],[Sales]]/Table1[[#This Row],[USD_Spend]]</f>
        <v>8.6005746974328368</v>
      </c>
      <c r="U155" s="1" t="str">
        <f>Outlier_Check!C165</f>
        <v>Normal</v>
      </c>
    </row>
    <row r="156" spans="1:21" x14ac:dyDescent="0.35">
      <c r="A156" s="3" t="s">
        <v>66</v>
      </c>
      <c r="B156" s="1" t="s">
        <v>19</v>
      </c>
      <c r="C156" s="1" t="s">
        <v>20</v>
      </c>
      <c r="D156" s="1" t="s">
        <v>43</v>
      </c>
      <c r="E156" s="1" t="s">
        <v>38</v>
      </c>
      <c r="F156" s="1" t="s">
        <v>31</v>
      </c>
      <c r="G156" s="2">
        <v>45051</v>
      </c>
      <c r="H156" s="2">
        <v>45057</v>
      </c>
      <c r="I156" s="1">
        <v>20823.55</v>
      </c>
      <c r="J156" s="1">
        <v>0.60429999999999995</v>
      </c>
      <c r="K156" s="1">
        <v>12583.67</v>
      </c>
      <c r="L156" s="1">
        <v>162446</v>
      </c>
      <c r="M156" s="1">
        <v>30118</v>
      </c>
      <c r="N156" s="1">
        <v>232313.77</v>
      </c>
      <c r="O156" s="1">
        <v>2023</v>
      </c>
      <c r="P156" s="1" t="s">
        <v>45</v>
      </c>
      <c r="Q156" s="1" t="s">
        <v>46</v>
      </c>
      <c r="R156" s="4" t="s">
        <v>54</v>
      </c>
      <c r="S156" s="25">
        <f>Table1[[#This Row],[Clicks]]/Table1[[#This Row],[Impressions]]</f>
        <v>0.18540314935424695</v>
      </c>
      <c r="T156" s="22">
        <f>Table1[[#This Row],[Sales]]/Table1[[#This Row],[USD_Spend]]</f>
        <v>18.461527519396167</v>
      </c>
      <c r="U156" s="1" t="str">
        <f>Outlier_Check!C166</f>
        <v>Normal</v>
      </c>
    </row>
    <row r="157" spans="1:21" x14ac:dyDescent="0.35">
      <c r="A157" s="3" t="s">
        <v>90</v>
      </c>
      <c r="B157" s="1" t="s">
        <v>35</v>
      </c>
      <c r="C157" s="1" t="s">
        <v>58</v>
      </c>
      <c r="D157" s="1" t="s">
        <v>63</v>
      </c>
      <c r="E157" s="1" t="s">
        <v>38</v>
      </c>
      <c r="F157" s="1" t="s">
        <v>44</v>
      </c>
      <c r="G157" s="2">
        <v>45052</v>
      </c>
      <c r="H157" s="2">
        <v>45071</v>
      </c>
      <c r="I157" s="1">
        <v>42067.35</v>
      </c>
      <c r="J157" s="1">
        <v>0.873</v>
      </c>
      <c r="K157" s="1">
        <v>36724.800000000003</v>
      </c>
      <c r="L157" s="1">
        <v>302047</v>
      </c>
      <c r="M157" s="1">
        <v>46859</v>
      </c>
      <c r="N157" s="1">
        <v>192663.18</v>
      </c>
      <c r="O157" s="1">
        <v>2023</v>
      </c>
      <c r="P157" s="1" t="s">
        <v>45</v>
      </c>
      <c r="Q157" s="1" t="s">
        <v>46</v>
      </c>
      <c r="R157" s="4" t="s">
        <v>54</v>
      </c>
      <c r="S157" s="25">
        <f>Table1[[#This Row],[Clicks]]/Table1[[#This Row],[Impressions]]</f>
        <v>0.15513810764549887</v>
      </c>
      <c r="T157" s="22">
        <f>Table1[[#This Row],[Sales]]/Table1[[#This Row],[USD_Spend]]</f>
        <v>5.246132858449875</v>
      </c>
      <c r="U157" s="1" t="str">
        <f>Outlier_Check!C167</f>
        <v>Normal</v>
      </c>
    </row>
    <row r="158" spans="1:21" x14ac:dyDescent="0.35">
      <c r="A158" s="3" t="s">
        <v>103</v>
      </c>
      <c r="B158" s="1" t="s">
        <v>48</v>
      </c>
      <c r="C158" s="1" t="s">
        <v>69</v>
      </c>
      <c r="D158" s="1" t="s">
        <v>59</v>
      </c>
      <c r="E158" s="1" t="s">
        <v>38</v>
      </c>
      <c r="F158" s="1" t="s">
        <v>23</v>
      </c>
      <c r="G158" s="2">
        <v>45054</v>
      </c>
      <c r="H158" s="2">
        <v>45113</v>
      </c>
      <c r="I158" s="1">
        <v>8741.19</v>
      </c>
      <c r="J158" s="1">
        <v>0.55330000000000001</v>
      </c>
      <c r="K158" s="1">
        <v>4836.5</v>
      </c>
      <c r="L158" s="1">
        <v>458580</v>
      </c>
      <c r="M158" s="1">
        <v>13359</v>
      </c>
      <c r="N158" s="1">
        <v>248945.05</v>
      </c>
      <c r="O158" s="1">
        <v>2023</v>
      </c>
      <c r="P158" s="1" t="s">
        <v>45</v>
      </c>
      <c r="Q158" s="1" t="s">
        <v>46</v>
      </c>
      <c r="R158" s="4" t="s">
        <v>41</v>
      </c>
      <c r="S158" s="25">
        <f>Table1[[#This Row],[Clicks]]/Table1[[#This Row],[Impressions]]</f>
        <v>2.9131231191940339E-2</v>
      </c>
      <c r="T158" s="22">
        <f>Table1[[#This Row],[Sales]]/Table1[[#This Row],[USD_Spend]]</f>
        <v>51.472149281505217</v>
      </c>
      <c r="U158" s="1" t="str">
        <f>Outlier_Check!C168</f>
        <v>Normal</v>
      </c>
    </row>
    <row r="159" spans="1:21" x14ac:dyDescent="0.35">
      <c r="A159" s="3" t="s">
        <v>87</v>
      </c>
      <c r="B159" s="1" t="s">
        <v>19</v>
      </c>
      <c r="C159" s="1" t="s">
        <v>58</v>
      </c>
      <c r="D159" s="1" t="s">
        <v>21</v>
      </c>
      <c r="E159" s="1" t="s">
        <v>38</v>
      </c>
      <c r="F159" s="1" t="s">
        <v>49</v>
      </c>
      <c r="G159" s="2">
        <v>45055</v>
      </c>
      <c r="H159" s="2">
        <v>45107</v>
      </c>
      <c r="I159" s="1">
        <v>11381.35</v>
      </c>
      <c r="J159" s="1">
        <v>0.74670000000000003</v>
      </c>
      <c r="K159" s="1">
        <v>8498.4500000000007</v>
      </c>
      <c r="L159" s="1">
        <v>239540</v>
      </c>
      <c r="M159" s="1">
        <v>25809</v>
      </c>
      <c r="N159" s="1">
        <v>50004.97</v>
      </c>
      <c r="O159" s="1">
        <v>2023</v>
      </c>
      <c r="P159" s="1" t="s">
        <v>45</v>
      </c>
      <c r="Q159" s="1" t="s">
        <v>46</v>
      </c>
      <c r="R159" s="4" t="s">
        <v>54</v>
      </c>
      <c r="S159" s="25">
        <f>Table1[[#This Row],[Clicks]]/Table1[[#This Row],[Impressions]]</f>
        <v>0.10774400935125658</v>
      </c>
      <c r="T159" s="22">
        <f>Table1[[#This Row],[Sales]]/Table1[[#This Row],[USD_Spend]]</f>
        <v>5.8840106137001449</v>
      </c>
      <c r="U159" s="1" t="str">
        <f>Outlier_Check!C169</f>
        <v>Normal</v>
      </c>
    </row>
    <row r="160" spans="1:21" x14ac:dyDescent="0.35">
      <c r="A160" s="3" t="s">
        <v>113</v>
      </c>
      <c r="B160" s="1" t="s">
        <v>19</v>
      </c>
      <c r="C160" s="1" t="s">
        <v>36</v>
      </c>
      <c r="D160" s="1" t="s">
        <v>21</v>
      </c>
      <c r="E160" s="1" t="s">
        <v>38</v>
      </c>
      <c r="F160" s="1" t="s">
        <v>52</v>
      </c>
      <c r="G160" s="2">
        <v>45057</v>
      </c>
      <c r="H160" s="2">
        <v>45110</v>
      </c>
      <c r="I160" s="1">
        <v>1667.6</v>
      </c>
      <c r="J160" s="1">
        <v>0.62870000000000004</v>
      </c>
      <c r="K160" s="1">
        <v>1048.42</v>
      </c>
      <c r="L160" s="1">
        <v>137378</v>
      </c>
      <c r="M160" s="1">
        <v>10991</v>
      </c>
      <c r="N160" s="1">
        <v>53355.06</v>
      </c>
      <c r="O160" s="1">
        <v>2023</v>
      </c>
      <c r="P160" s="1" t="s">
        <v>45</v>
      </c>
      <c r="Q160" s="1" t="s">
        <v>46</v>
      </c>
      <c r="R160" s="4" t="s">
        <v>54</v>
      </c>
      <c r="S160" s="25">
        <f>Table1[[#This Row],[Clicks]]/Table1[[#This Row],[Impressions]]</f>
        <v>8.0005532181280842E-2</v>
      </c>
      <c r="T160" s="22">
        <f>Table1[[#This Row],[Sales]]/Table1[[#This Row],[USD_Spend]]</f>
        <v>50.890921577230493</v>
      </c>
      <c r="U160" s="1" t="str">
        <f>Outlier_Check!C170</f>
        <v>Normal</v>
      </c>
    </row>
    <row r="161" spans="1:21" x14ac:dyDescent="0.35">
      <c r="A161" s="3" t="s">
        <v>91</v>
      </c>
      <c r="B161" s="1" t="s">
        <v>48</v>
      </c>
      <c r="C161" s="1" t="s">
        <v>58</v>
      </c>
      <c r="D161" s="1" t="s">
        <v>37</v>
      </c>
      <c r="E161" s="1" t="s">
        <v>38</v>
      </c>
      <c r="F161" s="1" t="s">
        <v>44</v>
      </c>
      <c r="G161" s="2">
        <v>45057</v>
      </c>
      <c r="H161" s="2">
        <v>45093</v>
      </c>
      <c r="I161" s="1">
        <v>40044.22</v>
      </c>
      <c r="J161" s="1">
        <v>0.36859999999999998</v>
      </c>
      <c r="K161" s="1">
        <v>14760.3</v>
      </c>
      <c r="L161" s="1">
        <v>715756</v>
      </c>
      <c r="M161" s="1">
        <v>36062</v>
      </c>
      <c r="N161" s="1">
        <v>246868.8</v>
      </c>
      <c r="O161" s="1">
        <v>2023</v>
      </c>
      <c r="P161" s="1" t="s">
        <v>45</v>
      </c>
      <c r="Q161" s="1" t="s">
        <v>46</v>
      </c>
      <c r="R161" s="4" t="s">
        <v>61</v>
      </c>
      <c r="S161" s="25">
        <f>Table1[[#This Row],[Clicks]]/Table1[[#This Row],[Impressions]]</f>
        <v>5.0383091444570496E-2</v>
      </c>
      <c r="T161" s="22">
        <f>Table1[[#This Row],[Sales]]/Table1[[#This Row],[USD_Spend]]</f>
        <v>16.725188512428609</v>
      </c>
      <c r="U161" s="1" t="str">
        <f>Outlier_Check!C171</f>
        <v>Normal</v>
      </c>
    </row>
    <row r="162" spans="1:21" x14ac:dyDescent="0.35">
      <c r="A162" s="3" t="s">
        <v>100</v>
      </c>
      <c r="B162" s="1" t="s">
        <v>35</v>
      </c>
      <c r="C162" s="1" t="s">
        <v>20</v>
      </c>
      <c r="D162" s="1" t="s">
        <v>43</v>
      </c>
      <c r="E162" s="1" t="s">
        <v>30</v>
      </c>
      <c r="F162" s="1" t="s">
        <v>23</v>
      </c>
      <c r="G162" s="2">
        <v>45057</v>
      </c>
      <c r="H162" s="2">
        <v>45087</v>
      </c>
      <c r="I162" s="1">
        <v>35149.51</v>
      </c>
      <c r="J162" s="1">
        <v>0.29730000000000001</v>
      </c>
      <c r="K162" s="1">
        <v>10449.950000000001</v>
      </c>
      <c r="L162" s="1">
        <v>317643</v>
      </c>
      <c r="M162" s="1">
        <v>7900</v>
      </c>
      <c r="N162" s="1">
        <v>87518.03</v>
      </c>
      <c r="O162" s="1">
        <v>2023</v>
      </c>
      <c r="P162" s="1" t="s">
        <v>45</v>
      </c>
      <c r="Q162" s="1" t="s">
        <v>46</v>
      </c>
      <c r="R162" s="4" t="s">
        <v>26</v>
      </c>
      <c r="S162" s="25">
        <f>Table1[[#This Row],[Clicks]]/Table1[[#This Row],[Impressions]]</f>
        <v>2.4870688162496893E-2</v>
      </c>
      <c r="T162" s="22">
        <f>Table1[[#This Row],[Sales]]/Table1[[#This Row],[USD_Spend]]</f>
        <v>8.3749711721108699</v>
      </c>
      <c r="U162" s="1" t="str">
        <f>Outlier_Check!C172</f>
        <v>Normal</v>
      </c>
    </row>
    <row r="163" spans="1:21" x14ac:dyDescent="0.35">
      <c r="A163" s="3" t="s">
        <v>68</v>
      </c>
      <c r="B163" s="1" t="s">
        <v>48</v>
      </c>
      <c r="C163" s="1" t="s">
        <v>20</v>
      </c>
      <c r="D163" s="1" t="s">
        <v>51</v>
      </c>
      <c r="E163" s="1" t="s">
        <v>30</v>
      </c>
      <c r="F163" s="1" t="s">
        <v>52</v>
      </c>
      <c r="G163" s="2">
        <v>45058</v>
      </c>
      <c r="H163" s="2">
        <v>45105</v>
      </c>
      <c r="I163" s="1">
        <v>24288.84</v>
      </c>
      <c r="J163" s="1">
        <v>0.6643</v>
      </c>
      <c r="K163" s="1">
        <v>16135.08</v>
      </c>
      <c r="L163" s="1">
        <v>287932</v>
      </c>
      <c r="M163" s="1">
        <v>34681</v>
      </c>
      <c r="N163" s="1">
        <v>218746.1</v>
      </c>
      <c r="O163" s="1">
        <v>2023</v>
      </c>
      <c r="P163" s="1" t="s">
        <v>45</v>
      </c>
      <c r="Q163" s="1" t="s">
        <v>46</v>
      </c>
      <c r="R163" s="4" t="s">
        <v>41</v>
      </c>
      <c r="S163" s="25">
        <f>Table1[[#This Row],[Clicks]]/Table1[[#This Row],[Impressions]]</f>
        <v>0.12044857813650445</v>
      </c>
      <c r="T163" s="22">
        <f>Table1[[#This Row],[Sales]]/Table1[[#This Row],[USD_Spend]]</f>
        <v>13.557174801736341</v>
      </c>
      <c r="U163" s="1" t="str">
        <f>Outlier_Check!C173</f>
        <v>Normal</v>
      </c>
    </row>
    <row r="164" spans="1:21" x14ac:dyDescent="0.35">
      <c r="A164" s="3" t="s">
        <v>34</v>
      </c>
      <c r="B164" s="1" t="s">
        <v>48</v>
      </c>
      <c r="C164" s="1" t="s">
        <v>29</v>
      </c>
      <c r="D164" s="1" t="s">
        <v>43</v>
      </c>
      <c r="E164" s="1" t="s">
        <v>30</v>
      </c>
      <c r="F164" s="1" t="s">
        <v>49</v>
      </c>
      <c r="G164" s="2">
        <v>45058</v>
      </c>
      <c r="H164" s="2">
        <v>45069</v>
      </c>
      <c r="I164" s="1">
        <v>20301.28</v>
      </c>
      <c r="J164" s="1">
        <v>0.95589999999999997</v>
      </c>
      <c r="K164" s="1">
        <v>19405.990000000002</v>
      </c>
      <c r="L164" s="1">
        <v>365556</v>
      </c>
      <c r="M164" s="1">
        <v>36658</v>
      </c>
      <c r="N164" s="1">
        <v>235042.4</v>
      </c>
      <c r="O164" s="1">
        <v>2023</v>
      </c>
      <c r="P164" s="1" t="s">
        <v>45</v>
      </c>
      <c r="Q164" s="1" t="s">
        <v>46</v>
      </c>
      <c r="R164" s="4" t="s">
        <v>26</v>
      </c>
      <c r="S164" s="25">
        <f>Table1[[#This Row],[Clicks]]/Table1[[#This Row],[Impressions]]</f>
        <v>0.10028012123997418</v>
      </c>
      <c r="T164" s="22">
        <f>Table1[[#This Row],[Sales]]/Table1[[#This Row],[USD_Spend]]</f>
        <v>12.111847939734071</v>
      </c>
      <c r="U164" s="1" t="str">
        <f>Outlier_Check!C174</f>
        <v>Normal</v>
      </c>
    </row>
    <row r="165" spans="1:21" x14ac:dyDescent="0.35">
      <c r="A165" s="3" t="s">
        <v>70</v>
      </c>
      <c r="B165" s="1" t="s">
        <v>48</v>
      </c>
      <c r="C165" s="1" t="s">
        <v>20</v>
      </c>
      <c r="D165" s="1" t="s">
        <v>63</v>
      </c>
      <c r="E165" s="1" t="s">
        <v>22</v>
      </c>
      <c r="F165" s="1" t="s">
        <v>44</v>
      </c>
      <c r="G165" s="2">
        <v>45059</v>
      </c>
      <c r="H165" s="2">
        <v>45109</v>
      </c>
      <c r="I165" s="1">
        <v>26146.09</v>
      </c>
      <c r="J165" s="1">
        <v>0.63970000000000005</v>
      </c>
      <c r="K165" s="1">
        <v>16725.650000000001</v>
      </c>
      <c r="L165" s="1">
        <v>738205</v>
      </c>
      <c r="M165" s="1">
        <v>14035</v>
      </c>
      <c r="N165" s="1">
        <v>116580.93</v>
      </c>
      <c r="O165" s="1">
        <v>2023</v>
      </c>
      <c r="P165" s="1" t="s">
        <v>45</v>
      </c>
      <c r="Q165" s="1" t="s">
        <v>46</v>
      </c>
      <c r="R165" s="4" t="s">
        <v>54</v>
      </c>
      <c r="S165" s="25">
        <f>Table1[[#This Row],[Clicks]]/Table1[[#This Row],[Impressions]]</f>
        <v>1.9012333972270576E-2</v>
      </c>
      <c r="T165" s="22">
        <f>Table1[[#This Row],[Sales]]/Table1[[#This Row],[USD_Spend]]</f>
        <v>6.9701883035935817</v>
      </c>
      <c r="U165" s="1" t="str">
        <f>Outlier_Check!C175</f>
        <v>Normal</v>
      </c>
    </row>
    <row r="166" spans="1:21" x14ac:dyDescent="0.35">
      <c r="A166" s="3" t="s">
        <v>85</v>
      </c>
      <c r="B166" s="1" t="s">
        <v>28</v>
      </c>
      <c r="C166" s="1" t="s">
        <v>29</v>
      </c>
      <c r="D166" s="1" t="s">
        <v>59</v>
      </c>
      <c r="E166" s="1" t="s">
        <v>22</v>
      </c>
      <c r="F166" s="1" t="s">
        <v>23</v>
      </c>
      <c r="G166" s="2">
        <v>45060</v>
      </c>
      <c r="H166" s="2">
        <v>45113</v>
      </c>
      <c r="I166" s="1">
        <v>19156.47</v>
      </c>
      <c r="J166" s="1">
        <v>0.6784</v>
      </c>
      <c r="K166" s="1">
        <v>12995.75</v>
      </c>
      <c r="L166" s="1">
        <v>344617</v>
      </c>
      <c r="M166" s="1">
        <v>15942</v>
      </c>
      <c r="N166" s="1">
        <v>119285.78</v>
      </c>
      <c r="O166" s="1">
        <v>2023</v>
      </c>
      <c r="P166" s="1" t="s">
        <v>45</v>
      </c>
      <c r="Q166" s="1" t="s">
        <v>46</v>
      </c>
      <c r="R166" s="4" t="s">
        <v>41</v>
      </c>
      <c r="S166" s="25">
        <f>Table1[[#This Row],[Clicks]]/Table1[[#This Row],[Impressions]]</f>
        <v>4.6260051013153732E-2</v>
      </c>
      <c r="T166" s="22">
        <f>Table1[[#This Row],[Sales]]/Table1[[#This Row],[USD_Spend]]</f>
        <v>9.1788300021160758</v>
      </c>
      <c r="U166" s="1" t="str">
        <f>Outlier_Check!C176</f>
        <v>Normal</v>
      </c>
    </row>
    <row r="167" spans="1:21" x14ac:dyDescent="0.35">
      <c r="A167" s="3" t="s">
        <v>95</v>
      </c>
      <c r="B167" s="1" t="s">
        <v>28</v>
      </c>
      <c r="C167" s="1" t="s">
        <v>29</v>
      </c>
      <c r="D167" s="1" t="s">
        <v>37</v>
      </c>
      <c r="E167" s="1" t="s">
        <v>38</v>
      </c>
      <c r="F167" s="1" t="s">
        <v>49</v>
      </c>
      <c r="G167" s="2">
        <v>45060</v>
      </c>
      <c r="H167" s="2">
        <v>45079</v>
      </c>
      <c r="I167" s="1">
        <v>45918.16</v>
      </c>
      <c r="J167" s="1">
        <v>0.46879999999999999</v>
      </c>
      <c r="K167" s="1">
        <v>21526.43</v>
      </c>
      <c r="L167" s="1">
        <v>484409</v>
      </c>
      <c r="M167" s="1">
        <v>40763</v>
      </c>
      <c r="N167" s="1">
        <v>130798.69</v>
      </c>
      <c r="O167" s="1">
        <v>2023</v>
      </c>
      <c r="P167" s="1" t="s">
        <v>45</v>
      </c>
      <c r="Q167" s="1" t="s">
        <v>46</v>
      </c>
      <c r="R167" s="4" t="s">
        <v>61</v>
      </c>
      <c r="S167" s="25">
        <f>Table1[[#This Row],[Clicks]]/Table1[[#This Row],[Impressions]]</f>
        <v>8.4149964183159273E-2</v>
      </c>
      <c r="T167" s="22">
        <f>Table1[[#This Row],[Sales]]/Table1[[#This Row],[USD_Spend]]</f>
        <v>6.0761905248571173</v>
      </c>
      <c r="U167" s="1" t="str">
        <f>Outlier_Check!C177</f>
        <v>Normal</v>
      </c>
    </row>
    <row r="168" spans="1:21" x14ac:dyDescent="0.35">
      <c r="A168" s="3" t="s">
        <v>111</v>
      </c>
      <c r="B168" s="1" t="s">
        <v>28</v>
      </c>
      <c r="C168" s="1" t="s">
        <v>29</v>
      </c>
      <c r="D168" s="1" t="s">
        <v>43</v>
      </c>
      <c r="E168" s="1" t="s">
        <v>22</v>
      </c>
      <c r="F168" s="1" t="s">
        <v>31</v>
      </c>
      <c r="G168" s="2">
        <v>45061</v>
      </c>
      <c r="H168" s="2">
        <v>45084</v>
      </c>
      <c r="I168" s="1">
        <v>36426.76</v>
      </c>
      <c r="J168" s="1">
        <v>0.47449999999999998</v>
      </c>
      <c r="K168" s="1">
        <v>17284.5</v>
      </c>
      <c r="L168" s="1">
        <v>447110</v>
      </c>
      <c r="M168" s="1">
        <v>44212</v>
      </c>
      <c r="N168" s="1">
        <v>164862.54999999999</v>
      </c>
      <c r="O168" s="1">
        <v>2023</v>
      </c>
      <c r="P168" s="1" t="s">
        <v>45</v>
      </c>
      <c r="Q168" s="1" t="s">
        <v>46</v>
      </c>
      <c r="R168" s="4" t="s">
        <v>26</v>
      </c>
      <c r="S168" s="25">
        <f>Table1[[#This Row],[Clicks]]/Table1[[#This Row],[Impressions]]</f>
        <v>9.8883943548567471E-2</v>
      </c>
      <c r="T168" s="22">
        <f>Table1[[#This Row],[Sales]]/Table1[[#This Row],[USD_Spend]]</f>
        <v>9.5381729295033111</v>
      </c>
      <c r="U168" s="1" t="str">
        <f>Outlier_Check!C178</f>
        <v>Normal</v>
      </c>
    </row>
    <row r="169" spans="1:21" x14ac:dyDescent="0.35">
      <c r="A169" s="3" t="s">
        <v>120</v>
      </c>
      <c r="B169" s="1" t="s">
        <v>48</v>
      </c>
      <c r="C169" s="1" t="s">
        <v>36</v>
      </c>
      <c r="D169" s="1" t="s">
        <v>51</v>
      </c>
      <c r="E169" s="1" t="s">
        <v>38</v>
      </c>
      <c r="F169" s="1" t="s">
        <v>49</v>
      </c>
      <c r="G169" s="2">
        <v>45061</v>
      </c>
      <c r="H169" s="2">
        <v>45073</v>
      </c>
      <c r="I169" s="1">
        <v>47926.25</v>
      </c>
      <c r="J169" s="1">
        <v>0.95330000000000004</v>
      </c>
      <c r="K169" s="1">
        <v>45688.09</v>
      </c>
      <c r="L169" s="1">
        <v>142250</v>
      </c>
      <c r="M169" s="1">
        <v>10293</v>
      </c>
      <c r="N169" s="1">
        <v>89309.53</v>
      </c>
      <c r="O169" s="1">
        <v>2023</v>
      </c>
      <c r="P169" s="1" t="s">
        <v>45</v>
      </c>
      <c r="Q169" s="1" t="s">
        <v>46</v>
      </c>
      <c r="R169" s="4" t="s">
        <v>26</v>
      </c>
      <c r="S169" s="25">
        <f>Table1[[#This Row],[Clicks]]/Table1[[#This Row],[Impressions]]</f>
        <v>7.2358523725834803E-2</v>
      </c>
      <c r="T169" s="22">
        <f>Table1[[#This Row],[Sales]]/Table1[[#This Row],[USD_Spend]]</f>
        <v>1.9547661108179397</v>
      </c>
      <c r="U169" s="1" t="str">
        <f>Outlier_Check!C179</f>
        <v>Normal</v>
      </c>
    </row>
    <row r="170" spans="1:21" x14ac:dyDescent="0.35">
      <c r="A170" s="3" t="s">
        <v>110</v>
      </c>
      <c r="B170" s="1" t="s">
        <v>48</v>
      </c>
      <c r="C170" s="1" t="s">
        <v>58</v>
      </c>
      <c r="D170" s="1" t="s">
        <v>63</v>
      </c>
      <c r="E170" s="1" t="s">
        <v>22</v>
      </c>
      <c r="F170" s="1" t="s">
        <v>31</v>
      </c>
      <c r="G170" s="2">
        <v>45062</v>
      </c>
      <c r="H170" s="2">
        <v>45106</v>
      </c>
      <c r="I170" s="1">
        <v>14767.62</v>
      </c>
      <c r="J170" s="1">
        <v>1.0308999999999999</v>
      </c>
      <c r="K170" s="1">
        <v>15223.94</v>
      </c>
      <c r="L170" s="1">
        <v>24892</v>
      </c>
      <c r="M170" s="1">
        <v>48690</v>
      </c>
      <c r="N170" s="1">
        <v>32329.599999999999</v>
      </c>
      <c r="O170" s="1">
        <v>2023</v>
      </c>
      <c r="P170" s="1" t="s">
        <v>45</v>
      </c>
      <c r="Q170" s="1" t="s">
        <v>46</v>
      </c>
      <c r="R170" s="4" t="s">
        <v>61</v>
      </c>
      <c r="S170" s="25">
        <f>Table1[[#This Row],[Clicks]]/Table1[[#This Row],[Impressions]]</f>
        <v>1.9560501365900691</v>
      </c>
      <c r="T170" s="22">
        <f>Table1[[#This Row],[Sales]]/Table1[[#This Row],[USD_Spend]]</f>
        <v>2.1236026941777224</v>
      </c>
      <c r="U170" s="1" t="str">
        <f>Outlier_Check!C180</f>
        <v>Normal</v>
      </c>
    </row>
    <row r="171" spans="1:21" x14ac:dyDescent="0.35">
      <c r="A171" s="3" t="s">
        <v>79</v>
      </c>
      <c r="B171" s="1" t="s">
        <v>19</v>
      </c>
      <c r="C171" s="1" t="s">
        <v>58</v>
      </c>
      <c r="D171" s="1" t="s">
        <v>63</v>
      </c>
      <c r="E171" s="1" t="s">
        <v>22</v>
      </c>
      <c r="F171" s="1" t="s">
        <v>52</v>
      </c>
      <c r="G171" s="2">
        <v>45062</v>
      </c>
      <c r="H171" s="2">
        <v>45099</v>
      </c>
      <c r="I171" s="1">
        <v>21355.8</v>
      </c>
      <c r="J171" s="1">
        <v>0.68110000000000004</v>
      </c>
      <c r="K171" s="1">
        <v>14545.44</v>
      </c>
      <c r="L171" s="1">
        <v>595941</v>
      </c>
      <c r="M171" s="1">
        <v>30402</v>
      </c>
      <c r="N171" s="1">
        <v>169828.09</v>
      </c>
      <c r="O171" s="1">
        <v>2023</v>
      </c>
      <c r="P171" s="1" t="s">
        <v>45</v>
      </c>
      <c r="Q171" s="1" t="s">
        <v>46</v>
      </c>
      <c r="R171" s="4" t="s">
        <v>26</v>
      </c>
      <c r="S171" s="25">
        <f>Table1[[#This Row],[Clicks]]/Table1[[#This Row],[Impressions]]</f>
        <v>5.1015117268320184E-2</v>
      </c>
      <c r="T171" s="22">
        <f>Table1[[#This Row],[Sales]]/Table1[[#This Row],[USD_Spend]]</f>
        <v>11.675692863192863</v>
      </c>
      <c r="U171" s="1" t="str">
        <f>Outlier_Check!C181</f>
        <v>Normal</v>
      </c>
    </row>
    <row r="172" spans="1:21" x14ac:dyDescent="0.35">
      <c r="A172" s="3" t="s">
        <v>79</v>
      </c>
      <c r="B172" s="1" t="s">
        <v>48</v>
      </c>
      <c r="C172" s="1" t="s">
        <v>58</v>
      </c>
      <c r="D172" s="1" t="s">
        <v>43</v>
      </c>
      <c r="E172" s="1" t="s">
        <v>30</v>
      </c>
      <c r="F172" s="1" t="s">
        <v>44</v>
      </c>
      <c r="G172" s="2">
        <v>45062</v>
      </c>
      <c r="H172" s="2">
        <v>45089</v>
      </c>
      <c r="I172" s="1">
        <v>15493.73</v>
      </c>
      <c r="J172" s="1">
        <v>0.78069999999999995</v>
      </c>
      <c r="K172" s="1">
        <v>12095.96</v>
      </c>
      <c r="L172" s="1">
        <v>105136</v>
      </c>
      <c r="M172" s="1">
        <v>1143</v>
      </c>
      <c r="N172" s="1">
        <v>122546.82</v>
      </c>
      <c r="O172" s="1">
        <v>2023</v>
      </c>
      <c r="P172" s="1" t="s">
        <v>45</v>
      </c>
      <c r="Q172" s="1" t="s">
        <v>46</v>
      </c>
      <c r="R172" s="4" t="s">
        <v>26</v>
      </c>
      <c r="S172" s="25">
        <f>Table1[[#This Row],[Clicks]]/Table1[[#This Row],[Impressions]]</f>
        <v>1.0871632932582559E-2</v>
      </c>
      <c r="T172" s="22">
        <f>Table1[[#This Row],[Sales]]/Table1[[#This Row],[USD_Spend]]</f>
        <v>10.131219018581412</v>
      </c>
      <c r="U172" s="1" t="str">
        <f>Outlier_Check!C182</f>
        <v>Normal</v>
      </c>
    </row>
    <row r="173" spans="1:21" x14ac:dyDescent="0.35">
      <c r="A173" s="3" t="s">
        <v>78</v>
      </c>
      <c r="B173" s="1" t="s">
        <v>28</v>
      </c>
      <c r="C173" s="1" t="s">
        <v>20</v>
      </c>
      <c r="D173" s="1" t="s">
        <v>21</v>
      </c>
      <c r="E173" s="1" t="s">
        <v>30</v>
      </c>
      <c r="F173" s="1" t="s">
        <v>52</v>
      </c>
      <c r="G173" s="2">
        <v>45062</v>
      </c>
      <c r="H173" s="2">
        <v>45088</v>
      </c>
      <c r="I173" s="1">
        <v>5044.71</v>
      </c>
      <c r="J173" s="1">
        <v>0.69</v>
      </c>
      <c r="K173" s="1">
        <v>3480.85</v>
      </c>
      <c r="L173" s="1">
        <v>61706</v>
      </c>
      <c r="M173" s="1">
        <v>36023</v>
      </c>
      <c r="N173" s="1">
        <v>102801.87</v>
      </c>
      <c r="O173" s="1">
        <v>2023</v>
      </c>
      <c r="P173" s="1" t="s">
        <v>45</v>
      </c>
      <c r="Q173" s="1" t="s">
        <v>46</v>
      </c>
      <c r="R173" s="4" t="s">
        <v>61</v>
      </c>
      <c r="S173" s="25">
        <f>Table1[[#This Row],[Clicks]]/Table1[[#This Row],[Impressions]]</f>
        <v>0.58378439697922402</v>
      </c>
      <c r="T173" s="22">
        <f>Table1[[#This Row],[Sales]]/Table1[[#This Row],[USD_Spend]]</f>
        <v>29.533553586049383</v>
      </c>
      <c r="U173" s="1" t="str">
        <f>Outlier_Check!C183</f>
        <v>Normal</v>
      </c>
    </row>
    <row r="174" spans="1:21" x14ac:dyDescent="0.35">
      <c r="A174" s="3" t="s">
        <v>70</v>
      </c>
      <c r="B174" s="1" t="s">
        <v>48</v>
      </c>
      <c r="C174" s="1" t="s">
        <v>58</v>
      </c>
      <c r="D174" s="1" t="s">
        <v>63</v>
      </c>
      <c r="E174" s="1" t="s">
        <v>30</v>
      </c>
      <c r="F174" s="1" t="s">
        <v>31</v>
      </c>
      <c r="G174" s="2">
        <v>45062</v>
      </c>
      <c r="H174" s="2">
        <v>45072</v>
      </c>
      <c r="I174" s="1">
        <v>16548.55</v>
      </c>
      <c r="J174" s="1">
        <v>0.64119999999999999</v>
      </c>
      <c r="K174" s="1">
        <v>10610.93</v>
      </c>
      <c r="L174" s="1">
        <v>158683</v>
      </c>
      <c r="M174" s="1">
        <v>17165</v>
      </c>
      <c r="N174" s="1">
        <v>33626.300000000003</v>
      </c>
      <c r="O174" s="1">
        <v>2023</v>
      </c>
      <c r="P174" s="1" t="s">
        <v>45</v>
      </c>
      <c r="Q174" s="1" t="s">
        <v>46</v>
      </c>
      <c r="R174" s="4" t="s">
        <v>54</v>
      </c>
      <c r="S174" s="25">
        <f>Table1[[#This Row],[Clicks]]/Table1[[#This Row],[Impressions]]</f>
        <v>0.10817163779358847</v>
      </c>
      <c r="T174" s="22">
        <f>Table1[[#This Row],[Sales]]/Table1[[#This Row],[USD_Spend]]</f>
        <v>3.1690247697421436</v>
      </c>
      <c r="U174" s="1" t="str">
        <f>Outlier_Check!C184</f>
        <v>Normal</v>
      </c>
    </row>
    <row r="175" spans="1:21" x14ac:dyDescent="0.35">
      <c r="A175" s="3" t="s">
        <v>97</v>
      </c>
      <c r="B175" s="1" t="s">
        <v>48</v>
      </c>
      <c r="C175" s="1" t="s">
        <v>29</v>
      </c>
      <c r="D175" s="1" t="s">
        <v>51</v>
      </c>
      <c r="E175" s="1" t="s">
        <v>22</v>
      </c>
      <c r="F175" s="1" t="s">
        <v>49</v>
      </c>
      <c r="G175" s="2">
        <v>45063</v>
      </c>
      <c r="H175" s="2">
        <v>45108</v>
      </c>
      <c r="I175" s="1">
        <v>29115.200000000001</v>
      </c>
      <c r="J175" s="1">
        <v>0.2477</v>
      </c>
      <c r="K175" s="1">
        <v>7211.84</v>
      </c>
      <c r="L175" s="1">
        <v>274760</v>
      </c>
      <c r="M175" s="1">
        <v>32284</v>
      </c>
      <c r="N175" s="1">
        <v>112191.14</v>
      </c>
      <c r="O175" s="1">
        <v>2023</v>
      </c>
      <c r="P175" s="1" t="s">
        <v>45</v>
      </c>
      <c r="Q175" s="1" t="s">
        <v>46</v>
      </c>
      <c r="R175" s="4" t="s">
        <v>61</v>
      </c>
      <c r="S175" s="25">
        <f>Table1[[#This Row],[Clicks]]/Table1[[#This Row],[Impressions]]</f>
        <v>0.11749890813801135</v>
      </c>
      <c r="T175" s="22">
        <f>Table1[[#This Row],[Sales]]/Table1[[#This Row],[USD_Spend]]</f>
        <v>15.556520943337622</v>
      </c>
      <c r="U175" s="1" t="str">
        <f>Outlier_Check!C185</f>
        <v>Normal</v>
      </c>
    </row>
    <row r="176" spans="1:21" x14ac:dyDescent="0.35">
      <c r="A176" s="3" t="s">
        <v>120</v>
      </c>
      <c r="B176" s="1" t="s">
        <v>35</v>
      </c>
      <c r="C176" s="1" t="s">
        <v>20</v>
      </c>
      <c r="D176" s="1" t="s">
        <v>63</v>
      </c>
      <c r="E176" s="1" t="s">
        <v>38</v>
      </c>
      <c r="F176" s="1" t="s">
        <v>23</v>
      </c>
      <c r="G176" s="2">
        <v>45063</v>
      </c>
      <c r="H176" s="2">
        <v>45085</v>
      </c>
      <c r="I176" s="1">
        <v>43795.76</v>
      </c>
      <c r="J176" s="1">
        <v>7.1300000000000002E-2</v>
      </c>
      <c r="K176" s="1">
        <v>3122.64</v>
      </c>
      <c r="L176" s="1">
        <v>271103</v>
      </c>
      <c r="M176" s="1">
        <v>13860</v>
      </c>
      <c r="N176" s="1">
        <v>135975.76</v>
      </c>
      <c r="O176" s="1">
        <v>2023</v>
      </c>
      <c r="P176" s="1" t="s">
        <v>45</v>
      </c>
      <c r="Q176" s="1" t="s">
        <v>46</v>
      </c>
      <c r="R176" s="4" t="s">
        <v>41</v>
      </c>
      <c r="S176" s="25">
        <f>Table1[[#This Row],[Clicks]]/Table1[[#This Row],[Impressions]]</f>
        <v>5.1124480363551862E-2</v>
      </c>
      <c r="T176" s="22">
        <f>Table1[[#This Row],[Sales]]/Table1[[#This Row],[USD_Spend]]</f>
        <v>43.545128481028875</v>
      </c>
      <c r="U176" s="1" t="str">
        <f>Outlier_Check!C186</f>
        <v>Normal</v>
      </c>
    </row>
    <row r="177" spans="1:21" x14ac:dyDescent="0.35">
      <c r="A177" s="3" t="s">
        <v>115</v>
      </c>
      <c r="B177" s="1" t="s">
        <v>28</v>
      </c>
      <c r="C177" s="1" t="s">
        <v>69</v>
      </c>
      <c r="D177" s="1" t="s">
        <v>51</v>
      </c>
      <c r="E177" s="1" t="s">
        <v>22</v>
      </c>
      <c r="F177" s="1" t="s">
        <v>23</v>
      </c>
      <c r="G177" s="2">
        <v>45064</v>
      </c>
      <c r="H177" s="2">
        <v>45123</v>
      </c>
      <c r="I177" s="1">
        <v>25706.42</v>
      </c>
      <c r="J177" s="1">
        <v>0.3347</v>
      </c>
      <c r="K177" s="1">
        <v>8603.94</v>
      </c>
      <c r="L177" s="1">
        <v>858102</v>
      </c>
      <c r="M177" s="1">
        <v>7482</v>
      </c>
      <c r="N177" s="1">
        <v>86017.600000000006</v>
      </c>
      <c r="O177" s="1">
        <v>2023</v>
      </c>
      <c r="P177" s="1" t="s">
        <v>45</v>
      </c>
      <c r="Q177" s="1" t="s">
        <v>46</v>
      </c>
      <c r="R177" s="4" t="s">
        <v>41</v>
      </c>
      <c r="S177" s="25">
        <f>Table1[[#This Row],[Clicks]]/Table1[[#This Row],[Impressions]]</f>
        <v>8.7192431668962431E-3</v>
      </c>
      <c r="T177" s="22">
        <f>Table1[[#This Row],[Sales]]/Table1[[#This Row],[USD_Spend]]</f>
        <v>9.9974662770777112</v>
      </c>
      <c r="U177" s="1" t="str">
        <f>Outlier_Check!C187</f>
        <v>Normal</v>
      </c>
    </row>
    <row r="178" spans="1:21" x14ac:dyDescent="0.35">
      <c r="A178" s="3" t="s">
        <v>91</v>
      </c>
      <c r="B178" s="1" t="s">
        <v>35</v>
      </c>
      <c r="C178" s="1" t="s">
        <v>58</v>
      </c>
      <c r="D178" s="1" t="s">
        <v>21</v>
      </c>
      <c r="E178" s="1" t="s">
        <v>38</v>
      </c>
      <c r="F178" s="1" t="s">
        <v>49</v>
      </c>
      <c r="G178" s="2">
        <v>45064</v>
      </c>
      <c r="H178" s="2">
        <v>45117</v>
      </c>
      <c r="I178" s="1">
        <v>5117.38</v>
      </c>
      <c r="J178" s="1">
        <v>0.53900000000000003</v>
      </c>
      <c r="K178" s="1">
        <v>2758.27</v>
      </c>
      <c r="L178" s="1">
        <v>378653</v>
      </c>
      <c r="M178" s="1">
        <v>15184</v>
      </c>
      <c r="N178" s="1">
        <v>148070.75</v>
      </c>
      <c r="O178" s="1">
        <v>2023</v>
      </c>
      <c r="P178" s="1" t="s">
        <v>45</v>
      </c>
      <c r="Q178" s="1" t="s">
        <v>46</v>
      </c>
      <c r="R178" s="4" t="s">
        <v>54</v>
      </c>
      <c r="S178" s="25">
        <f>Table1[[#This Row],[Clicks]]/Table1[[#This Row],[Impressions]]</f>
        <v>4.0100038821823676E-2</v>
      </c>
      <c r="T178" s="22">
        <f>Table1[[#This Row],[Sales]]/Table1[[#This Row],[USD_Spend]]</f>
        <v>53.682471259158824</v>
      </c>
      <c r="U178" s="1" t="str">
        <f>Outlier_Check!C188</f>
        <v>Normal</v>
      </c>
    </row>
    <row r="179" spans="1:21" x14ac:dyDescent="0.35">
      <c r="A179" s="3" t="s">
        <v>115</v>
      </c>
      <c r="B179" s="1" t="s">
        <v>19</v>
      </c>
      <c r="C179" s="1" t="s">
        <v>58</v>
      </c>
      <c r="D179" s="1" t="s">
        <v>43</v>
      </c>
      <c r="E179" s="1" t="s">
        <v>30</v>
      </c>
      <c r="F179" s="1" t="s">
        <v>52</v>
      </c>
      <c r="G179" s="2">
        <v>45066</v>
      </c>
      <c r="H179" s="2">
        <v>45085</v>
      </c>
      <c r="I179" s="1">
        <v>44857.56</v>
      </c>
      <c r="J179" s="1">
        <v>0.7712</v>
      </c>
      <c r="K179" s="1">
        <v>34594.15</v>
      </c>
      <c r="L179" s="1">
        <v>172293</v>
      </c>
      <c r="M179" s="1">
        <v>19819</v>
      </c>
      <c r="N179" s="1">
        <v>158918.67000000001</v>
      </c>
      <c r="O179" s="1">
        <v>2023</v>
      </c>
      <c r="P179" s="1" t="s">
        <v>45</v>
      </c>
      <c r="Q179" s="1" t="s">
        <v>46</v>
      </c>
      <c r="R179" s="4" t="s">
        <v>26</v>
      </c>
      <c r="S179" s="25">
        <f>Table1[[#This Row],[Clicks]]/Table1[[#This Row],[Impressions]]</f>
        <v>0.11503079057187465</v>
      </c>
      <c r="T179" s="22">
        <f>Table1[[#This Row],[Sales]]/Table1[[#This Row],[USD_Spend]]</f>
        <v>4.5938018422189879</v>
      </c>
      <c r="U179" s="1" t="str">
        <f>Outlier_Check!C189</f>
        <v>Normal</v>
      </c>
    </row>
    <row r="180" spans="1:21" x14ac:dyDescent="0.35">
      <c r="A180" s="3" t="s">
        <v>110</v>
      </c>
      <c r="B180" s="1" t="s">
        <v>35</v>
      </c>
      <c r="C180" s="1" t="s">
        <v>29</v>
      </c>
      <c r="D180" s="1" t="s">
        <v>51</v>
      </c>
      <c r="E180" s="1" t="s">
        <v>30</v>
      </c>
      <c r="F180" s="1" t="s">
        <v>52</v>
      </c>
      <c r="G180" s="2">
        <v>45066</v>
      </c>
      <c r="H180" s="2">
        <v>45081</v>
      </c>
      <c r="I180" s="1">
        <v>36885.25</v>
      </c>
      <c r="J180" s="1">
        <v>0.52990000000000004</v>
      </c>
      <c r="K180" s="1">
        <v>19545.490000000002</v>
      </c>
      <c r="L180" s="1">
        <v>680318</v>
      </c>
      <c r="M180" s="1">
        <v>32029</v>
      </c>
      <c r="N180" s="1">
        <v>164049.17000000001</v>
      </c>
      <c r="O180" s="1">
        <v>2023</v>
      </c>
      <c r="P180" s="1" t="s">
        <v>45</v>
      </c>
      <c r="Q180" s="1" t="s">
        <v>46</v>
      </c>
      <c r="R180" s="4" t="s">
        <v>54</v>
      </c>
      <c r="S180" s="25">
        <f>Table1[[#This Row],[Clicks]]/Table1[[#This Row],[Impressions]]</f>
        <v>4.7079454020031809E-2</v>
      </c>
      <c r="T180" s="22">
        <f>Table1[[#This Row],[Sales]]/Table1[[#This Row],[USD_Spend]]</f>
        <v>8.3931981239661937</v>
      </c>
      <c r="U180" s="1" t="str">
        <f>Outlier_Check!C190</f>
        <v>Normal</v>
      </c>
    </row>
    <row r="181" spans="1:21" x14ac:dyDescent="0.35">
      <c r="A181" s="3" t="s">
        <v>91</v>
      </c>
      <c r="B181" s="1" t="s">
        <v>35</v>
      </c>
      <c r="C181" s="1" t="s">
        <v>36</v>
      </c>
      <c r="D181" s="1" t="s">
        <v>43</v>
      </c>
      <c r="E181" s="1" t="s">
        <v>30</v>
      </c>
      <c r="F181" s="1" t="s">
        <v>44</v>
      </c>
      <c r="G181" s="2">
        <v>45067</v>
      </c>
      <c r="H181" s="2">
        <v>45125</v>
      </c>
      <c r="I181" s="1">
        <v>31904.38</v>
      </c>
      <c r="J181" s="1">
        <v>9.0899999999999995E-2</v>
      </c>
      <c r="K181" s="1">
        <v>2900.11</v>
      </c>
      <c r="L181" s="1">
        <v>168366</v>
      </c>
      <c r="M181" s="1">
        <v>699</v>
      </c>
      <c r="N181" s="1">
        <v>58586.32</v>
      </c>
      <c r="O181" s="1">
        <v>2023</v>
      </c>
      <c r="P181" s="1" t="s">
        <v>45</v>
      </c>
      <c r="Q181" s="1" t="s">
        <v>46</v>
      </c>
      <c r="R181" s="4" t="s">
        <v>54</v>
      </c>
      <c r="S181" s="25">
        <f>Table1[[#This Row],[Clicks]]/Table1[[#This Row],[Impressions]]</f>
        <v>4.1516695769929796E-3</v>
      </c>
      <c r="T181" s="22">
        <f>Table1[[#This Row],[Sales]]/Table1[[#This Row],[USD_Spend]]</f>
        <v>20.201413049849833</v>
      </c>
      <c r="U181" s="1" t="str">
        <f>Outlier_Check!C191</f>
        <v>Normal</v>
      </c>
    </row>
    <row r="182" spans="1:21" x14ac:dyDescent="0.35">
      <c r="A182" s="3" t="s">
        <v>27</v>
      </c>
      <c r="B182" s="1" t="s">
        <v>28</v>
      </c>
      <c r="C182" s="1" t="s">
        <v>20</v>
      </c>
      <c r="D182" s="1" t="s">
        <v>43</v>
      </c>
      <c r="E182" s="1" t="s">
        <v>22</v>
      </c>
      <c r="F182" s="1" t="s">
        <v>49</v>
      </c>
      <c r="G182" s="2">
        <v>45068</v>
      </c>
      <c r="H182" s="2">
        <v>45124</v>
      </c>
      <c r="I182" s="1">
        <v>47257.48</v>
      </c>
      <c r="J182" s="1">
        <v>1.1067</v>
      </c>
      <c r="K182" s="1">
        <v>52299.85</v>
      </c>
      <c r="L182" s="1">
        <v>411798</v>
      </c>
      <c r="M182" s="1">
        <v>27537</v>
      </c>
      <c r="N182" s="1">
        <v>139588.12</v>
      </c>
      <c r="O182" s="1">
        <v>2023</v>
      </c>
      <c r="P182" s="1" t="s">
        <v>45</v>
      </c>
      <c r="Q182" s="1" t="s">
        <v>46</v>
      </c>
      <c r="R182" s="4" t="s">
        <v>26</v>
      </c>
      <c r="S182" s="25">
        <f>Table1[[#This Row],[Clicks]]/Table1[[#This Row],[Impressions]]</f>
        <v>6.6870164498127729E-2</v>
      </c>
      <c r="T182" s="22">
        <f>Table1[[#This Row],[Sales]]/Table1[[#This Row],[USD_Spend]]</f>
        <v>2.6689965649997083</v>
      </c>
      <c r="U182" s="1" t="str">
        <f>Outlier_Check!C192</f>
        <v>Normal</v>
      </c>
    </row>
    <row r="183" spans="1:21" x14ac:dyDescent="0.35">
      <c r="A183" s="3" t="s">
        <v>119</v>
      </c>
      <c r="B183" s="1" t="s">
        <v>35</v>
      </c>
      <c r="C183" s="1" t="s">
        <v>36</v>
      </c>
      <c r="D183" s="1" t="s">
        <v>63</v>
      </c>
      <c r="E183" s="1" t="s">
        <v>22</v>
      </c>
      <c r="F183" s="1" t="s">
        <v>44</v>
      </c>
      <c r="G183" s="2">
        <v>45069</v>
      </c>
      <c r="H183" s="2">
        <v>45117</v>
      </c>
      <c r="I183" s="1">
        <v>27997.040000000001</v>
      </c>
      <c r="J183" s="1">
        <v>0.37659999999999999</v>
      </c>
      <c r="K183" s="1">
        <v>10543.69</v>
      </c>
      <c r="L183" s="1">
        <v>431139</v>
      </c>
      <c r="M183" s="1">
        <v>40569</v>
      </c>
      <c r="N183" s="1">
        <v>211014.84</v>
      </c>
      <c r="O183" s="1">
        <v>2023</v>
      </c>
      <c r="P183" s="1" t="s">
        <v>45</v>
      </c>
      <c r="Q183" s="1" t="s">
        <v>46</v>
      </c>
      <c r="R183" s="4" t="s">
        <v>61</v>
      </c>
      <c r="S183" s="25">
        <f>Table1[[#This Row],[Clicks]]/Table1[[#This Row],[Impressions]]</f>
        <v>9.409726329559609E-2</v>
      </c>
      <c r="T183" s="22">
        <f>Table1[[#This Row],[Sales]]/Table1[[#This Row],[USD_Spend]]</f>
        <v>20.013376721053064</v>
      </c>
      <c r="U183" s="1" t="str">
        <f>Outlier_Check!C193</f>
        <v>Normal</v>
      </c>
    </row>
    <row r="184" spans="1:21" x14ac:dyDescent="0.35">
      <c r="A184" s="3" t="s">
        <v>97</v>
      </c>
      <c r="B184" s="1" t="s">
        <v>35</v>
      </c>
      <c r="C184" s="1" t="s">
        <v>20</v>
      </c>
      <c r="D184" s="1" t="s">
        <v>63</v>
      </c>
      <c r="E184" s="1" t="s">
        <v>30</v>
      </c>
      <c r="F184" s="1" t="s">
        <v>31</v>
      </c>
      <c r="G184" s="2">
        <v>45070</v>
      </c>
      <c r="H184" s="2">
        <v>45122</v>
      </c>
      <c r="I184" s="1">
        <v>43836.54</v>
      </c>
      <c r="J184" s="1">
        <v>0.50760000000000005</v>
      </c>
      <c r="K184" s="1">
        <v>22251.43</v>
      </c>
      <c r="L184" s="1">
        <v>19708</v>
      </c>
      <c r="M184" s="1">
        <v>19547</v>
      </c>
      <c r="N184" s="1">
        <v>33807.9</v>
      </c>
      <c r="O184" s="1">
        <v>2023</v>
      </c>
      <c r="P184" s="1" t="s">
        <v>45</v>
      </c>
      <c r="Q184" s="1" t="s">
        <v>46</v>
      </c>
      <c r="R184" s="4" t="s">
        <v>61</v>
      </c>
      <c r="S184" s="25">
        <f>Table1[[#This Row],[Clicks]]/Table1[[#This Row],[Impressions]]</f>
        <v>0.9918307286381165</v>
      </c>
      <c r="T184" s="22">
        <f>Table1[[#This Row],[Sales]]/Table1[[#This Row],[USD_Spend]]</f>
        <v>1.5193585311146296</v>
      </c>
      <c r="U184" s="1" t="str">
        <f>Outlier_Check!C194</f>
        <v>Normal</v>
      </c>
    </row>
    <row r="185" spans="1:21" x14ac:dyDescent="0.35">
      <c r="A185" s="3" t="s">
        <v>92</v>
      </c>
      <c r="B185" s="1" t="s">
        <v>19</v>
      </c>
      <c r="C185" s="1" t="s">
        <v>36</v>
      </c>
      <c r="D185" s="1" t="s">
        <v>51</v>
      </c>
      <c r="E185" s="1" t="s">
        <v>22</v>
      </c>
      <c r="F185" s="1" t="s">
        <v>23</v>
      </c>
      <c r="G185" s="2">
        <v>45070</v>
      </c>
      <c r="H185" s="2">
        <v>45121</v>
      </c>
      <c r="I185" s="1">
        <v>27780.77</v>
      </c>
      <c r="J185" s="1">
        <v>0.22900000000000001</v>
      </c>
      <c r="K185" s="1">
        <v>6361.8</v>
      </c>
      <c r="L185" s="1">
        <v>942566</v>
      </c>
      <c r="M185" s="1">
        <v>35629</v>
      </c>
      <c r="N185" s="1">
        <v>247629.27</v>
      </c>
      <c r="O185" s="1">
        <v>2023</v>
      </c>
      <c r="P185" s="1" t="s">
        <v>45</v>
      </c>
      <c r="Q185" s="1" t="s">
        <v>46</v>
      </c>
      <c r="R185" s="4" t="s">
        <v>54</v>
      </c>
      <c r="S185" s="25">
        <f>Table1[[#This Row],[Clicks]]/Table1[[#This Row],[Impressions]]</f>
        <v>3.7800005516855056E-2</v>
      </c>
      <c r="T185" s="22">
        <f>Table1[[#This Row],[Sales]]/Table1[[#This Row],[USD_Spend]]</f>
        <v>38.924403470715831</v>
      </c>
      <c r="U185" s="1" t="str">
        <f>Outlier_Check!C195</f>
        <v>Normal</v>
      </c>
    </row>
    <row r="186" spans="1:21" x14ac:dyDescent="0.35">
      <c r="A186" s="3" t="s">
        <v>77</v>
      </c>
      <c r="B186" s="1" t="s">
        <v>48</v>
      </c>
      <c r="C186" s="1" t="s">
        <v>36</v>
      </c>
      <c r="D186" s="1" t="s">
        <v>51</v>
      </c>
      <c r="E186" s="1" t="s">
        <v>22</v>
      </c>
      <c r="F186" s="1" t="s">
        <v>52</v>
      </c>
      <c r="G186" s="2">
        <v>45070</v>
      </c>
      <c r="H186" s="2">
        <v>45111</v>
      </c>
      <c r="I186" s="1">
        <v>25031.7</v>
      </c>
      <c r="J186" s="1">
        <v>0.38240000000000002</v>
      </c>
      <c r="K186" s="1">
        <v>9572.1200000000008</v>
      </c>
      <c r="L186" s="1">
        <v>965025</v>
      </c>
      <c r="M186" s="1">
        <v>23176</v>
      </c>
      <c r="N186" s="1">
        <v>153512.17000000001</v>
      </c>
      <c r="O186" s="1">
        <v>2023</v>
      </c>
      <c r="P186" s="1" t="s">
        <v>45</v>
      </c>
      <c r="Q186" s="1" t="s">
        <v>46</v>
      </c>
      <c r="R186" s="4" t="s">
        <v>26</v>
      </c>
      <c r="S186" s="25">
        <f>Table1[[#This Row],[Clicks]]/Table1[[#This Row],[Impressions]]</f>
        <v>2.4015958135799591E-2</v>
      </c>
      <c r="T186" s="22">
        <f>Table1[[#This Row],[Sales]]/Table1[[#This Row],[USD_Spend]]</f>
        <v>16.037426400839102</v>
      </c>
      <c r="U186" s="1" t="str">
        <f>Outlier_Check!C196</f>
        <v>Normal</v>
      </c>
    </row>
    <row r="187" spans="1:21" x14ac:dyDescent="0.35">
      <c r="A187" s="3" t="s">
        <v>101</v>
      </c>
      <c r="B187" s="1" t="s">
        <v>35</v>
      </c>
      <c r="C187" s="1" t="s">
        <v>29</v>
      </c>
      <c r="D187" s="1" t="s">
        <v>63</v>
      </c>
      <c r="E187" s="1" t="s">
        <v>22</v>
      </c>
      <c r="F187" s="1" t="s">
        <v>44</v>
      </c>
      <c r="G187" s="2">
        <v>45070</v>
      </c>
      <c r="H187" s="2">
        <v>45107</v>
      </c>
      <c r="I187" s="1">
        <v>49680.69</v>
      </c>
      <c r="J187" s="1">
        <v>0.28870000000000001</v>
      </c>
      <c r="K187" s="1">
        <v>14342.82</v>
      </c>
      <c r="L187" s="1">
        <v>970911</v>
      </c>
      <c r="M187" s="1">
        <v>48040</v>
      </c>
      <c r="N187" s="1">
        <v>146147.03</v>
      </c>
      <c r="O187" s="1">
        <v>2023</v>
      </c>
      <c r="P187" s="1" t="s">
        <v>45</v>
      </c>
      <c r="Q187" s="1" t="s">
        <v>46</v>
      </c>
      <c r="R187" s="4" t="s">
        <v>61</v>
      </c>
      <c r="S187" s="25">
        <f>Table1[[#This Row],[Clicks]]/Table1[[#This Row],[Impressions]]</f>
        <v>4.9479303458298443E-2</v>
      </c>
      <c r="T187" s="22">
        <f>Table1[[#This Row],[Sales]]/Table1[[#This Row],[USD_Spend]]</f>
        <v>10.18956035145111</v>
      </c>
      <c r="U187" s="1" t="str">
        <f>Outlier_Check!C197</f>
        <v>Normal</v>
      </c>
    </row>
    <row r="188" spans="1:21" x14ac:dyDescent="0.35">
      <c r="A188" s="3" t="s">
        <v>50</v>
      </c>
      <c r="B188" s="1" t="s">
        <v>35</v>
      </c>
      <c r="C188" s="1" t="s">
        <v>58</v>
      </c>
      <c r="D188" s="1" t="s">
        <v>21</v>
      </c>
      <c r="E188" s="1" t="s">
        <v>22</v>
      </c>
      <c r="F188" s="1" t="s">
        <v>31</v>
      </c>
      <c r="G188" s="2">
        <v>45071</v>
      </c>
      <c r="H188" s="2">
        <v>45094</v>
      </c>
      <c r="I188" s="1">
        <v>26639.31</v>
      </c>
      <c r="J188" s="1">
        <v>0.25330000000000003</v>
      </c>
      <c r="K188" s="1">
        <v>6747.74</v>
      </c>
      <c r="L188" s="1">
        <v>653825</v>
      </c>
      <c r="M188" s="1">
        <v>46923</v>
      </c>
      <c r="N188" s="1">
        <v>95957.06</v>
      </c>
      <c r="O188" s="1">
        <v>2023</v>
      </c>
      <c r="P188" s="1" t="s">
        <v>45</v>
      </c>
      <c r="Q188" s="1" t="s">
        <v>46</v>
      </c>
      <c r="R188" s="4" t="s">
        <v>61</v>
      </c>
      <c r="S188" s="25">
        <f>Table1[[#This Row],[Clicks]]/Table1[[#This Row],[Impressions]]</f>
        <v>7.1766910105915196E-2</v>
      </c>
      <c r="T188" s="22">
        <f>Table1[[#This Row],[Sales]]/Table1[[#This Row],[USD_Spend]]</f>
        <v>14.220622015667468</v>
      </c>
      <c r="U188" s="1" t="str">
        <f>Outlier_Check!C198</f>
        <v>Normal</v>
      </c>
    </row>
    <row r="189" spans="1:21" x14ac:dyDescent="0.35">
      <c r="A189" s="3" t="s">
        <v>116</v>
      </c>
      <c r="B189" s="1" t="s">
        <v>48</v>
      </c>
      <c r="C189" s="1" t="s">
        <v>58</v>
      </c>
      <c r="D189" s="1" t="s">
        <v>37</v>
      </c>
      <c r="E189" s="1" t="s">
        <v>22</v>
      </c>
      <c r="F189" s="1" t="s">
        <v>44</v>
      </c>
      <c r="G189" s="2">
        <v>45072</v>
      </c>
      <c r="H189" s="2">
        <v>45127</v>
      </c>
      <c r="I189" s="1">
        <v>29891.59</v>
      </c>
      <c r="J189" s="1">
        <v>6.7900000000000002E-2</v>
      </c>
      <c r="K189" s="1">
        <v>2029.64</v>
      </c>
      <c r="L189" s="1">
        <v>947692</v>
      </c>
      <c r="M189" s="1">
        <v>20099</v>
      </c>
      <c r="N189" s="1">
        <v>222819.02</v>
      </c>
      <c r="O189" s="1">
        <v>2023</v>
      </c>
      <c r="P189" s="1" t="s">
        <v>45</v>
      </c>
      <c r="Q189" s="1" t="s">
        <v>46</v>
      </c>
      <c r="R189" s="4" t="s">
        <v>41</v>
      </c>
      <c r="S189" s="25">
        <f>Table1[[#This Row],[Clicks]]/Table1[[#This Row],[Impressions]]</f>
        <v>2.120836727544392E-2</v>
      </c>
      <c r="T189" s="22">
        <f>Table1[[#This Row],[Sales]]/Table1[[#This Row],[USD_Spend]]</f>
        <v>109.78253286297077</v>
      </c>
      <c r="U189" s="1" t="str">
        <f>Outlier_Check!C199</f>
        <v>Normal</v>
      </c>
    </row>
    <row r="190" spans="1:21" x14ac:dyDescent="0.35">
      <c r="A190" s="3" t="s">
        <v>96</v>
      </c>
      <c r="B190" s="1" t="s">
        <v>48</v>
      </c>
      <c r="C190" s="1" t="s">
        <v>69</v>
      </c>
      <c r="D190" s="1" t="s">
        <v>59</v>
      </c>
      <c r="E190" s="1" t="s">
        <v>22</v>
      </c>
      <c r="F190" s="1" t="s">
        <v>23</v>
      </c>
      <c r="G190" s="2">
        <v>45072</v>
      </c>
      <c r="H190" s="2">
        <v>45081</v>
      </c>
      <c r="I190" s="1">
        <v>14421.36</v>
      </c>
      <c r="J190" s="1">
        <v>0.1072</v>
      </c>
      <c r="K190" s="1">
        <v>1545.97</v>
      </c>
      <c r="L190" s="1">
        <v>926220</v>
      </c>
      <c r="M190" s="1">
        <v>46775</v>
      </c>
      <c r="N190" s="1">
        <v>115598.13</v>
      </c>
      <c r="O190" s="1">
        <v>2023</v>
      </c>
      <c r="P190" s="1" t="s">
        <v>45</v>
      </c>
      <c r="Q190" s="1" t="s">
        <v>46</v>
      </c>
      <c r="R190" s="4" t="s">
        <v>54</v>
      </c>
      <c r="S190" s="25">
        <f>Table1[[#This Row],[Clicks]]/Table1[[#This Row],[Impressions]]</f>
        <v>5.0500960894819806E-2</v>
      </c>
      <c r="T190" s="22">
        <f>Table1[[#This Row],[Sales]]/Table1[[#This Row],[USD_Spend]]</f>
        <v>74.773850721553458</v>
      </c>
      <c r="U190" s="1" t="str">
        <f>Outlier_Check!C200</f>
        <v>Normal</v>
      </c>
    </row>
    <row r="191" spans="1:21" x14ac:dyDescent="0.35">
      <c r="A191" s="3" t="s">
        <v>95</v>
      </c>
      <c r="B191" s="1" t="s">
        <v>35</v>
      </c>
      <c r="C191" s="1" t="s">
        <v>69</v>
      </c>
      <c r="D191" s="1" t="s">
        <v>21</v>
      </c>
      <c r="E191" s="1" t="s">
        <v>30</v>
      </c>
      <c r="F191" s="1" t="s">
        <v>23</v>
      </c>
      <c r="G191" s="2">
        <v>45073</v>
      </c>
      <c r="H191" s="2">
        <v>45132</v>
      </c>
      <c r="I191" s="1">
        <v>30771.07</v>
      </c>
      <c r="J191" s="1">
        <v>0.93979999999999997</v>
      </c>
      <c r="K191" s="1">
        <v>28918.65</v>
      </c>
      <c r="L191" s="1">
        <v>46489</v>
      </c>
      <c r="M191" s="1">
        <v>8372</v>
      </c>
      <c r="N191" s="1">
        <v>21472.17</v>
      </c>
      <c r="O191" s="1">
        <v>2023</v>
      </c>
      <c r="P191" s="1" t="s">
        <v>45</v>
      </c>
      <c r="Q191" s="1" t="s">
        <v>46</v>
      </c>
      <c r="R191" s="4" t="s">
        <v>61</v>
      </c>
      <c r="S191" s="25">
        <f>Table1[[#This Row],[Clicks]]/Table1[[#This Row],[Impressions]]</f>
        <v>0.18008561165006776</v>
      </c>
      <c r="T191" s="22">
        <f>Table1[[#This Row],[Sales]]/Table1[[#This Row],[USD_Spend]]</f>
        <v>0.74250250271018869</v>
      </c>
      <c r="U191" s="1" t="str">
        <f>Outlier_Check!C201</f>
        <v>Normal</v>
      </c>
    </row>
    <row r="192" spans="1:21" x14ac:dyDescent="0.35">
      <c r="A192" s="3" t="s">
        <v>70</v>
      </c>
      <c r="B192" s="1" t="s">
        <v>48</v>
      </c>
      <c r="C192" s="1" t="s">
        <v>58</v>
      </c>
      <c r="D192" s="1" t="s">
        <v>43</v>
      </c>
      <c r="E192" s="1" t="s">
        <v>22</v>
      </c>
      <c r="F192" s="1" t="s">
        <v>31</v>
      </c>
      <c r="G192" s="2">
        <v>45073</v>
      </c>
      <c r="H192" s="2">
        <v>45118</v>
      </c>
      <c r="I192" s="1">
        <v>14276.54</v>
      </c>
      <c r="J192" s="1">
        <v>0.54600000000000004</v>
      </c>
      <c r="K192" s="1">
        <v>7794.99</v>
      </c>
      <c r="L192" s="1">
        <v>260875</v>
      </c>
      <c r="M192" s="1">
        <v>11539</v>
      </c>
      <c r="N192" s="1">
        <v>154581.81</v>
      </c>
      <c r="O192" s="1">
        <v>2023</v>
      </c>
      <c r="P192" s="1" t="s">
        <v>45</v>
      </c>
      <c r="Q192" s="1" t="s">
        <v>46</v>
      </c>
      <c r="R192" s="4" t="s">
        <v>41</v>
      </c>
      <c r="S192" s="25">
        <f>Table1[[#This Row],[Clicks]]/Table1[[#This Row],[Impressions]]</f>
        <v>4.4231911835170099E-2</v>
      </c>
      <c r="T192" s="22">
        <f>Table1[[#This Row],[Sales]]/Table1[[#This Row],[USD_Spend]]</f>
        <v>19.830918320613627</v>
      </c>
      <c r="U192" s="1" t="str">
        <f>Outlier_Check!C202</f>
        <v>Normal</v>
      </c>
    </row>
    <row r="193" spans="1:21" x14ac:dyDescent="0.35">
      <c r="A193" s="3" t="s">
        <v>110</v>
      </c>
      <c r="B193" s="1" t="s">
        <v>35</v>
      </c>
      <c r="C193" s="1" t="s">
        <v>36</v>
      </c>
      <c r="D193" s="1" t="s">
        <v>37</v>
      </c>
      <c r="E193" s="1" t="s">
        <v>38</v>
      </c>
      <c r="F193" s="1" t="s">
        <v>31</v>
      </c>
      <c r="G193" s="2">
        <v>45073</v>
      </c>
      <c r="H193" s="2">
        <v>45098</v>
      </c>
      <c r="I193" s="1">
        <v>43257.3</v>
      </c>
      <c r="J193" s="1">
        <v>0.22459999999999999</v>
      </c>
      <c r="K193" s="1">
        <v>9715.59</v>
      </c>
      <c r="L193" s="1">
        <v>94736</v>
      </c>
      <c r="M193" s="1">
        <v>32054</v>
      </c>
      <c r="N193" s="1">
        <v>86494.21</v>
      </c>
      <c r="O193" s="1">
        <v>2023</v>
      </c>
      <c r="P193" s="1" t="s">
        <v>45</v>
      </c>
      <c r="Q193" s="1" t="s">
        <v>46</v>
      </c>
      <c r="R193" s="4" t="s">
        <v>61</v>
      </c>
      <c r="S193" s="25">
        <f>Table1[[#This Row],[Clicks]]/Table1[[#This Row],[Impressions]]</f>
        <v>0.33835078534031415</v>
      </c>
      <c r="T193" s="22">
        <f>Table1[[#This Row],[Sales]]/Table1[[#This Row],[USD_Spend]]</f>
        <v>8.9026204275808265</v>
      </c>
      <c r="U193" s="1" t="str">
        <f>Outlier_Check!C203</f>
        <v>Normal</v>
      </c>
    </row>
    <row r="194" spans="1:21" x14ac:dyDescent="0.35">
      <c r="A194" s="3" t="s">
        <v>118</v>
      </c>
      <c r="B194" s="1" t="s">
        <v>28</v>
      </c>
      <c r="C194" s="1" t="s">
        <v>58</v>
      </c>
      <c r="D194" s="1" t="s">
        <v>51</v>
      </c>
      <c r="E194" s="1" t="s">
        <v>30</v>
      </c>
      <c r="F194" s="1" t="s">
        <v>49</v>
      </c>
      <c r="G194" s="2">
        <v>45074</v>
      </c>
      <c r="H194" s="2">
        <v>45125</v>
      </c>
      <c r="I194" s="1">
        <v>44359.55</v>
      </c>
      <c r="J194" s="1">
        <v>0.79290000000000005</v>
      </c>
      <c r="K194" s="1">
        <v>35172.69</v>
      </c>
      <c r="L194" s="1">
        <v>152371</v>
      </c>
      <c r="M194" s="1">
        <v>5648</v>
      </c>
      <c r="N194" s="1">
        <v>38618.97</v>
      </c>
      <c r="O194" s="1">
        <v>2023</v>
      </c>
      <c r="P194" s="1" t="s">
        <v>45</v>
      </c>
      <c r="Q194" s="1" t="s">
        <v>46</v>
      </c>
      <c r="R194" s="4" t="s">
        <v>61</v>
      </c>
      <c r="S194" s="25">
        <f>Table1[[#This Row],[Clicks]]/Table1[[#This Row],[Impressions]]</f>
        <v>3.7067420965931838E-2</v>
      </c>
      <c r="T194" s="22">
        <f>Table1[[#This Row],[Sales]]/Table1[[#This Row],[USD_Spend]]</f>
        <v>1.0979817011436999</v>
      </c>
      <c r="U194" s="1" t="str">
        <f>Outlier_Check!C204</f>
        <v>Normal</v>
      </c>
    </row>
    <row r="195" spans="1:21" x14ac:dyDescent="0.35">
      <c r="A195" s="3" t="s">
        <v>115</v>
      </c>
      <c r="B195" s="1" t="s">
        <v>19</v>
      </c>
      <c r="C195" s="1" t="s">
        <v>29</v>
      </c>
      <c r="D195" s="1" t="s">
        <v>21</v>
      </c>
      <c r="E195" s="1" t="s">
        <v>38</v>
      </c>
      <c r="F195" s="1" t="s">
        <v>52</v>
      </c>
      <c r="G195" s="2">
        <v>45075</v>
      </c>
      <c r="H195" s="2">
        <v>45093</v>
      </c>
      <c r="I195" s="1">
        <v>11688.69</v>
      </c>
      <c r="J195" s="1">
        <v>0.90059999999999996</v>
      </c>
      <c r="K195" s="1">
        <v>10526.83</v>
      </c>
      <c r="L195" s="1">
        <v>781037</v>
      </c>
      <c r="M195" s="1">
        <v>42779</v>
      </c>
      <c r="N195" s="1">
        <v>7237.47</v>
      </c>
      <c r="O195" s="1">
        <v>2023</v>
      </c>
      <c r="P195" s="1" t="s">
        <v>45</v>
      </c>
      <c r="Q195" s="1" t="s">
        <v>46</v>
      </c>
      <c r="R195" s="4" t="s">
        <v>26</v>
      </c>
      <c r="S195" s="25">
        <f>Table1[[#This Row],[Clicks]]/Table1[[#This Row],[Impressions]]</f>
        <v>5.4772053052544248E-2</v>
      </c>
      <c r="T195" s="22">
        <f>Table1[[#This Row],[Sales]]/Table1[[#This Row],[USD_Spend]]</f>
        <v>0.68752606435175645</v>
      </c>
      <c r="U195" s="1" t="str">
        <f>Outlier_Check!C205</f>
        <v>Normal</v>
      </c>
    </row>
    <row r="196" spans="1:21" x14ac:dyDescent="0.35">
      <c r="A196" s="3" t="s">
        <v>57</v>
      </c>
      <c r="B196" s="1" t="s">
        <v>28</v>
      </c>
      <c r="C196" s="1" t="s">
        <v>58</v>
      </c>
      <c r="D196" s="1" t="s">
        <v>51</v>
      </c>
      <c r="E196" s="1" t="s">
        <v>38</v>
      </c>
      <c r="F196" s="1" t="s">
        <v>44</v>
      </c>
      <c r="G196" s="2">
        <v>45075</v>
      </c>
      <c r="H196" s="2">
        <v>45085</v>
      </c>
      <c r="I196" s="1">
        <v>16829.62</v>
      </c>
      <c r="J196" s="1">
        <v>0.1618</v>
      </c>
      <c r="K196" s="1">
        <v>2723.03</v>
      </c>
      <c r="L196" s="1">
        <v>814819</v>
      </c>
      <c r="M196" s="1">
        <v>25332</v>
      </c>
      <c r="N196" s="1">
        <v>91389.15</v>
      </c>
      <c r="O196" s="1">
        <v>2023</v>
      </c>
      <c r="P196" s="1" t="s">
        <v>45</v>
      </c>
      <c r="Q196" s="1" t="s">
        <v>46</v>
      </c>
      <c r="R196" s="4" t="s">
        <v>41</v>
      </c>
      <c r="S196" s="25">
        <f>Table1[[#This Row],[Clicks]]/Table1[[#This Row],[Impressions]]</f>
        <v>3.1089113042283009E-2</v>
      </c>
      <c r="T196" s="22">
        <f>Table1[[#This Row],[Sales]]/Table1[[#This Row],[USD_Spend]]</f>
        <v>33.561565608898903</v>
      </c>
      <c r="U196" s="1" t="str">
        <f>Outlier_Check!C206</f>
        <v>Normal</v>
      </c>
    </row>
    <row r="197" spans="1:21" x14ac:dyDescent="0.35">
      <c r="A197" s="3" t="s">
        <v>47</v>
      </c>
      <c r="B197" s="1" t="s">
        <v>48</v>
      </c>
      <c r="C197" s="1" t="s">
        <v>20</v>
      </c>
      <c r="D197" s="1" t="s">
        <v>43</v>
      </c>
      <c r="E197" s="1" t="s">
        <v>22</v>
      </c>
      <c r="F197" s="1" t="s">
        <v>23</v>
      </c>
      <c r="G197" s="2">
        <v>45076</v>
      </c>
      <c r="H197" s="2">
        <v>45135</v>
      </c>
      <c r="I197" s="1">
        <v>37563.699999999997</v>
      </c>
      <c r="J197" s="1">
        <v>0.34010000000000001</v>
      </c>
      <c r="K197" s="1">
        <v>12775.41</v>
      </c>
      <c r="L197" s="1">
        <v>617913</v>
      </c>
      <c r="M197" s="1">
        <v>22895</v>
      </c>
      <c r="N197" s="1">
        <v>91289.8</v>
      </c>
      <c r="O197" s="1">
        <v>2023</v>
      </c>
      <c r="P197" s="1" t="s">
        <v>45</v>
      </c>
      <c r="Q197" s="1" t="s">
        <v>46</v>
      </c>
      <c r="R197" s="4" t="s">
        <v>26</v>
      </c>
      <c r="S197" s="25">
        <f>Table1[[#This Row],[Clicks]]/Table1[[#This Row],[Impressions]]</f>
        <v>3.705214164453572E-2</v>
      </c>
      <c r="T197" s="22">
        <f>Table1[[#This Row],[Sales]]/Table1[[#This Row],[USD_Spend]]</f>
        <v>7.145743267730742</v>
      </c>
      <c r="U197" s="1" t="str">
        <f>Outlier_Check!C207</f>
        <v>Normal</v>
      </c>
    </row>
    <row r="198" spans="1:21" x14ac:dyDescent="0.35">
      <c r="A198" s="3" t="s">
        <v>79</v>
      </c>
      <c r="B198" s="1" t="s">
        <v>19</v>
      </c>
      <c r="C198" s="1" t="s">
        <v>69</v>
      </c>
      <c r="D198" s="1" t="s">
        <v>51</v>
      </c>
      <c r="E198" s="1" t="s">
        <v>30</v>
      </c>
      <c r="F198" s="1" t="s">
        <v>49</v>
      </c>
      <c r="G198" s="2">
        <v>45076</v>
      </c>
      <c r="H198" s="2">
        <v>45128</v>
      </c>
      <c r="I198" s="1">
        <v>33602.18</v>
      </c>
      <c r="J198" s="1">
        <v>0.96350000000000002</v>
      </c>
      <c r="K198" s="1">
        <v>32375.7</v>
      </c>
      <c r="L198" s="1">
        <v>747114</v>
      </c>
      <c r="M198" s="1">
        <v>2350</v>
      </c>
      <c r="N198" s="1">
        <v>151725.68</v>
      </c>
      <c r="O198" s="1">
        <v>2023</v>
      </c>
      <c r="P198" s="1" t="s">
        <v>45</v>
      </c>
      <c r="Q198" s="1" t="s">
        <v>46</v>
      </c>
      <c r="R198" s="4" t="s">
        <v>61</v>
      </c>
      <c r="S198" s="25">
        <f>Table1[[#This Row],[Clicks]]/Table1[[#This Row],[Impressions]]</f>
        <v>3.1454369748124115E-3</v>
      </c>
      <c r="T198" s="22">
        <f>Table1[[#This Row],[Sales]]/Table1[[#This Row],[USD_Spend]]</f>
        <v>4.6864061626466764</v>
      </c>
      <c r="U198" s="1" t="str">
        <f>Outlier_Check!C208</f>
        <v>Normal</v>
      </c>
    </row>
    <row r="199" spans="1:21" x14ac:dyDescent="0.35">
      <c r="A199" s="3" t="s">
        <v>57</v>
      </c>
      <c r="B199" s="1" t="s">
        <v>48</v>
      </c>
      <c r="C199" s="1" t="s">
        <v>69</v>
      </c>
      <c r="D199" s="1" t="s">
        <v>37</v>
      </c>
      <c r="E199" s="1" t="s">
        <v>38</v>
      </c>
      <c r="F199" s="1" t="s">
        <v>52</v>
      </c>
      <c r="G199" s="2">
        <v>45078</v>
      </c>
      <c r="H199" s="2">
        <v>45113</v>
      </c>
      <c r="I199" s="1">
        <v>5590.86</v>
      </c>
      <c r="J199" s="1">
        <v>0.22600000000000001</v>
      </c>
      <c r="K199" s="1">
        <v>1263.53</v>
      </c>
      <c r="L199" s="1">
        <v>204015</v>
      </c>
      <c r="M199" s="1">
        <v>11641</v>
      </c>
      <c r="N199" s="1">
        <v>51270.68</v>
      </c>
      <c r="O199" s="1">
        <v>2023</v>
      </c>
      <c r="P199" s="1" t="s">
        <v>53</v>
      </c>
      <c r="Q199" s="1" t="s">
        <v>46</v>
      </c>
      <c r="R199" s="4" t="s">
        <v>61</v>
      </c>
      <c r="S199" s="25">
        <f>Table1[[#This Row],[Clicks]]/Table1[[#This Row],[Impressions]]</f>
        <v>5.7059529936524273E-2</v>
      </c>
      <c r="T199" s="22">
        <f>Table1[[#This Row],[Sales]]/Table1[[#This Row],[USD_Spend]]</f>
        <v>40.577334926752826</v>
      </c>
      <c r="U199" s="1" t="str">
        <f>Outlier_Check!C209</f>
        <v>Normal</v>
      </c>
    </row>
    <row r="200" spans="1:21" x14ac:dyDescent="0.35">
      <c r="A200" s="3" t="s">
        <v>67</v>
      </c>
      <c r="B200" s="1" t="s">
        <v>28</v>
      </c>
      <c r="C200" s="1" t="s">
        <v>69</v>
      </c>
      <c r="D200" s="1" t="s">
        <v>59</v>
      </c>
      <c r="E200" s="1" t="s">
        <v>30</v>
      </c>
      <c r="F200" s="1" t="s">
        <v>23</v>
      </c>
      <c r="G200" s="2">
        <v>45078</v>
      </c>
      <c r="H200" s="2">
        <v>45109</v>
      </c>
      <c r="I200" s="1">
        <v>42957.01</v>
      </c>
      <c r="J200" s="1">
        <v>0.79459999999999997</v>
      </c>
      <c r="K200" s="1">
        <v>34133.64</v>
      </c>
      <c r="L200" s="1">
        <v>158513</v>
      </c>
      <c r="M200" s="1">
        <v>23509</v>
      </c>
      <c r="N200" s="1">
        <v>126968.9</v>
      </c>
      <c r="O200" s="1">
        <v>2023</v>
      </c>
      <c r="P200" s="1" t="s">
        <v>53</v>
      </c>
      <c r="Q200" s="1" t="s">
        <v>46</v>
      </c>
      <c r="R200" s="4" t="s">
        <v>61</v>
      </c>
      <c r="S200" s="25">
        <f>Table1[[#This Row],[Clicks]]/Table1[[#This Row],[Impressions]]</f>
        <v>0.14830960236699828</v>
      </c>
      <c r="T200" s="22">
        <f>Table1[[#This Row],[Sales]]/Table1[[#This Row],[USD_Spend]]</f>
        <v>3.7197585724815752</v>
      </c>
      <c r="U200" s="1" t="str">
        <f>Outlier_Check!C210</f>
        <v>Normal</v>
      </c>
    </row>
    <row r="201" spans="1:21" x14ac:dyDescent="0.35">
      <c r="A201" s="3" t="s">
        <v>96</v>
      </c>
      <c r="B201" s="1" t="s">
        <v>48</v>
      </c>
      <c r="C201" s="1" t="s">
        <v>20</v>
      </c>
      <c r="D201" s="1" t="s">
        <v>21</v>
      </c>
      <c r="E201" s="1" t="s">
        <v>38</v>
      </c>
      <c r="F201" s="1" t="s">
        <v>49</v>
      </c>
      <c r="G201" s="2">
        <v>45079</v>
      </c>
      <c r="H201" s="2">
        <v>45135</v>
      </c>
      <c r="I201" s="1">
        <v>28579.14</v>
      </c>
      <c r="J201" s="1">
        <v>0.37159999999999999</v>
      </c>
      <c r="K201" s="1">
        <v>10620.01</v>
      </c>
      <c r="L201" s="1">
        <v>270247</v>
      </c>
      <c r="M201" s="1">
        <v>7862</v>
      </c>
      <c r="N201" s="1">
        <v>141727.89000000001</v>
      </c>
      <c r="O201" s="1">
        <v>2023</v>
      </c>
      <c r="P201" s="1" t="s">
        <v>53</v>
      </c>
      <c r="Q201" s="1" t="s">
        <v>46</v>
      </c>
      <c r="R201" s="4" t="s">
        <v>41</v>
      </c>
      <c r="S201" s="25">
        <f>Table1[[#This Row],[Clicks]]/Table1[[#This Row],[Impressions]]</f>
        <v>2.9091904813004398E-2</v>
      </c>
      <c r="T201" s="22">
        <f>Table1[[#This Row],[Sales]]/Table1[[#This Row],[USD_Spend]]</f>
        <v>13.34536313995938</v>
      </c>
      <c r="U201" s="1" t="str">
        <f>Outlier_Check!C211</f>
        <v>Normal</v>
      </c>
    </row>
    <row r="202" spans="1:21" x14ac:dyDescent="0.35">
      <c r="A202" s="3" t="s">
        <v>85</v>
      </c>
      <c r="B202" s="1" t="s">
        <v>28</v>
      </c>
      <c r="C202" s="1" t="s">
        <v>69</v>
      </c>
      <c r="D202" s="1" t="s">
        <v>63</v>
      </c>
      <c r="E202" s="1" t="s">
        <v>30</v>
      </c>
      <c r="F202" s="1" t="s">
        <v>23</v>
      </c>
      <c r="G202" s="2">
        <v>45080</v>
      </c>
      <c r="H202" s="2">
        <v>45127</v>
      </c>
      <c r="I202" s="1">
        <v>34670.879999999997</v>
      </c>
      <c r="J202" s="1">
        <v>0.75349999999999995</v>
      </c>
      <c r="K202" s="1">
        <v>26124.51</v>
      </c>
      <c r="L202" s="1">
        <v>310947</v>
      </c>
      <c r="M202" s="1">
        <v>22931</v>
      </c>
      <c r="N202" s="1">
        <v>219473.53</v>
      </c>
      <c r="O202" s="1">
        <v>2023</v>
      </c>
      <c r="P202" s="1" t="s">
        <v>53</v>
      </c>
      <c r="Q202" s="1" t="s">
        <v>46</v>
      </c>
      <c r="R202" s="4" t="s">
        <v>26</v>
      </c>
      <c r="S202" s="25">
        <f>Table1[[#This Row],[Clicks]]/Table1[[#This Row],[Impressions]]</f>
        <v>7.3745686563948198E-2</v>
      </c>
      <c r="T202" s="22">
        <f>Table1[[#This Row],[Sales]]/Table1[[#This Row],[USD_Spend]]</f>
        <v>8.4010582399440228</v>
      </c>
      <c r="U202" s="1" t="str">
        <f>Outlier_Check!C212</f>
        <v>Normal</v>
      </c>
    </row>
    <row r="203" spans="1:21" x14ac:dyDescent="0.35">
      <c r="A203" s="3" t="s">
        <v>88</v>
      </c>
      <c r="B203" s="1" t="s">
        <v>48</v>
      </c>
      <c r="C203" s="1" t="s">
        <v>36</v>
      </c>
      <c r="D203" s="1" t="s">
        <v>51</v>
      </c>
      <c r="E203" s="1" t="s">
        <v>38</v>
      </c>
      <c r="F203" s="1" t="s">
        <v>31</v>
      </c>
      <c r="G203" s="2">
        <v>45080</v>
      </c>
      <c r="H203" s="2">
        <v>45118</v>
      </c>
      <c r="I203" s="1">
        <v>38508.25</v>
      </c>
      <c r="J203" s="1">
        <v>1.0806</v>
      </c>
      <c r="K203" s="1">
        <v>41612.01</v>
      </c>
      <c r="L203" s="1">
        <v>854554</v>
      </c>
      <c r="M203" s="1">
        <v>39423</v>
      </c>
      <c r="N203" s="1">
        <v>104004.11</v>
      </c>
      <c r="O203" s="1">
        <v>2023</v>
      </c>
      <c r="P203" s="1" t="s">
        <v>53</v>
      </c>
      <c r="Q203" s="1" t="s">
        <v>46</v>
      </c>
      <c r="R203" s="4" t="s">
        <v>41</v>
      </c>
      <c r="S203" s="25">
        <f>Table1[[#This Row],[Clicks]]/Table1[[#This Row],[Impressions]]</f>
        <v>4.6132836543974987E-2</v>
      </c>
      <c r="T203" s="22">
        <f>Table1[[#This Row],[Sales]]/Table1[[#This Row],[USD_Spend]]</f>
        <v>2.4993772230661291</v>
      </c>
      <c r="U203" s="1" t="str">
        <f>Outlier_Check!C213</f>
        <v>Normal</v>
      </c>
    </row>
    <row r="204" spans="1:21" x14ac:dyDescent="0.35">
      <c r="A204" s="3" t="s">
        <v>18</v>
      </c>
      <c r="B204" s="1" t="s">
        <v>28</v>
      </c>
      <c r="C204" s="1" t="s">
        <v>69</v>
      </c>
      <c r="D204" s="1" t="s">
        <v>43</v>
      </c>
      <c r="E204" s="1" t="s">
        <v>30</v>
      </c>
      <c r="F204" s="1" t="s">
        <v>23</v>
      </c>
      <c r="G204" s="2">
        <v>45081</v>
      </c>
      <c r="H204" s="2">
        <v>45115</v>
      </c>
      <c r="I204" s="1">
        <v>46757.15</v>
      </c>
      <c r="J204" s="1">
        <v>0.60429999999999995</v>
      </c>
      <c r="K204" s="1">
        <v>28255.35</v>
      </c>
      <c r="L204" s="1">
        <v>341777</v>
      </c>
      <c r="M204" s="1">
        <v>7545</v>
      </c>
      <c r="N204" s="1">
        <v>199044.12</v>
      </c>
      <c r="O204" s="1">
        <v>2023</v>
      </c>
      <c r="P204" s="1" t="s">
        <v>53</v>
      </c>
      <c r="Q204" s="1" t="s">
        <v>46</v>
      </c>
      <c r="R204" s="4" t="s">
        <v>54</v>
      </c>
      <c r="S204" s="25">
        <f>Table1[[#This Row],[Clicks]]/Table1[[#This Row],[Impressions]]</f>
        <v>2.2075797961828913E-2</v>
      </c>
      <c r="T204" s="22">
        <f>Table1[[#This Row],[Sales]]/Table1[[#This Row],[USD_Spend]]</f>
        <v>7.0444754710169937</v>
      </c>
      <c r="U204" s="1" t="str">
        <f>Outlier_Check!C214</f>
        <v>Normal</v>
      </c>
    </row>
    <row r="205" spans="1:21" x14ac:dyDescent="0.35">
      <c r="A205" s="3" t="s">
        <v>90</v>
      </c>
      <c r="B205" s="1" t="s">
        <v>48</v>
      </c>
      <c r="C205" s="1" t="s">
        <v>29</v>
      </c>
      <c r="D205" s="1" t="s">
        <v>63</v>
      </c>
      <c r="E205" s="1" t="s">
        <v>30</v>
      </c>
      <c r="F205" s="1" t="s">
        <v>49</v>
      </c>
      <c r="G205" s="2">
        <v>45083</v>
      </c>
      <c r="H205" s="2">
        <v>45135</v>
      </c>
      <c r="I205" s="1">
        <v>35427.31</v>
      </c>
      <c r="J205" s="1">
        <v>1.157</v>
      </c>
      <c r="K205" s="1">
        <v>40989.4</v>
      </c>
      <c r="L205" s="1">
        <v>504392</v>
      </c>
      <c r="M205" s="1">
        <v>1386</v>
      </c>
      <c r="N205" s="1">
        <v>215650.13</v>
      </c>
      <c r="O205" s="1">
        <v>2023</v>
      </c>
      <c r="P205" s="1" t="s">
        <v>53</v>
      </c>
      <c r="Q205" s="1" t="s">
        <v>46</v>
      </c>
      <c r="R205" s="4" t="s">
        <v>26</v>
      </c>
      <c r="S205" s="25">
        <f>Table1[[#This Row],[Clicks]]/Table1[[#This Row],[Impressions]]</f>
        <v>2.7478627733984679E-3</v>
      </c>
      <c r="T205" s="22">
        <f>Table1[[#This Row],[Sales]]/Table1[[#This Row],[USD_Spend]]</f>
        <v>5.2611194601531128</v>
      </c>
      <c r="U205" s="1" t="str">
        <f>Outlier_Check!C215</f>
        <v>Normal</v>
      </c>
    </row>
    <row r="206" spans="1:21" x14ac:dyDescent="0.35">
      <c r="A206" s="3" t="s">
        <v>50</v>
      </c>
      <c r="B206" s="1" t="s">
        <v>28</v>
      </c>
      <c r="C206" s="1" t="s">
        <v>20</v>
      </c>
      <c r="D206" s="1" t="s">
        <v>63</v>
      </c>
      <c r="E206" s="1" t="s">
        <v>30</v>
      </c>
      <c r="F206" s="1" t="s">
        <v>23</v>
      </c>
      <c r="G206" s="2">
        <v>45083</v>
      </c>
      <c r="H206" s="2">
        <v>45128</v>
      </c>
      <c r="I206" s="1">
        <v>8839.1200000000008</v>
      </c>
      <c r="J206" s="1">
        <v>0.81979999999999997</v>
      </c>
      <c r="K206" s="1">
        <v>7246.31</v>
      </c>
      <c r="L206" s="1">
        <v>635380</v>
      </c>
      <c r="M206" s="1">
        <v>4263</v>
      </c>
      <c r="N206" s="1">
        <v>99267.99</v>
      </c>
      <c r="O206" s="1">
        <v>2023</v>
      </c>
      <c r="P206" s="1" t="s">
        <v>53</v>
      </c>
      <c r="Q206" s="1" t="s">
        <v>46</v>
      </c>
      <c r="R206" s="4" t="s">
        <v>26</v>
      </c>
      <c r="S206" s="25">
        <f>Table1[[#This Row],[Clicks]]/Table1[[#This Row],[Impressions]]</f>
        <v>6.7093707702477259E-3</v>
      </c>
      <c r="T206" s="22">
        <f>Table1[[#This Row],[Sales]]/Table1[[#This Row],[USD_Spend]]</f>
        <v>13.699108925784296</v>
      </c>
      <c r="U206" s="1" t="str">
        <f>Outlier_Check!C216</f>
        <v>Normal</v>
      </c>
    </row>
    <row r="207" spans="1:21" x14ac:dyDescent="0.35">
      <c r="A207" s="3" t="s">
        <v>34</v>
      </c>
      <c r="B207" s="1" t="s">
        <v>35</v>
      </c>
      <c r="C207" s="1" t="s">
        <v>20</v>
      </c>
      <c r="D207" s="1" t="s">
        <v>59</v>
      </c>
      <c r="E207" s="1" t="s">
        <v>38</v>
      </c>
      <c r="F207" s="1" t="s">
        <v>44</v>
      </c>
      <c r="G207" s="2">
        <v>45085</v>
      </c>
      <c r="H207" s="2">
        <v>45132</v>
      </c>
      <c r="I207" s="1">
        <v>24627.279999999999</v>
      </c>
      <c r="J207" s="1">
        <v>1.0183</v>
      </c>
      <c r="K207" s="1">
        <v>25077.96</v>
      </c>
      <c r="L207" s="1">
        <v>377121</v>
      </c>
      <c r="M207" s="1">
        <v>36555</v>
      </c>
      <c r="N207" s="1">
        <v>95052.46</v>
      </c>
      <c r="O207" s="1">
        <v>2023</v>
      </c>
      <c r="P207" s="1" t="s">
        <v>53</v>
      </c>
      <c r="Q207" s="1" t="s">
        <v>46</v>
      </c>
      <c r="R207" s="4" t="s">
        <v>26</v>
      </c>
      <c r="S207" s="25">
        <f>Table1[[#This Row],[Clicks]]/Table1[[#This Row],[Impressions]]</f>
        <v>9.6931753999379505E-2</v>
      </c>
      <c r="T207" s="22">
        <f>Table1[[#This Row],[Sales]]/Table1[[#This Row],[USD_Spend]]</f>
        <v>3.7902787946068983</v>
      </c>
      <c r="U207" s="1" t="str">
        <f>Outlier_Check!C217</f>
        <v>Normal</v>
      </c>
    </row>
    <row r="208" spans="1:21" x14ac:dyDescent="0.35">
      <c r="A208" s="3" t="s">
        <v>75</v>
      </c>
      <c r="B208" s="1" t="s">
        <v>28</v>
      </c>
      <c r="C208" s="1" t="s">
        <v>58</v>
      </c>
      <c r="D208" s="1" t="s">
        <v>51</v>
      </c>
      <c r="E208" s="1" t="s">
        <v>38</v>
      </c>
      <c r="F208" s="1" t="s">
        <v>49</v>
      </c>
      <c r="G208" s="2">
        <v>45085</v>
      </c>
      <c r="H208" s="2">
        <v>45102</v>
      </c>
      <c r="I208" s="1">
        <v>1204.8499999999999</v>
      </c>
      <c r="J208" s="1">
        <v>1.0354000000000001</v>
      </c>
      <c r="K208" s="1">
        <v>1247.5</v>
      </c>
      <c r="L208" s="1">
        <v>775847</v>
      </c>
      <c r="M208" s="1">
        <v>47636</v>
      </c>
      <c r="N208" s="1">
        <v>96693.16</v>
      </c>
      <c r="O208" s="1">
        <v>2023</v>
      </c>
      <c r="P208" s="1" t="s">
        <v>53</v>
      </c>
      <c r="Q208" s="1" t="s">
        <v>46</v>
      </c>
      <c r="R208" s="4" t="s">
        <v>54</v>
      </c>
      <c r="S208" s="25">
        <f>Table1[[#This Row],[Clicks]]/Table1[[#This Row],[Impressions]]</f>
        <v>6.139870361037679E-2</v>
      </c>
      <c r="T208" s="22">
        <f>Table1[[#This Row],[Sales]]/Table1[[#This Row],[USD_Spend]]</f>
        <v>77.509547094188378</v>
      </c>
      <c r="U208" s="1" t="str">
        <f>Outlier_Check!C218</f>
        <v>Normal</v>
      </c>
    </row>
    <row r="209" spans="1:21" x14ac:dyDescent="0.35">
      <c r="A209" s="3" t="s">
        <v>117</v>
      </c>
      <c r="B209" s="1" t="s">
        <v>19</v>
      </c>
      <c r="C209" s="1" t="s">
        <v>58</v>
      </c>
      <c r="D209" s="1" t="s">
        <v>21</v>
      </c>
      <c r="E209" s="1" t="s">
        <v>38</v>
      </c>
      <c r="F209" s="1" t="s">
        <v>23</v>
      </c>
      <c r="G209" s="2">
        <v>45086</v>
      </c>
      <c r="H209" s="2">
        <v>45110</v>
      </c>
      <c r="I209" s="1">
        <v>1517.24</v>
      </c>
      <c r="J209" s="1">
        <v>0.63270000000000004</v>
      </c>
      <c r="K209" s="1">
        <v>959.96</v>
      </c>
      <c r="L209" s="1">
        <v>805128</v>
      </c>
      <c r="M209" s="1">
        <v>9032</v>
      </c>
      <c r="N209" s="1">
        <v>89251.8</v>
      </c>
      <c r="O209" s="1">
        <v>2023</v>
      </c>
      <c r="P209" s="1" t="s">
        <v>53</v>
      </c>
      <c r="Q209" s="1" t="s">
        <v>46</v>
      </c>
      <c r="R209" s="4" t="s">
        <v>54</v>
      </c>
      <c r="S209" s="25">
        <f>Table1[[#This Row],[Clicks]]/Table1[[#This Row],[Impressions]]</f>
        <v>1.1218092030087142E-2</v>
      </c>
      <c r="T209" s="22">
        <f>Table1[[#This Row],[Sales]]/Table1[[#This Row],[USD_Spend]]</f>
        <v>92.974498937455721</v>
      </c>
      <c r="U209" s="1" t="str">
        <f>Outlier_Check!C219</f>
        <v>Normal</v>
      </c>
    </row>
    <row r="210" spans="1:21" x14ac:dyDescent="0.35">
      <c r="A210" s="3" t="s">
        <v>95</v>
      </c>
      <c r="B210" s="1" t="s">
        <v>48</v>
      </c>
      <c r="C210" s="1" t="s">
        <v>58</v>
      </c>
      <c r="D210" s="1" t="s">
        <v>63</v>
      </c>
      <c r="E210" s="1" t="s">
        <v>38</v>
      </c>
      <c r="F210" s="1" t="s">
        <v>31</v>
      </c>
      <c r="G210" s="2">
        <v>45086</v>
      </c>
      <c r="H210" s="2">
        <v>45097</v>
      </c>
      <c r="I210" s="1">
        <v>9054.3700000000008</v>
      </c>
      <c r="J210" s="1">
        <v>0.56459999999999999</v>
      </c>
      <c r="K210" s="1">
        <v>5112.1000000000004</v>
      </c>
      <c r="L210" s="1">
        <v>436259</v>
      </c>
      <c r="M210" s="1">
        <v>8012</v>
      </c>
      <c r="N210" s="1">
        <v>136301.51</v>
      </c>
      <c r="O210" s="1">
        <v>2023</v>
      </c>
      <c r="P210" s="1" t="s">
        <v>53</v>
      </c>
      <c r="Q210" s="1" t="s">
        <v>46</v>
      </c>
      <c r="R210" s="4" t="s">
        <v>26</v>
      </c>
      <c r="S210" s="25">
        <f>Table1[[#This Row],[Clicks]]/Table1[[#This Row],[Impressions]]</f>
        <v>1.8365237164161656E-2</v>
      </c>
      <c r="T210" s="22">
        <f>Table1[[#This Row],[Sales]]/Table1[[#This Row],[USD_Spend]]</f>
        <v>26.662528119559475</v>
      </c>
      <c r="U210" s="1" t="str">
        <f>Outlier_Check!C220</f>
        <v>Normal</v>
      </c>
    </row>
    <row r="211" spans="1:21" x14ac:dyDescent="0.35">
      <c r="A211" s="3" t="s">
        <v>50</v>
      </c>
      <c r="B211" s="1" t="s">
        <v>28</v>
      </c>
      <c r="C211" s="1" t="s">
        <v>69</v>
      </c>
      <c r="D211" s="1" t="s">
        <v>37</v>
      </c>
      <c r="E211" s="1" t="s">
        <v>22</v>
      </c>
      <c r="F211" s="1" t="s">
        <v>31</v>
      </c>
      <c r="G211" s="2">
        <v>45087</v>
      </c>
      <c r="H211" s="2">
        <v>45107</v>
      </c>
      <c r="I211" s="1">
        <v>9516.86</v>
      </c>
      <c r="J211" s="1">
        <v>9.9299999999999999E-2</v>
      </c>
      <c r="K211" s="1">
        <v>945.02</v>
      </c>
      <c r="L211" s="1">
        <v>12805</v>
      </c>
      <c r="M211" s="1">
        <v>26872</v>
      </c>
      <c r="N211" s="1">
        <v>115373.41</v>
      </c>
      <c r="O211" s="1">
        <v>2023</v>
      </c>
      <c r="P211" s="1" t="s">
        <v>53</v>
      </c>
      <c r="Q211" s="1" t="s">
        <v>46</v>
      </c>
      <c r="R211" s="4" t="s">
        <v>41</v>
      </c>
      <c r="S211" s="25">
        <f>Table1[[#This Row],[Clicks]]/Table1[[#This Row],[Impressions]]</f>
        <v>2.0985552518547443</v>
      </c>
      <c r="T211" s="22">
        <f>Table1[[#This Row],[Sales]]/Table1[[#This Row],[USD_Spend]]</f>
        <v>122.08568072633383</v>
      </c>
      <c r="U211" s="1" t="str">
        <f>Outlier_Check!C221</f>
        <v>Normal</v>
      </c>
    </row>
    <row r="212" spans="1:21" x14ac:dyDescent="0.35">
      <c r="A212" s="3" t="s">
        <v>50</v>
      </c>
      <c r="B212" s="1" t="s">
        <v>48</v>
      </c>
      <c r="C212" s="1" t="s">
        <v>69</v>
      </c>
      <c r="D212" s="1" t="s">
        <v>43</v>
      </c>
      <c r="E212" s="1" t="s">
        <v>30</v>
      </c>
      <c r="F212" s="1" t="s">
        <v>44</v>
      </c>
      <c r="G212" s="2">
        <v>45091</v>
      </c>
      <c r="H212" s="2">
        <v>45119</v>
      </c>
      <c r="I212" s="1">
        <v>3185.92</v>
      </c>
      <c r="J212" s="1">
        <v>1.1171</v>
      </c>
      <c r="K212" s="1">
        <v>3558.99</v>
      </c>
      <c r="L212" s="1">
        <v>966167</v>
      </c>
      <c r="M212" s="1">
        <v>38846</v>
      </c>
      <c r="N212" s="1">
        <v>11256.15</v>
      </c>
      <c r="O212" s="1">
        <v>2023</v>
      </c>
      <c r="P212" s="1" t="s">
        <v>53</v>
      </c>
      <c r="Q212" s="1" t="s">
        <v>46</v>
      </c>
      <c r="R212" s="4" t="s">
        <v>41</v>
      </c>
      <c r="S212" s="25">
        <f>Table1[[#This Row],[Clicks]]/Table1[[#This Row],[Impressions]]</f>
        <v>4.0206299739072027E-2</v>
      </c>
      <c r="T212" s="22">
        <f>Table1[[#This Row],[Sales]]/Table1[[#This Row],[USD_Spend]]</f>
        <v>3.1627371810541756</v>
      </c>
      <c r="U212" s="1" t="str">
        <f>Outlier_Check!C222</f>
        <v>Normal</v>
      </c>
    </row>
    <row r="213" spans="1:21" x14ac:dyDescent="0.35">
      <c r="A213" s="3" t="s">
        <v>118</v>
      </c>
      <c r="B213" s="1" t="s">
        <v>19</v>
      </c>
      <c r="C213" s="1" t="s">
        <v>20</v>
      </c>
      <c r="D213" s="1" t="s">
        <v>21</v>
      </c>
      <c r="E213" s="1" t="s">
        <v>30</v>
      </c>
      <c r="F213" s="1" t="s">
        <v>44</v>
      </c>
      <c r="G213" s="2">
        <v>45091</v>
      </c>
      <c r="H213" s="2">
        <v>45107</v>
      </c>
      <c r="I213" s="1">
        <v>11818.61</v>
      </c>
      <c r="J213" s="1">
        <v>1.0034000000000001</v>
      </c>
      <c r="K213" s="1">
        <v>11858.79</v>
      </c>
      <c r="L213" s="1">
        <v>213765</v>
      </c>
      <c r="M213" s="1">
        <v>7611</v>
      </c>
      <c r="N213" s="1">
        <v>49432.71</v>
      </c>
      <c r="O213" s="1">
        <v>2023</v>
      </c>
      <c r="P213" s="1" t="s">
        <v>53</v>
      </c>
      <c r="Q213" s="1" t="s">
        <v>46</v>
      </c>
      <c r="R213" s="4" t="s">
        <v>26</v>
      </c>
      <c r="S213" s="25">
        <f>Table1[[#This Row],[Clicks]]/Table1[[#This Row],[Impressions]]</f>
        <v>3.5604518981124135E-2</v>
      </c>
      <c r="T213" s="22">
        <f>Table1[[#This Row],[Sales]]/Table1[[#This Row],[USD_Spend]]</f>
        <v>4.1684446726858297</v>
      </c>
      <c r="U213" s="1" t="str">
        <f>Outlier_Check!C223</f>
        <v>Normal</v>
      </c>
    </row>
    <row r="214" spans="1:21" x14ac:dyDescent="0.35">
      <c r="A214" s="3" t="s">
        <v>115</v>
      </c>
      <c r="B214" s="1" t="s">
        <v>28</v>
      </c>
      <c r="C214" s="1" t="s">
        <v>69</v>
      </c>
      <c r="D214" s="1" t="s">
        <v>51</v>
      </c>
      <c r="E214" s="1" t="s">
        <v>22</v>
      </c>
      <c r="F214" s="1" t="s">
        <v>23</v>
      </c>
      <c r="G214" s="2">
        <v>45093</v>
      </c>
      <c r="H214" s="2">
        <v>45153</v>
      </c>
      <c r="I214" s="1">
        <v>8085.76</v>
      </c>
      <c r="J214" s="1">
        <v>0.92530000000000001</v>
      </c>
      <c r="K214" s="1">
        <v>7481.75</v>
      </c>
      <c r="L214" s="1">
        <v>63802</v>
      </c>
      <c r="M214" s="1">
        <v>27597</v>
      </c>
      <c r="N214" s="1">
        <v>80475.240000000005</v>
      </c>
      <c r="O214" s="1">
        <v>2023</v>
      </c>
      <c r="P214" s="1" t="s">
        <v>53</v>
      </c>
      <c r="Q214" s="1" t="s">
        <v>46</v>
      </c>
      <c r="R214" s="4" t="s">
        <v>61</v>
      </c>
      <c r="S214" s="25">
        <f>Table1[[#This Row],[Clicks]]/Table1[[#This Row],[Impressions]]</f>
        <v>0.43254129964577914</v>
      </c>
      <c r="T214" s="22">
        <f>Table1[[#This Row],[Sales]]/Table1[[#This Row],[USD_Spend]]</f>
        <v>10.756205433220838</v>
      </c>
      <c r="U214" s="1" t="str">
        <f>Outlier_Check!C224</f>
        <v>Normal</v>
      </c>
    </row>
    <row r="215" spans="1:21" x14ac:dyDescent="0.35">
      <c r="A215" s="3" t="s">
        <v>114</v>
      </c>
      <c r="B215" s="1" t="s">
        <v>48</v>
      </c>
      <c r="C215" s="1" t="s">
        <v>36</v>
      </c>
      <c r="D215" s="1" t="s">
        <v>59</v>
      </c>
      <c r="E215" s="1" t="s">
        <v>38</v>
      </c>
      <c r="F215" s="1" t="s">
        <v>23</v>
      </c>
      <c r="G215" s="2">
        <v>45093</v>
      </c>
      <c r="H215" s="2">
        <v>45132</v>
      </c>
      <c r="I215" s="1">
        <v>6216.76</v>
      </c>
      <c r="J215" s="1">
        <v>0.26219999999999999</v>
      </c>
      <c r="K215" s="1">
        <v>1630.03</v>
      </c>
      <c r="L215" s="1">
        <v>21510</v>
      </c>
      <c r="M215" s="1">
        <v>49679</v>
      </c>
      <c r="N215" s="1">
        <v>227873.32</v>
      </c>
      <c r="O215" s="1">
        <v>2023</v>
      </c>
      <c r="P215" s="1" t="s">
        <v>53</v>
      </c>
      <c r="Q215" s="1" t="s">
        <v>46</v>
      </c>
      <c r="R215" s="4" t="s">
        <v>26</v>
      </c>
      <c r="S215" s="25">
        <f>Table1[[#This Row],[Clicks]]/Table1[[#This Row],[Impressions]]</f>
        <v>2.3095769409576943</v>
      </c>
      <c r="T215" s="22">
        <f>Table1[[#This Row],[Sales]]/Table1[[#This Row],[USD_Spend]]</f>
        <v>139.79700987098397</v>
      </c>
      <c r="U215" s="1" t="str">
        <f>Outlier_Check!C225</f>
        <v>Normal</v>
      </c>
    </row>
    <row r="216" spans="1:21" x14ac:dyDescent="0.35">
      <c r="A216" s="3" t="s">
        <v>94</v>
      </c>
      <c r="B216" s="1" t="s">
        <v>19</v>
      </c>
      <c r="C216" s="1" t="s">
        <v>69</v>
      </c>
      <c r="D216" s="1" t="s">
        <v>59</v>
      </c>
      <c r="E216" s="1" t="s">
        <v>38</v>
      </c>
      <c r="F216" s="1" t="s">
        <v>52</v>
      </c>
      <c r="G216" s="2">
        <v>45093</v>
      </c>
      <c r="H216" s="2">
        <v>45126</v>
      </c>
      <c r="I216" s="1">
        <v>4611.76</v>
      </c>
      <c r="J216" s="1">
        <v>1.0165</v>
      </c>
      <c r="K216" s="1">
        <v>4687.8500000000004</v>
      </c>
      <c r="L216" s="1">
        <v>319234</v>
      </c>
      <c r="M216" s="1">
        <v>1415</v>
      </c>
      <c r="N216" s="1">
        <v>83085.64</v>
      </c>
      <c r="O216" s="1">
        <v>2023</v>
      </c>
      <c r="P216" s="1" t="s">
        <v>53</v>
      </c>
      <c r="Q216" s="1" t="s">
        <v>46</v>
      </c>
      <c r="R216" s="4" t="s">
        <v>26</v>
      </c>
      <c r="S216" s="25">
        <f>Table1[[#This Row],[Clicks]]/Table1[[#This Row],[Impressions]]</f>
        <v>4.4324852615949427E-3</v>
      </c>
      <c r="T216" s="22">
        <f>Table1[[#This Row],[Sales]]/Table1[[#This Row],[USD_Spend]]</f>
        <v>17.723613170216623</v>
      </c>
      <c r="U216" s="1" t="str">
        <f>Outlier_Check!C226</f>
        <v>Normal</v>
      </c>
    </row>
    <row r="217" spans="1:21" x14ac:dyDescent="0.35">
      <c r="A217" s="3" t="s">
        <v>50</v>
      </c>
      <c r="B217" s="1" t="s">
        <v>48</v>
      </c>
      <c r="C217" s="1" t="s">
        <v>20</v>
      </c>
      <c r="D217" s="1" t="s">
        <v>51</v>
      </c>
      <c r="E217" s="1" t="s">
        <v>22</v>
      </c>
      <c r="F217" s="1" t="s">
        <v>52</v>
      </c>
      <c r="G217" s="2">
        <v>45093</v>
      </c>
      <c r="H217" s="2">
        <v>45121</v>
      </c>
      <c r="I217" s="1">
        <v>18408.259999999998</v>
      </c>
      <c r="J217" s="1">
        <v>0.8075</v>
      </c>
      <c r="K217" s="1">
        <v>14864.67</v>
      </c>
      <c r="L217" s="1">
        <v>745911</v>
      </c>
      <c r="M217" s="1">
        <v>44896</v>
      </c>
      <c r="N217" s="1">
        <v>163768.67000000001</v>
      </c>
      <c r="O217" s="1">
        <v>2023</v>
      </c>
      <c r="P217" s="1" t="s">
        <v>53</v>
      </c>
      <c r="Q217" s="1" t="s">
        <v>46</v>
      </c>
      <c r="R217" s="4" t="s">
        <v>54</v>
      </c>
      <c r="S217" s="25">
        <f>Table1[[#This Row],[Clicks]]/Table1[[#This Row],[Impressions]]</f>
        <v>6.0189486413258421E-2</v>
      </c>
      <c r="T217" s="22">
        <f>Table1[[#This Row],[Sales]]/Table1[[#This Row],[USD_Spend]]</f>
        <v>11.017309499639078</v>
      </c>
      <c r="U217" s="1" t="str">
        <f>Outlier_Check!C227</f>
        <v>Normal</v>
      </c>
    </row>
    <row r="218" spans="1:21" x14ac:dyDescent="0.35">
      <c r="A218" s="3" t="s">
        <v>111</v>
      </c>
      <c r="B218" s="1" t="s">
        <v>48</v>
      </c>
      <c r="C218" s="1" t="s">
        <v>69</v>
      </c>
      <c r="D218" s="1" t="s">
        <v>51</v>
      </c>
      <c r="E218" s="1" t="s">
        <v>22</v>
      </c>
      <c r="F218" s="1" t="s">
        <v>23</v>
      </c>
      <c r="G218" s="2">
        <v>45094</v>
      </c>
      <c r="H218" s="2">
        <v>45130</v>
      </c>
      <c r="I218" s="1">
        <v>47697.79</v>
      </c>
      <c r="J218" s="1">
        <v>0.63239999999999996</v>
      </c>
      <c r="K218" s="1">
        <v>30164.080000000002</v>
      </c>
      <c r="L218" s="1">
        <v>831021</v>
      </c>
      <c r="M218" s="1">
        <v>47336</v>
      </c>
      <c r="N218" s="1">
        <v>68515.509999999995</v>
      </c>
      <c r="O218" s="1">
        <v>2023</v>
      </c>
      <c r="P218" s="1" t="s">
        <v>53</v>
      </c>
      <c r="Q218" s="1" t="s">
        <v>46</v>
      </c>
      <c r="R218" s="4" t="s">
        <v>41</v>
      </c>
      <c r="S218" s="25">
        <f>Table1[[#This Row],[Clicks]]/Table1[[#This Row],[Impressions]]</f>
        <v>5.6961256093407991E-2</v>
      </c>
      <c r="T218" s="22">
        <f>Table1[[#This Row],[Sales]]/Table1[[#This Row],[USD_Spend]]</f>
        <v>2.2714271411559706</v>
      </c>
      <c r="U218" s="1" t="str">
        <f>Outlier_Check!C228</f>
        <v>Normal</v>
      </c>
    </row>
    <row r="219" spans="1:21" x14ac:dyDescent="0.35">
      <c r="A219" s="3" t="s">
        <v>62</v>
      </c>
      <c r="B219" s="1" t="s">
        <v>48</v>
      </c>
      <c r="C219" s="1" t="s">
        <v>29</v>
      </c>
      <c r="D219" s="1" t="s">
        <v>37</v>
      </c>
      <c r="E219" s="1" t="s">
        <v>22</v>
      </c>
      <c r="F219" s="1" t="s">
        <v>49</v>
      </c>
      <c r="G219" s="2">
        <v>45094</v>
      </c>
      <c r="H219" s="2">
        <v>45111</v>
      </c>
      <c r="I219" s="1">
        <v>12087.38</v>
      </c>
      <c r="J219" s="1">
        <v>0.49619999999999997</v>
      </c>
      <c r="K219" s="1">
        <v>5997.76</v>
      </c>
      <c r="L219" s="1">
        <v>25743</v>
      </c>
      <c r="M219" s="1">
        <v>17785</v>
      </c>
      <c r="N219" s="1">
        <v>237798.52</v>
      </c>
      <c r="O219" s="1">
        <v>2023</v>
      </c>
      <c r="P219" s="1" t="s">
        <v>53</v>
      </c>
      <c r="Q219" s="1" t="s">
        <v>46</v>
      </c>
      <c r="R219" s="4" t="s">
        <v>54</v>
      </c>
      <c r="S219" s="25">
        <f>Table1[[#This Row],[Clicks]]/Table1[[#This Row],[Impressions]]</f>
        <v>0.69086742026958781</v>
      </c>
      <c r="T219" s="22">
        <f>Table1[[#This Row],[Sales]]/Table1[[#This Row],[USD_Spend]]</f>
        <v>39.647888545056816</v>
      </c>
      <c r="U219" s="1" t="str">
        <f>Outlier_Check!C229</f>
        <v>Normal</v>
      </c>
    </row>
    <row r="220" spans="1:21" x14ac:dyDescent="0.35">
      <c r="A220" s="3" t="s">
        <v>117</v>
      </c>
      <c r="B220" s="1" t="s">
        <v>19</v>
      </c>
      <c r="C220" s="1" t="s">
        <v>36</v>
      </c>
      <c r="D220" s="1" t="s">
        <v>63</v>
      </c>
      <c r="E220" s="1" t="s">
        <v>30</v>
      </c>
      <c r="F220" s="1" t="s">
        <v>52</v>
      </c>
      <c r="G220" s="2">
        <v>45095</v>
      </c>
      <c r="H220" s="2">
        <v>45133</v>
      </c>
      <c r="I220" s="1">
        <v>36038.99</v>
      </c>
      <c r="J220" s="1">
        <v>0.57389999999999997</v>
      </c>
      <c r="K220" s="1">
        <v>20682.78</v>
      </c>
      <c r="L220" s="1">
        <v>343120</v>
      </c>
      <c r="M220" s="1">
        <v>27382</v>
      </c>
      <c r="N220" s="1">
        <v>48910.32</v>
      </c>
      <c r="O220" s="1">
        <v>2023</v>
      </c>
      <c r="P220" s="1" t="s">
        <v>53</v>
      </c>
      <c r="Q220" s="1" t="s">
        <v>46</v>
      </c>
      <c r="R220" s="4" t="s">
        <v>61</v>
      </c>
      <c r="S220" s="25">
        <f>Table1[[#This Row],[Clicks]]/Table1[[#This Row],[Impressions]]</f>
        <v>7.9802984378643041E-2</v>
      </c>
      <c r="T220" s="22">
        <f>Table1[[#This Row],[Sales]]/Table1[[#This Row],[USD_Spend]]</f>
        <v>2.3647846179285379</v>
      </c>
      <c r="U220" s="1" t="str">
        <f>Outlier_Check!C230</f>
        <v>Normal</v>
      </c>
    </row>
    <row r="221" spans="1:21" x14ac:dyDescent="0.35">
      <c r="A221" s="3" t="s">
        <v>98</v>
      </c>
      <c r="B221" s="1" t="s">
        <v>35</v>
      </c>
      <c r="C221" s="1" t="s">
        <v>20</v>
      </c>
      <c r="D221" s="1" t="s">
        <v>63</v>
      </c>
      <c r="E221" s="1" t="s">
        <v>22</v>
      </c>
      <c r="F221" s="1" t="s">
        <v>52</v>
      </c>
      <c r="G221" s="2">
        <v>45095</v>
      </c>
      <c r="H221" s="2">
        <v>45103</v>
      </c>
      <c r="I221" s="1">
        <v>40363.620000000003</v>
      </c>
      <c r="J221" s="1">
        <v>0.77949999999999997</v>
      </c>
      <c r="K221" s="1">
        <v>31463.439999999999</v>
      </c>
      <c r="L221" s="1">
        <v>214189</v>
      </c>
      <c r="M221" s="1">
        <v>17789</v>
      </c>
      <c r="N221" s="1">
        <v>31558.22</v>
      </c>
      <c r="O221" s="1">
        <v>2023</v>
      </c>
      <c r="P221" s="1" t="s">
        <v>53</v>
      </c>
      <c r="Q221" s="1" t="s">
        <v>46</v>
      </c>
      <c r="R221" s="4" t="s">
        <v>41</v>
      </c>
      <c r="S221" s="25">
        <f>Table1[[#This Row],[Clicks]]/Table1[[#This Row],[Impressions]]</f>
        <v>8.3052817838451087E-2</v>
      </c>
      <c r="T221" s="22">
        <f>Table1[[#This Row],[Sales]]/Table1[[#This Row],[USD_Spend]]</f>
        <v>1.0030123851683097</v>
      </c>
      <c r="U221" s="1" t="str">
        <f>Outlier_Check!C231</f>
        <v>Normal</v>
      </c>
    </row>
    <row r="222" spans="1:21" x14ac:dyDescent="0.35">
      <c r="A222" s="3" t="s">
        <v>27</v>
      </c>
      <c r="B222" s="1" t="s">
        <v>35</v>
      </c>
      <c r="C222" s="1" t="s">
        <v>20</v>
      </c>
      <c r="D222" s="1" t="s">
        <v>43</v>
      </c>
      <c r="E222" s="1" t="s">
        <v>22</v>
      </c>
      <c r="F222" s="1" t="s">
        <v>31</v>
      </c>
      <c r="G222" s="2">
        <v>45096</v>
      </c>
      <c r="H222" s="2">
        <v>45140</v>
      </c>
      <c r="I222" s="1">
        <v>7822.51</v>
      </c>
      <c r="J222" s="1">
        <v>0.25590000000000002</v>
      </c>
      <c r="K222" s="1">
        <v>2001.78</v>
      </c>
      <c r="L222" s="1">
        <v>226995</v>
      </c>
      <c r="M222" s="1">
        <v>3990</v>
      </c>
      <c r="N222" s="1">
        <v>144668.21</v>
      </c>
      <c r="O222" s="1">
        <v>2023</v>
      </c>
      <c r="P222" s="1" t="s">
        <v>53</v>
      </c>
      <c r="Q222" s="1" t="s">
        <v>46</v>
      </c>
      <c r="R222" s="4" t="s">
        <v>41</v>
      </c>
      <c r="S222" s="25">
        <f>Table1[[#This Row],[Clicks]]/Table1[[#This Row],[Impressions]]</f>
        <v>1.7577479680169168E-2</v>
      </c>
      <c r="T222" s="22">
        <f>Table1[[#This Row],[Sales]]/Table1[[#This Row],[USD_Spend]]</f>
        <v>72.269784891446605</v>
      </c>
      <c r="U222" s="1" t="str">
        <f>Outlier_Check!C232</f>
        <v>Normal</v>
      </c>
    </row>
    <row r="223" spans="1:21" x14ac:dyDescent="0.35">
      <c r="A223" s="3" t="s">
        <v>95</v>
      </c>
      <c r="B223" s="1" t="s">
        <v>48</v>
      </c>
      <c r="C223" s="1" t="s">
        <v>58</v>
      </c>
      <c r="D223" s="1" t="s">
        <v>37</v>
      </c>
      <c r="E223" s="1" t="s">
        <v>22</v>
      </c>
      <c r="F223" s="1" t="s">
        <v>44</v>
      </c>
      <c r="G223" s="2">
        <v>45098</v>
      </c>
      <c r="H223" s="2">
        <v>45152</v>
      </c>
      <c r="I223" s="1">
        <v>27360.77</v>
      </c>
      <c r="J223" s="1">
        <v>1.8700000000000001E-2</v>
      </c>
      <c r="K223" s="1">
        <v>511.65</v>
      </c>
      <c r="L223" s="1">
        <v>78652</v>
      </c>
      <c r="M223" s="1">
        <v>13913</v>
      </c>
      <c r="N223" s="1">
        <v>169232.11</v>
      </c>
      <c r="O223" s="1">
        <v>2023</v>
      </c>
      <c r="P223" s="1" t="s">
        <v>53</v>
      </c>
      <c r="Q223" s="1" t="s">
        <v>46</v>
      </c>
      <c r="R223" s="4" t="s">
        <v>54</v>
      </c>
      <c r="S223" s="25">
        <f>Table1[[#This Row],[Clicks]]/Table1[[#This Row],[Impressions]]</f>
        <v>0.17689314957025887</v>
      </c>
      <c r="T223" s="22">
        <f>Table1[[#This Row],[Sales]]/Table1[[#This Row],[USD_Spend]]</f>
        <v>330.75756865044463</v>
      </c>
      <c r="U223" s="1" t="str">
        <f>Outlier_Check!C233</f>
        <v>Normal</v>
      </c>
    </row>
    <row r="224" spans="1:21" x14ac:dyDescent="0.35">
      <c r="A224" s="3" t="s">
        <v>68</v>
      </c>
      <c r="B224" s="1" t="s">
        <v>48</v>
      </c>
      <c r="C224" s="1" t="s">
        <v>69</v>
      </c>
      <c r="D224" s="1" t="s">
        <v>59</v>
      </c>
      <c r="E224" s="1" t="s">
        <v>22</v>
      </c>
      <c r="F224" s="1" t="s">
        <v>31</v>
      </c>
      <c r="G224" s="2">
        <v>45099</v>
      </c>
      <c r="H224" s="2">
        <v>45140</v>
      </c>
      <c r="I224" s="1">
        <v>22224.66</v>
      </c>
      <c r="J224" s="1">
        <v>0.87209999999999999</v>
      </c>
      <c r="K224" s="1">
        <v>19382.13</v>
      </c>
      <c r="L224" s="1">
        <v>530226</v>
      </c>
      <c r="M224" s="1">
        <v>2032</v>
      </c>
      <c r="N224" s="1">
        <v>98768.71</v>
      </c>
      <c r="O224" s="1">
        <v>2023</v>
      </c>
      <c r="P224" s="1" t="s">
        <v>53</v>
      </c>
      <c r="Q224" s="1" t="s">
        <v>46</v>
      </c>
      <c r="R224" s="4" t="s">
        <v>41</v>
      </c>
      <c r="S224" s="25">
        <f>Table1[[#This Row],[Clicks]]/Table1[[#This Row],[Impressions]]</f>
        <v>3.8323281016019585E-3</v>
      </c>
      <c r="T224" s="22">
        <f>Table1[[#This Row],[Sales]]/Table1[[#This Row],[USD_Spend]]</f>
        <v>5.0958645927975921</v>
      </c>
      <c r="U224" s="1" t="str">
        <f>Outlier_Check!C234</f>
        <v>Normal</v>
      </c>
    </row>
    <row r="225" spans="1:21" x14ac:dyDescent="0.35">
      <c r="A225" s="3" t="s">
        <v>110</v>
      </c>
      <c r="B225" s="1" t="s">
        <v>19</v>
      </c>
      <c r="C225" s="1" t="s">
        <v>20</v>
      </c>
      <c r="D225" s="1" t="s">
        <v>59</v>
      </c>
      <c r="E225" s="1" t="s">
        <v>30</v>
      </c>
      <c r="F225" s="1" t="s">
        <v>23</v>
      </c>
      <c r="G225" s="2">
        <v>45101</v>
      </c>
      <c r="H225" s="2">
        <v>45141</v>
      </c>
      <c r="I225" s="1">
        <v>10494.74</v>
      </c>
      <c r="J225" s="1">
        <v>0.88919999999999999</v>
      </c>
      <c r="K225" s="1">
        <v>9331.92</v>
      </c>
      <c r="L225" s="1">
        <v>714827</v>
      </c>
      <c r="M225" s="1">
        <v>44820</v>
      </c>
      <c r="N225" s="1">
        <v>152728.26999999999</v>
      </c>
      <c r="O225" s="1">
        <v>2023</v>
      </c>
      <c r="P225" s="1" t="s">
        <v>53</v>
      </c>
      <c r="Q225" s="1" t="s">
        <v>46</v>
      </c>
      <c r="R225" s="4" t="s">
        <v>61</v>
      </c>
      <c r="S225" s="25">
        <f>Table1[[#This Row],[Clicks]]/Table1[[#This Row],[Impressions]]</f>
        <v>6.2700485572033518E-2</v>
      </c>
      <c r="T225" s="22">
        <f>Table1[[#This Row],[Sales]]/Table1[[#This Row],[USD_Spend]]</f>
        <v>16.366221527831357</v>
      </c>
      <c r="U225" s="1" t="str">
        <f>Outlier_Check!C235</f>
        <v>Normal</v>
      </c>
    </row>
    <row r="226" spans="1:21" x14ac:dyDescent="0.35">
      <c r="A226" s="3" t="s">
        <v>47</v>
      </c>
      <c r="B226" s="1" t="s">
        <v>19</v>
      </c>
      <c r="C226" s="1" t="s">
        <v>29</v>
      </c>
      <c r="D226" s="1" t="s">
        <v>21</v>
      </c>
      <c r="E226" s="1" t="s">
        <v>30</v>
      </c>
      <c r="F226" s="1" t="s">
        <v>49</v>
      </c>
      <c r="G226" s="2">
        <v>45102</v>
      </c>
      <c r="H226" s="2">
        <v>45158</v>
      </c>
      <c r="I226" s="1">
        <v>47433.1</v>
      </c>
      <c r="J226" s="1">
        <v>0.5575</v>
      </c>
      <c r="K226" s="1">
        <v>26443.95</v>
      </c>
      <c r="L226" s="1">
        <v>733108</v>
      </c>
      <c r="M226" s="1">
        <v>23814</v>
      </c>
      <c r="N226" s="1">
        <v>26591.82</v>
      </c>
      <c r="O226" s="1">
        <v>2023</v>
      </c>
      <c r="P226" s="1" t="s">
        <v>53</v>
      </c>
      <c r="Q226" s="1" t="s">
        <v>46</v>
      </c>
      <c r="R226" s="4" t="s">
        <v>26</v>
      </c>
      <c r="S226" s="25">
        <f>Table1[[#This Row],[Clicks]]/Table1[[#This Row],[Impressions]]</f>
        <v>3.248361769343671E-2</v>
      </c>
      <c r="T226" s="22">
        <f>Table1[[#This Row],[Sales]]/Table1[[#This Row],[USD_Spend]]</f>
        <v>1.005591827242148</v>
      </c>
      <c r="U226" s="1" t="str">
        <f>Outlier_Check!C236</f>
        <v>Normal</v>
      </c>
    </row>
    <row r="227" spans="1:21" x14ac:dyDescent="0.35">
      <c r="A227" s="3" t="s">
        <v>97</v>
      </c>
      <c r="B227" s="1" t="s">
        <v>28</v>
      </c>
      <c r="C227" s="1" t="s">
        <v>29</v>
      </c>
      <c r="D227" s="1" t="s">
        <v>43</v>
      </c>
      <c r="E227" s="1" t="s">
        <v>22</v>
      </c>
      <c r="F227" s="1" t="s">
        <v>44</v>
      </c>
      <c r="G227" s="2">
        <v>45102</v>
      </c>
      <c r="H227" s="2">
        <v>45157</v>
      </c>
      <c r="I227" s="1">
        <v>13740.37</v>
      </c>
      <c r="J227" s="1">
        <v>0.58620000000000005</v>
      </c>
      <c r="K227" s="1">
        <v>8054.6</v>
      </c>
      <c r="L227" s="1">
        <v>312143</v>
      </c>
      <c r="M227" s="1">
        <v>3201</v>
      </c>
      <c r="N227" s="1">
        <v>41342.89</v>
      </c>
      <c r="O227" s="1">
        <v>2023</v>
      </c>
      <c r="P227" s="1" t="s">
        <v>53</v>
      </c>
      <c r="Q227" s="1" t="s">
        <v>46</v>
      </c>
      <c r="R227" s="4" t="s">
        <v>41</v>
      </c>
      <c r="S227" s="25">
        <f>Table1[[#This Row],[Clicks]]/Table1[[#This Row],[Impressions]]</f>
        <v>1.0254915215141778E-2</v>
      </c>
      <c r="T227" s="22">
        <f>Table1[[#This Row],[Sales]]/Table1[[#This Row],[USD_Spend]]</f>
        <v>5.132829687383607</v>
      </c>
      <c r="U227" s="1" t="str">
        <f>Outlier_Check!C237</f>
        <v>Normal</v>
      </c>
    </row>
    <row r="228" spans="1:21" x14ac:dyDescent="0.35">
      <c r="A228" s="3" t="s">
        <v>96</v>
      </c>
      <c r="B228" s="1" t="s">
        <v>28</v>
      </c>
      <c r="C228" s="1" t="s">
        <v>36</v>
      </c>
      <c r="D228" s="1" t="s">
        <v>21</v>
      </c>
      <c r="E228" s="1" t="s">
        <v>22</v>
      </c>
      <c r="F228" s="1" t="s">
        <v>52</v>
      </c>
      <c r="G228" s="2">
        <v>45102</v>
      </c>
      <c r="H228" s="2">
        <v>45127</v>
      </c>
      <c r="I228" s="1">
        <v>43125.66</v>
      </c>
      <c r="J228" s="1">
        <v>0.49890000000000001</v>
      </c>
      <c r="K228" s="1">
        <v>21515.39</v>
      </c>
      <c r="L228" s="1">
        <v>174663</v>
      </c>
      <c r="M228" s="1">
        <v>7357</v>
      </c>
      <c r="N228" s="1">
        <v>36638.730000000003</v>
      </c>
      <c r="O228" s="1">
        <v>2023</v>
      </c>
      <c r="P228" s="1" t="s">
        <v>53</v>
      </c>
      <c r="Q228" s="1" t="s">
        <v>46</v>
      </c>
      <c r="R228" s="4" t="s">
        <v>61</v>
      </c>
      <c r="S228" s="25">
        <f>Table1[[#This Row],[Clicks]]/Table1[[#This Row],[Impressions]]</f>
        <v>4.212111322947619E-2</v>
      </c>
      <c r="T228" s="22">
        <f>Table1[[#This Row],[Sales]]/Table1[[#This Row],[USD_Spend]]</f>
        <v>1.7029080114280988</v>
      </c>
      <c r="U228" s="1" t="str">
        <f>Outlier_Check!C238</f>
        <v>Normal</v>
      </c>
    </row>
    <row r="229" spans="1:21" x14ac:dyDescent="0.35">
      <c r="A229" s="3" t="s">
        <v>111</v>
      </c>
      <c r="B229" s="1" t="s">
        <v>48</v>
      </c>
      <c r="C229" s="1" t="s">
        <v>58</v>
      </c>
      <c r="D229" s="1" t="s">
        <v>21</v>
      </c>
      <c r="E229" s="1" t="s">
        <v>30</v>
      </c>
      <c r="F229" s="1" t="s">
        <v>52</v>
      </c>
      <c r="G229" s="2">
        <v>45104</v>
      </c>
      <c r="H229" s="2">
        <v>45152</v>
      </c>
      <c r="I229" s="1">
        <v>30058</v>
      </c>
      <c r="J229" s="1">
        <v>0.39979999999999999</v>
      </c>
      <c r="K229" s="1">
        <v>12017.19</v>
      </c>
      <c r="L229" s="1">
        <v>305485</v>
      </c>
      <c r="M229" s="1">
        <v>13119</v>
      </c>
      <c r="N229" s="1">
        <v>25677.74</v>
      </c>
      <c r="O229" s="1">
        <v>2023</v>
      </c>
      <c r="P229" s="1" t="s">
        <v>53</v>
      </c>
      <c r="Q229" s="1" t="s">
        <v>46</v>
      </c>
      <c r="R229" s="4" t="s">
        <v>26</v>
      </c>
      <c r="S229" s="25">
        <f>Table1[[#This Row],[Clicks]]/Table1[[#This Row],[Impressions]]</f>
        <v>4.2944825441511042E-2</v>
      </c>
      <c r="T229" s="22">
        <f>Table1[[#This Row],[Sales]]/Table1[[#This Row],[USD_Spend]]</f>
        <v>2.1367507711869416</v>
      </c>
      <c r="U229" s="1" t="str">
        <f>Outlier_Check!C239</f>
        <v>Normal</v>
      </c>
    </row>
    <row r="230" spans="1:21" x14ac:dyDescent="0.35">
      <c r="A230" s="3" t="s">
        <v>71</v>
      </c>
      <c r="B230" s="1" t="s">
        <v>35</v>
      </c>
      <c r="C230" s="1" t="s">
        <v>29</v>
      </c>
      <c r="D230" s="1" t="s">
        <v>59</v>
      </c>
      <c r="E230" s="1" t="s">
        <v>30</v>
      </c>
      <c r="F230" s="1" t="s">
        <v>49</v>
      </c>
      <c r="G230" s="2">
        <v>45104</v>
      </c>
      <c r="H230" s="2">
        <v>45121</v>
      </c>
      <c r="I230" s="1">
        <v>34665.82</v>
      </c>
      <c r="J230" s="1">
        <v>1.0659000000000001</v>
      </c>
      <c r="K230" s="1">
        <v>36950.300000000003</v>
      </c>
      <c r="L230" s="1">
        <v>304736</v>
      </c>
      <c r="M230" s="1">
        <v>25844</v>
      </c>
      <c r="N230" s="1">
        <v>30209.18</v>
      </c>
      <c r="O230" s="1">
        <v>2023</v>
      </c>
      <c r="P230" s="1" t="s">
        <v>53</v>
      </c>
      <c r="Q230" s="1" t="s">
        <v>46</v>
      </c>
      <c r="R230" s="4" t="s">
        <v>54</v>
      </c>
      <c r="S230" s="25">
        <f>Table1[[#This Row],[Clicks]]/Table1[[#This Row],[Impressions]]</f>
        <v>8.4807833665861601E-2</v>
      </c>
      <c r="T230" s="22">
        <f>Table1[[#This Row],[Sales]]/Table1[[#This Row],[USD_Spend]]</f>
        <v>0.81756250964132893</v>
      </c>
      <c r="U230" s="1" t="str">
        <f>Outlier_Check!C240</f>
        <v>Normal</v>
      </c>
    </row>
    <row r="231" spans="1:21" x14ac:dyDescent="0.35">
      <c r="A231" s="3" t="s">
        <v>114</v>
      </c>
      <c r="B231" s="1" t="s">
        <v>19</v>
      </c>
      <c r="C231" s="1" t="s">
        <v>29</v>
      </c>
      <c r="D231" s="1" t="s">
        <v>63</v>
      </c>
      <c r="E231" s="1" t="s">
        <v>22</v>
      </c>
      <c r="F231" s="1" t="s">
        <v>23</v>
      </c>
      <c r="G231" s="2">
        <v>45105</v>
      </c>
      <c r="H231" s="2">
        <v>45124</v>
      </c>
      <c r="I231" s="1">
        <v>44383.73</v>
      </c>
      <c r="J231" s="1">
        <v>0.86539999999999995</v>
      </c>
      <c r="K231" s="1">
        <v>38409.68</v>
      </c>
      <c r="L231" s="1">
        <v>366324</v>
      </c>
      <c r="M231" s="1">
        <v>36440</v>
      </c>
      <c r="N231" s="1">
        <v>65261.24</v>
      </c>
      <c r="O231" s="1">
        <v>2023</v>
      </c>
      <c r="P231" s="1" t="s">
        <v>53</v>
      </c>
      <c r="Q231" s="1" t="s">
        <v>46</v>
      </c>
      <c r="R231" s="4" t="s">
        <v>61</v>
      </c>
      <c r="S231" s="25">
        <f>Table1[[#This Row],[Clicks]]/Table1[[#This Row],[Impressions]]</f>
        <v>9.947478188707265E-2</v>
      </c>
      <c r="T231" s="22">
        <f>Table1[[#This Row],[Sales]]/Table1[[#This Row],[USD_Spend]]</f>
        <v>1.6990831477898278</v>
      </c>
      <c r="U231" s="1" t="str">
        <f>Outlier_Check!C241</f>
        <v>Normal</v>
      </c>
    </row>
    <row r="232" spans="1:21" x14ac:dyDescent="0.35">
      <c r="A232" s="3" t="s">
        <v>27</v>
      </c>
      <c r="B232" s="1" t="s">
        <v>35</v>
      </c>
      <c r="C232" s="1" t="s">
        <v>36</v>
      </c>
      <c r="D232" s="1" t="s">
        <v>63</v>
      </c>
      <c r="E232" s="1" t="s">
        <v>30</v>
      </c>
      <c r="F232" s="1" t="s">
        <v>49</v>
      </c>
      <c r="G232" s="2">
        <v>45106</v>
      </c>
      <c r="H232" s="2">
        <v>45124</v>
      </c>
      <c r="I232" s="1">
        <v>48526.25</v>
      </c>
      <c r="J232" s="1">
        <v>0.53300000000000003</v>
      </c>
      <c r="K232" s="1">
        <v>25864.49</v>
      </c>
      <c r="L232" s="1">
        <v>276659</v>
      </c>
      <c r="M232" s="1">
        <v>38732</v>
      </c>
      <c r="N232" s="1">
        <v>18701.72</v>
      </c>
      <c r="O232" s="1">
        <v>2023</v>
      </c>
      <c r="P232" s="1" t="s">
        <v>53</v>
      </c>
      <c r="Q232" s="1" t="s">
        <v>46</v>
      </c>
      <c r="R232" s="4" t="s">
        <v>54</v>
      </c>
      <c r="S232" s="25">
        <f>Table1[[#This Row],[Clicks]]/Table1[[#This Row],[Impressions]]</f>
        <v>0.13999906021492162</v>
      </c>
      <c r="T232" s="22">
        <f>Table1[[#This Row],[Sales]]/Table1[[#This Row],[USD_Spend]]</f>
        <v>0.72306548476308641</v>
      </c>
      <c r="U232" s="1" t="str">
        <f>Outlier_Check!C242</f>
        <v>Normal</v>
      </c>
    </row>
    <row r="233" spans="1:21" x14ac:dyDescent="0.35">
      <c r="A233" s="3" t="s">
        <v>106</v>
      </c>
      <c r="B233" s="1" t="s">
        <v>28</v>
      </c>
      <c r="C233" s="1" t="s">
        <v>58</v>
      </c>
      <c r="D233" s="1" t="s">
        <v>43</v>
      </c>
      <c r="E233" s="1" t="s">
        <v>38</v>
      </c>
      <c r="F233" s="1" t="s">
        <v>52</v>
      </c>
      <c r="G233" s="2">
        <v>45107</v>
      </c>
      <c r="H233" s="2">
        <v>45141</v>
      </c>
      <c r="I233" s="1">
        <v>47859.46</v>
      </c>
      <c r="J233" s="1">
        <v>0.79610000000000003</v>
      </c>
      <c r="K233" s="1">
        <v>38100.92</v>
      </c>
      <c r="L233" s="1">
        <v>374462</v>
      </c>
      <c r="M233" s="1">
        <v>45776</v>
      </c>
      <c r="N233" s="1">
        <v>102531.88</v>
      </c>
      <c r="O233" s="1">
        <v>2023</v>
      </c>
      <c r="P233" s="1" t="s">
        <v>53</v>
      </c>
      <c r="Q233" s="1" t="s">
        <v>46</v>
      </c>
      <c r="R233" s="4" t="s">
        <v>26</v>
      </c>
      <c r="S233" s="25">
        <f>Table1[[#This Row],[Clicks]]/Table1[[#This Row],[Impressions]]</f>
        <v>0.1222447137493257</v>
      </c>
      <c r="T233" s="22">
        <f>Table1[[#This Row],[Sales]]/Table1[[#This Row],[USD_Spend]]</f>
        <v>2.6910604783296574</v>
      </c>
      <c r="U233" s="1" t="str">
        <f>Outlier_Check!C243</f>
        <v>Normal</v>
      </c>
    </row>
    <row r="234" spans="1:21" x14ac:dyDescent="0.35">
      <c r="A234" s="3" t="s">
        <v>86</v>
      </c>
      <c r="B234" s="1" t="s">
        <v>35</v>
      </c>
      <c r="C234" s="1" t="s">
        <v>20</v>
      </c>
      <c r="D234" s="1" t="s">
        <v>43</v>
      </c>
      <c r="E234" s="1" t="s">
        <v>22</v>
      </c>
      <c r="F234" s="1" t="s">
        <v>44</v>
      </c>
      <c r="G234" s="2">
        <v>45107</v>
      </c>
      <c r="H234" s="2">
        <v>45127</v>
      </c>
      <c r="I234" s="1">
        <v>30033.46</v>
      </c>
      <c r="J234" s="1">
        <v>0.96940000000000004</v>
      </c>
      <c r="K234" s="1">
        <v>29114.44</v>
      </c>
      <c r="L234" s="1">
        <v>741514</v>
      </c>
      <c r="M234" s="1">
        <v>23613</v>
      </c>
      <c r="N234" s="1">
        <v>228925.1</v>
      </c>
      <c r="O234" s="1">
        <v>2023</v>
      </c>
      <c r="P234" s="1" t="s">
        <v>53</v>
      </c>
      <c r="Q234" s="1" t="s">
        <v>46</v>
      </c>
      <c r="R234" s="4" t="s">
        <v>61</v>
      </c>
      <c r="S234" s="25">
        <f>Table1[[#This Row],[Clicks]]/Table1[[#This Row],[Impressions]]</f>
        <v>3.1844307727163616E-2</v>
      </c>
      <c r="T234" s="22">
        <f>Table1[[#This Row],[Sales]]/Table1[[#This Row],[USD_Spend]]</f>
        <v>7.8629401767645204</v>
      </c>
      <c r="U234" s="1" t="str">
        <f>Outlier_Check!C244</f>
        <v>Normal</v>
      </c>
    </row>
    <row r="235" spans="1:21" x14ac:dyDescent="0.35">
      <c r="A235" s="3" t="s">
        <v>85</v>
      </c>
      <c r="B235" s="1" t="s">
        <v>48</v>
      </c>
      <c r="C235" s="1" t="s">
        <v>69</v>
      </c>
      <c r="D235" s="1" t="s">
        <v>59</v>
      </c>
      <c r="E235" s="1" t="s">
        <v>22</v>
      </c>
      <c r="F235" s="1" t="s">
        <v>44</v>
      </c>
      <c r="G235" s="2">
        <v>45109</v>
      </c>
      <c r="H235" s="2">
        <v>45138</v>
      </c>
      <c r="I235" s="1">
        <v>19300.77</v>
      </c>
      <c r="J235" s="1">
        <v>0.55469999999999997</v>
      </c>
      <c r="K235" s="1">
        <v>10706.14</v>
      </c>
      <c r="L235" s="1">
        <v>213586</v>
      </c>
      <c r="M235" s="1">
        <v>41520</v>
      </c>
      <c r="N235" s="1">
        <v>92854.6</v>
      </c>
      <c r="O235" s="1">
        <v>2023</v>
      </c>
      <c r="P235" s="1" t="s">
        <v>80</v>
      </c>
      <c r="Q235" s="1" t="s">
        <v>33</v>
      </c>
      <c r="R235" s="4" t="s">
        <v>26</v>
      </c>
      <c r="S235" s="25">
        <f>Table1[[#This Row],[Clicks]]/Table1[[#This Row],[Impressions]]</f>
        <v>0.19439476370174075</v>
      </c>
      <c r="T235" s="22">
        <f>Table1[[#This Row],[Sales]]/Table1[[#This Row],[USD_Spend]]</f>
        <v>8.6730231437287397</v>
      </c>
      <c r="U235" s="1" t="str">
        <f>Outlier_Check!C245</f>
        <v>Normal</v>
      </c>
    </row>
    <row r="236" spans="1:21" x14ac:dyDescent="0.35">
      <c r="A236" s="3" t="s">
        <v>101</v>
      </c>
      <c r="B236" s="1" t="s">
        <v>19</v>
      </c>
      <c r="C236" s="1" t="s">
        <v>58</v>
      </c>
      <c r="D236" s="1" t="s">
        <v>51</v>
      </c>
      <c r="E236" s="1" t="s">
        <v>22</v>
      </c>
      <c r="F236" s="1" t="s">
        <v>52</v>
      </c>
      <c r="G236" s="2">
        <v>45110</v>
      </c>
      <c r="H236" s="2">
        <v>45154</v>
      </c>
      <c r="I236" s="1">
        <v>36928.949999999997</v>
      </c>
      <c r="J236" s="1">
        <v>0.55479999999999996</v>
      </c>
      <c r="K236" s="1">
        <v>20488.18</v>
      </c>
      <c r="L236" s="1">
        <v>965077</v>
      </c>
      <c r="M236" s="1">
        <v>43293</v>
      </c>
      <c r="N236" s="1">
        <v>49943.86</v>
      </c>
      <c r="O236" s="1">
        <v>2023</v>
      </c>
      <c r="P236" s="1" t="s">
        <v>80</v>
      </c>
      <c r="Q236" s="1" t="s">
        <v>33</v>
      </c>
      <c r="R236" s="4" t="s">
        <v>61</v>
      </c>
      <c r="S236" s="25">
        <f>Table1[[#This Row],[Clicks]]/Table1[[#This Row],[Impressions]]</f>
        <v>4.4859632961929463E-2</v>
      </c>
      <c r="T236" s="22">
        <f>Table1[[#This Row],[Sales]]/Table1[[#This Row],[USD_Spend]]</f>
        <v>2.4376913908409628</v>
      </c>
      <c r="U236" s="1" t="str">
        <f>Outlier_Check!C246</f>
        <v>Normal</v>
      </c>
    </row>
    <row r="237" spans="1:21" x14ac:dyDescent="0.35">
      <c r="A237" s="3" t="s">
        <v>88</v>
      </c>
      <c r="B237" s="1" t="s">
        <v>48</v>
      </c>
      <c r="C237" s="1" t="s">
        <v>36</v>
      </c>
      <c r="D237" s="1" t="s">
        <v>37</v>
      </c>
      <c r="E237" s="1" t="s">
        <v>22</v>
      </c>
      <c r="F237" s="1" t="s">
        <v>49</v>
      </c>
      <c r="G237" s="2">
        <v>45110</v>
      </c>
      <c r="H237" s="2">
        <v>45144</v>
      </c>
      <c r="I237" s="1">
        <v>29925.46</v>
      </c>
      <c r="J237" s="1">
        <v>0.85799999999999998</v>
      </c>
      <c r="K237" s="1">
        <v>25676.04</v>
      </c>
      <c r="L237" s="1">
        <v>221741</v>
      </c>
      <c r="M237" s="1">
        <v>29898</v>
      </c>
      <c r="N237" s="1">
        <v>27094.02</v>
      </c>
      <c r="O237" s="1">
        <v>2023</v>
      </c>
      <c r="P237" s="1" t="s">
        <v>80</v>
      </c>
      <c r="Q237" s="1" t="s">
        <v>33</v>
      </c>
      <c r="R237" s="4" t="s">
        <v>41</v>
      </c>
      <c r="S237" s="25">
        <f>Table1[[#This Row],[Clicks]]/Table1[[#This Row],[Impressions]]</f>
        <v>0.13483298081996564</v>
      </c>
      <c r="T237" s="22">
        <f>Table1[[#This Row],[Sales]]/Table1[[#This Row],[USD_Spend]]</f>
        <v>1.0552258058485655</v>
      </c>
      <c r="U237" s="1" t="str">
        <f>Outlier_Check!C247</f>
        <v>Normal</v>
      </c>
    </row>
    <row r="238" spans="1:21" x14ac:dyDescent="0.35">
      <c r="A238" s="3" t="s">
        <v>117</v>
      </c>
      <c r="B238" s="1" t="s">
        <v>35</v>
      </c>
      <c r="C238" s="1" t="s">
        <v>20</v>
      </c>
      <c r="D238" s="1" t="s">
        <v>21</v>
      </c>
      <c r="E238" s="1" t="s">
        <v>30</v>
      </c>
      <c r="F238" s="1" t="s">
        <v>44</v>
      </c>
      <c r="G238" s="2">
        <v>45110</v>
      </c>
      <c r="H238" s="2">
        <v>45135</v>
      </c>
      <c r="I238" s="1">
        <v>35911.86</v>
      </c>
      <c r="J238" s="1">
        <v>0.63529999999999998</v>
      </c>
      <c r="K238" s="1">
        <v>22814.799999999999</v>
      </c>
      <c r="L238" s="1">
        <v>516773</v>
      </c>
      <c r="M238" s="1">
        <v>47000</v>
      </c>
      <c r="N238" s="1">
        <v>239159.21</v>
      </c>
      <c r="O238" s="1">
        <v>2023</v>
      </c>
      <c r="P238" s="1" t="s">
        <v>80</v>
      </c>
      <c r="Q238" s="1" t="s">
        <v>33</v>
      </c>
      <c r="R238" s="4" t="s">
        <v>26</v>
      </c>
      <c r="S238" s="25">
        <f>Table1[[#This Row],[Clicks]]/Table1[[#This Row],[Impressions]]</f>
        <v>9.0949024039568629E-2</v>
      </c>
      <c r="T238" s="22">
        <f>Table1[[#This Row],[Sales]]/Table1[[#This Row],[USD_Spend]]</f>
        <v>10.482634517944492</v>
      </c>
      <c r="U238" s="1" t="str">
        <f>Outlier_Check!C248</f>
        <v>Normal</v>
      </c>
    </row>
    <row r="239" spans="1:21" x14ac:dyDescent="0.35">
      <c r="A239" s="3" t="s">
        <v>66</v>
      </c>
      <c r="B239" s="1" t="s">
        <v>19</v>
      </c>
      <c r="C239" s="1" t="s">
        <v>69</v>
      </c>
      <c r="D239" s="1" t="s">
        <v>37</v>
      </c>
      <c r="E239" s="1" t="s">
        <v>30</v>
      </c>
      <c r="F239" s="1" t="s">
        <v>44</v>
      </c>
      <c r="G239" s="2">
        <v>45111</v>
      </c>
      <c r="H239" s="2">
        <v>45129</v>
      </c>
      <c r="I239" s="1">
        <v>17744.88</v>
      </c>
      <c r="J239" s="1">
        <v>0.92169999999999996</v>
      </c>
      <c r="K239" s="1">
        <v>16355.46</v>
      </c>
      <c r="L239" s="1">
        <v>211332</v>
      </c>
      <c r="M239" s="1">
        <v>14946</v>
      </c>
      <c r="N239" s="1">
        <v>249994.27</v>
      </c>
      <c r="O239" s="1">
        <v>2023</v>
      </c>
      <c r="P239" s="1" t="s">
        <v>80</v>
      </c>
      <c r="Q239" s="1" t="s">
        <v>33</v>
      </c>
      <c r="R239" s="4" t="s">
        <v>26</v>
      </c>
      <c r="S239" s="25">
        <f>Table1[[#This Row],[Clicks]]/Table1[[#This Row],[Impressions]]</f>
        <v>7.0722843677247169E-2</v>
      </c>
      <c r="T239" s="22">
        <f>Table1[[#This Row],[Sales]]/Table1[[#This Row],[USD_Spend]]</f>
        <v>15.285065048613735</v>
      </c>
      <c r="U239" s="1" t="str">
        <f>Outlier_Check!C249</f>
        <v>Normal</v>
      </c>
    </row>
    <row r="240" spans="1:21" x14ac:dyDescent="0.35">
      <c r="A240" s="3" t="s">
        <v>102</v>
      </c>
      <c r="B240" s="1" t="s">
        <v>35</v>
      </c>
      <c r="C240" s="1" t="s">
        <v>36</v>
      </c>
      <c r="D240" s="1" t="s">
        <v>59</v>
      </c>
      <c r="E240" s="1" t="s">
        <v>38</v>
      </c>
      <c r="F240" s="1" t="s">
        <v>49</v>
      </c>
      <c r="G240" s="2">
        <v>45112</v>
      </c>
      <c r="H240" s="2">
        <v>45154</v>
      </c>
      <c r="I240" s="1">
        <v>22358.36</v>
      </c>
      <c r="J240" s="1">
        <v>0.97899999999999998</v>
      </c>
      <c r="K240" s="1">
        <v>21888.83</v>
      </c>
      <c r="L240" s="1">
        <v>105674</v>
      </c>
      <c r="M240" s="1">
        <v>30902</v>
      </c>
      <c r="N240" s="1">
        <v>90250.46</v>
      </c>
      <c r="O240" s="1">
        <v>2023</v>
      </c>
      <c r="P240" s="1" t="s">
        <v>80</v>
      </c>
      <c r="Q240" s="1" t="s">
        <v>33</v>
      </c>
      <c r="R240" s="4" t="s">
        <v>54</v>
      </c>
      <c r="S240" s="25">
        <f>Table1[[#This Row],[Clicks]]/Table1[[#This Row],[Impressions]]</f>
        <v>0.29242765486306943</v>
      </c>
      <c r="T240" s="22">
        <f>Table1[[#This Row],[Sales]]/Table1[[#This Row],[USD_Spend]]</f>
        <v>4.1231285546098171</v>
      </c>
      <c r="U240" s="1" t="str">
        <f>Outlier_Check!C250</f>
        <v>Normal</v>
      </c>
    </row>
    <row r="241" spans="1:21" x14ac:dyDescent="0.35">
      <c r="A241" s="3" t="s">
        <v>93</v>
      </c>
      <c r="B241" s="1" t="s">
        <v>19</v>
      </c>
      <c r="C241" s="1" t="s">
        <v>69</v>
      </c>
      <c r="D241" s="1" t="s">
        <v>43</v>
      </c>
      <c r="E241" s="1" t="s">
        <v>22</v>
      </c>
      <c r="F241" s="1" t="s">
        <v>49</v>
      </c>
      <c r="G241" s="2">
        <v>45113</v>
      </c>
      <c r="H241" s="2">
        <v>45129</v>
      </c>
      <c r="I241" s="1">
        <v>42127.25</v>
      </c>
      <c r="J241" s="1">
        <v>0.83450000000000002</v>
      </c>
      <c r="K241" s="1">
        <v>35155.19</v>
      </c>
      <c r="L241" s="1">
        <v>708724</v>
      </c>
      <c r="M241" s="1">
        <v>10158</v>
      </c>
      <c r="N241" s="1">
        <v>44507.4</v>
      </c>
      <c r="O241" s="1">
        <v>2023</v>
      </c>
      <c r="P241" s="1" t="s">
        <v>80</v>
      </c>
      <c r="Q241" s="1" t="s">
        <v>33</v>
      </c>
      <c r="R241" s="4" t="s">
        <v>41</v>
      </c>
      <c r="S241" s="25">
        <f>Table1[[#This Row],[Clicks]]/Table1[[#This Row],[Impressions]]</f>
        <v>1.4332800921091991E-2</v>
      </c>
      <c r="T241" s="22">
        <f>Table1[[#This Row],[Sales]]/Table1[[#This Row],[USD_Spend]]</f>
        <v>1.2660264387704916</v>
      </c>
      <c r="U241" s="1" t="str">
        <f>Outlier_Check!C251</f>
        <v>Normal</v>
      </c>
    </row>
    <row r="242" spans="1:21" x14ac:dyDescent="0.35">
      <c r="A242" s="3" t="s">
        <v>105</v>
      </c>
      <c r="B242" s="1" t="s">
        <v>28</v>
      </c>
      <c r="C242" s="1" t="s">
        <v>29</v>
      </c>
      <c r="D242" s="1" t="s">
        <v>21</v>
      </c>
      <c r="E242" s="1" t="s">
        <v>30</v>
      </c>
      <c r="F242" s="1" t="s">
        <v>44</v>
      </c>
      <c r="G242" s="2">
        <v>45114</v>
      </c>
      <c r="H242" s="2">
        <v>45142</v>
      </c>
      <c r="I242" s="1">
        <v>34978.39</v>
      </c>
      <c r="J242" s="1">
        <v>0.6179</v>
      </c>
      <c r="K242" s="1">
        <v>21613.15</v>
      </c>
      <c r="L242" s="1">
        <v>448555</v>
      </c>
      <c r="M242" s="1">
        <v>39187</v>
      </c>
      <c r="N242" s="1">
        <v>38777.49</v>
      </c>
      <c r="O242" s="1">
        <v>2023</v>
      </c>
      <c r="P242" s="1" t="s">
        <v>80</v>
      </c>
      <c r="Q242" s="1" t="s">
        <v>33</v>
      </c>
      <c r="R242" s="4" t="s">
        <v>61</v>
      </c>
      <c r="S242" s="25">
        <f>Table1[[#This Row],[Clicks]]/Table1[[#This Row],[Impressions]]</f>
        <v>8.7362753731426476E-2</v>
      </c>
      <c r="T242" s="22">
        <f>Table1[[#This Row],[Sales]]/Table1[[#This Row],[USD_Spend]]</f>
        <v>1.7941618875545673</v>
      </c>
      <c r="U242" s="1" t="str">
        <f>Outlier_Check!C252</f>
        <v>Normal</v>
      </c>
    </row>
    <row r="243" spans="1:21" x14ac:dyDescent="0.35">
      <c r="A243" s="3" t="s">
        <v>89</v>
      </c>
      <c r="B243" s="1" t="s">
        <v>19</v>
      </c>
      <c r="C243" s="1" t="s">
        <v>29</v>
      </c>
      <c r="D243" s="1" t="s">
        <v>59</v>
      </c>
      <c r="E243" s="1" t="s">
        <v>38</v>
      </c>
      <c r="F243" s="1" t="s">
        <v>23</v>
      </c>
      <c r="G243" s="2">
        <v>45115</v>
      </c>
      <c r="H243" s="2">
        <v>45174</v>
      </c>
      <c r="I243" s="1">
        <v>2131.9499999999998</v>
      </c>
      <c r="J243" s="1">
        <v>0.876</v>
      </c>
      <c r="K243" s="1">
        <v>1867.59</v>
      </c>
      <c r="L243" s="1">
        <v>704180</v>
      </c>
      <c r="M243" s="1">
        <v>16591</v>
      </c>
      <c r="N243" s="1">
        <v>235407.15</v>
      </c>
      <c r="O243" s="1">
        <v>2023</v>
      </c>
      <c r="P243" s="1" t="s">
        <v>80</v>
      </c>
      <c r="Q243" s="1" t="s">
        <v>33</v>
      </c>
      <c r="R243" s="4" t="s">
        <v>26</v>
      </c>
      <c r="S243" s="25">
        <f>Table1[[#This Row],[Clicks]]/Table1[[#This Row],[Impressions]]</f>
        <v>2.3560737311482859E-2</v>
      </c>
      <c r="T243" s="22">
        <f>Table1[[#This Row],[Sales]]/Table1[[#This Row],[USD_Spend]]</f>
        <v>126.04862416269096</v>
      </c>
      <c r="U243" s="1" t="str">
        <f>Outlier_Check!C253</f>
        <v>Normal</v>
      </c>
    </row>
    <row r="244" spans="1:21" x14ac:dyDescent="0.35">
      <c r="A244" s="3" t="s">
        <v>96</v>
      </c>
      <c r="B244" s="1" t="s">
        <v>28</v>
      </c>
      <c r="C244" s="1" t="s">
        <v>69</v>
      </c>
      <c r="D244" s="1" t="s">
        <v>21</v>
      </c>
      <c r="E244" s="1" t="s">
        <v>30</v>
      </c>
      <c r="F244" s="1" t="s">
        <v>31</v>
      </c>
      <c r="G244" s="2">
        <v>45115</v>
      </c>
      <c r="H244" s="2">
        <v>45140</v>
      </c>
      <c r="I244" s="1">
        <v>42136.6</v>
      </c>
      <c r="J244" s="1">
        <v>0.1832</v>
      </c>
      <c r="K244" s="1">
        <v>7719.43</v>
      </c>
      <c r="L244" s="1">
        <v>40915</v>
      </c>
      <c r="M244" s="1">
        <v>20985</v>
      </c>
      <c r="N244" s="1">
        <v>220632.32000000001</v>
      </c>
      <c r="O244" s="1">
        <v>2023</v>
      </c>
      <c r="P244" s="1" t="s">
        <v>80</v>
      </c>
      <c r="Q244" s="1" t="s">
        <v>33</v>
      </c>
      <c r="R244" s="4" t="s">
        <v>61</v>
      </c>
      <c r="S244" s="25">
        <f>Table1[[#This Row],[Clicks]]/Table1[[#This Row],[Impressions]]</f>
        <v>0.51289258218257361</v>
      </c>
      <c r="T244" s="22">
        <f>Table1[[#This Row],[Sales]]/Table1[[#This Row],[USD_Spend]]</f>
        <v>28.581426348836636</v>
      </c>
      <c r="U244" s="1" t="str">
        <f>Outlier_Check!C254</f>
        <v>Normal</v>
      </c>
    </row>
    <row r="245" spans="1:21" x14ac:dyDescent="0.35">
      <c r="A245" s="3" t="s">
        <v>91</v>
      </c>
      <c r="B245" s="1" t="s">
        <v>35</v>
      </c>
      <c r="C245" s="1" t="s">
        <v>29</v>
      </c>
      <c r="D245" s="1" t="s">
        <v>63</v>
      </c>
      <c r="E245" s="1" t="s">
        <v>30</v>
      </c>
      <c r="F245" s="1" t="s">
        <v>23</v>
      </c>
      <c r="G245" s="2">
        <v>45116</v>
      </c>
      <c r="H245" s="2">
        <v>45144</v>
      </c>
      <c r="I245" s="1">
        <v>44389.14</v>
      </c>
      <c r="J245" s="1">
        <v>0.4496</v>
      </c>
      <c r="K245" s="1">
        <v>19957.36</v>
      </c>
      <c r="L245" s="1">
        <v>477429</v>
      </c>
      <c r="M245" s="1">
        <v>3024</v>
      </c>
      <c r="N245" s="1">
        <v>69507.509999999995</v>
      </c>
      <c r="O245" s="1">
        <v>2023</v>
      </c>
      <c r="P245" s="1" t="s">
        <v>80</v>
      </c>
      <c r="Q245" s="1" t="s">
        <v>33</v>
      </c>
      <c r="R245" s="4" t="s">
        <v>61</v>
      </c>
      <c r="S245" s="25">
        <f>Table1[[#This Row],[Clicks]]/Table1[[#This Row],[Impressions]]</f>
        <v>6.3339260916282841E-3</v>
      </c>
      <c r="T245" s="22">
        <f>Table1[[#This Row],[Sales]]/Table1[[#This Row],[USD_Spend]]</f>
        <v>3.4828008313724856</v>
      </c>
      <c r="U245" s="1" t="str">
        <f>Outlier_Check!C255</f>
        <v>Normal</v>
      </c>
    </row>
    <row r="246" spans="1:21" x14ac:dyDescent="0.35">
      <c r="A246" s="3" t="s">
        <v>77</v>
      </c>
      <c r="B246" s="1" t="s">
        <v>35</v>
      </c>
      <c r="C246" s="1" t="s">
        <v>69</v>
      </c>
      <c r="D246" s="1" t="s">
        <v>43</v>
      </c>
      <c r="E246" s="1" t="s">
        <v>30</v>
      </c>
      <c r="F246" s="1" t="s">
        <v>52</v>
      </c>
      <c r="G246" s="2">
        <v>45117</v>
      </c>
      <c r="H246" s="2">
        <v>45137</v>
      </c>
      <c r="I246" s="1">
        <v>7745.96</v>
      </c>
      <c r="J246" s="1">
        <v>6.2399999999999997E-2</v>
      </c>
      <c r="K246" s="1">
        <v>483.35</v>
      </c>
      <c r="L246" s="1">
        <v>143882</v>
      </c>
      <c r="M246" s="1">
        <v>20525</v>
      </c>
      <c r="N246" s="1">
        <v>148207.96</v>
      </c>
      <c r="O246" s="1">
        <v>2023</v>
      </c>
      <c r="P246" s="1" t="s">
        <v>80</v>
      </c>
      <c r="Q246" s="1" t="s">
        <v>33</v>
      </c>
      <c r="R246" s="4" t="s">
        <v>61</v>
      </c>
      <c r="S246" s="25">
        <f>Table1[[#This Row],[Clicks]]/Table1[[#This Row],[Impressions]]</f>
        <v>0.14265161729750769</v>
      </c>
      <c r="T246" s="22">
        <f>Table1[[#This Row],[Sales]]/Table1[[#This Row],[USD_Spend]]</f>
        <v>306.62658529016238</v>
      </c>
      <c r="U246" s="1" t="str">
        <f>Outlier_Check!C256</f>
        <v>Normal</v>
      </c>
    </row>
    <row r="247" spans="1:21" x14ac:dyDescent="0.35">
      <c r="A247" s="3" t="s">
        <v>78</v>
      </c>
      <c r="B247" s="1" t="s">
        <v>28</v>
      </c>
      <c r="C247" s="1" t="s">
        <v>36</v>
      </c>
      <c r="D247" s="1" t="s">
        <v>21</v>
      </c>
      <c r="E247" s="1" t="s">
        <v>30</v>
      </c>
      <c r="F247" s="1" t="s">
        <v>52</v>
      </c>
      <c r="G247" s="2">
        <v>45118</v>
      </c>
      <c r="H247" s="2">
        <v>45154</v>
      </c>
      <c r="I247" s="1">
        <v>34911.360000000001</v>
      </c>
      <c r="J247" s="1">
        <v>0.4471</v>
      </c>
      <c r="K247" s="1">
        <v>15608.87</v>
      </c>
      <c r="L247" s="1">
        <v>846020</v>
      </c>
      <c r="M247" s="1">
        <v>34131</v>
      </c>
      <c r="N247" s="1">
        <v>70346.570000000007</v>
      </c>
      <c r="O247" s="1">
        <v>2023</v>
      </c>
      <c r="P247" s="1" t="s">
        <v>80</v>
      </c>
      <c r="Q247" s="1" t="s">
        <v>33</v>
      </c>
      <c r="R247" s="4" t="s">
        <v>41</v>
      </c>
      <c r="S247" s="25">
        <f>Table1[[#This Row],[Clicks]]/Table1[[#This Row],[Impressions]]</f>
        <v>4.0343017895558025E-2</v>
      </c>
      <c r="T247" s="22">
        <f>Table1[[#This Row],[Sales]]/Table1[[#This Row],[USD_Spend]]</f>
        <v>4.5068329738155297</v>
      </c>
      <c r="U247" s="1" t="str">
        <f>Outlier_Check!C257</f>
        <v>Normal</v>
      </c>
    </row>
    <row r="248" spans="1:21" x14ac:dyDescent="0.35">
      <c r="A248" s="3" t="s">
        <v>82</v>
      </c>
      <c r="B248" s="1" t="s">
        <v>19</v>
      </c>
      <c r="C248" s="1" t="s">
        <v>58</v>
      </c>
      <c r="D248" s="1" t="s">
        <v>37</v>
      </c>
      <c r="E248" s="1" t="s">
        <v>38</v>
      </c>
      <c r="F248" s="1" t="s">
        <v>44</v>
      </c>
      <c r="G248" s="2">
        <v>45118</v>
      </c>
      <c r="H248" s="2">
        <v>45135</v>
      </c>
      <c r="I248" s="1">
        <v>4405.0600000000004</v>
      </c>
      <c r="J248" s="1">
        <v>1.1559999999999999</v>
      </c>
      <c r="K248" s="1">
        <v>5092.25</v>
      </c>
      <c r="L248" s="1">
        <v>307604</v>
      </c>
      <c r="M248" s="1">
        <v>13593</v>
      </c>
      <c r="N248" s="1">
        <v>62094.66</v>
      </c>
      <c r="O248" s="1">
        <v>2023</v>
      </c>
      <c r="P248" s="1" t="s">
        <v>80</v>
      </c>
      <c r="Q248" s="1" t="s">
        <v>33</v>
      </c>
      <c r="R248" s="4" t="s">
        <v>26</v>
      </c>
      <c r="S248" s="25">
        <f>Table1[[#This Row],[Clicks]]/Table1[[#This Row],[Impressions]]</f>
        <v>4.4189932510630553E-2</v>
      </c>
      <c r="T248" s="22">
        <f>Table1[[#This Row],[Sales]]/Table1[[#This Row],[USD_Spend]]</f>
        <v>12.193953556875645</v>
      </c>
      <c r="U248" s="1" t="str">
        <f>Outlier_Check!C258</f>
        <v>Normal</v>
      </c>
    </row>
    <row r="249" spans="1:21" x14ac:dyDescent="0.35">
      <c r="A249" s="3" t="s">
        <v>83</v>
      </c>
      <c r="B249" s="1" t="s">
        <v>48</v>
      </c>
      <c r="C249" s="1" t="s">
        <v>29</v>
      </c>
      <c r="D249" s="1" t="s">
        <v>43</v>
      </c>
      <c r="E249" s="1" t="s">
        <v>38</v>
      </c>
      <c r="F249" s="1" t="s">
        <v>23</v>
      </c>
      <c r="G249" s="2">
        <v>45118</v>
      </c>
      <c r="H249" s="2">
        <v>45134</v>
      </c>
      <c r="I249" s="1">
        <v>37018.89</v>
      </c>
      <c r="J249" s="1">
        <v>0.152</v>
      </c>
      <c r="K249" s="1">
        <v>5626.87</v>
      </c>
      <c r="L249" s="1">
        <v>52608</v>
      </c>
      <c r="M249" s="1">
        <v>28182</v>
      </c>
      <c r="N249" s="1">
        <v>73382.5</v>
      </c>
      <c r="O249" s="1">
        <v>2023</v>
      </c>
      <c r="P249" s="1" t="s">
        <v>80</v>
      </c>
      <c r="Q249" s="1" t="s">
        <v>33</v>
      </c>
      <c r="R249" s="4" t="s">
        <v>41</v>
      </c>
      <c r="S249" s="25">
        <f>Table1[[#This Row],[Clicks]]/Table1[[#This Row],[Impressions]]</f>
        <v>0.53569799270072993</v>
      </c>
      <c r="T249" s="22">
        <f>Table1[[#This Row],[Sales]]/Table1[[#This Row],[USD_Spend]]</f>
        <v>13.041442222763278</v>
      </c>
      <c r="U249" s="1" t="str">
        <f>Outlier_Check!C259</f>
        <v>Normal</v>
      </c>
    </row>
    <row r="250" spans="1:21" x14ac:dyDescent="0.35">
      <c r="A250" s="3" t="s">
        <v>118</v>
      </c>
      <c r="B250" s="1" t="s">
        <v>35</v>
      </c>
      <c r="C250" s="1" t="s">
        <v>36</v>
      </c>
      <c r="D250" s="1" t="s">
        <v>21</v>
      </c>
      <c r="E250" s="1" t="s">
        <v>30</v>
      </c>
      <c r="F250" s="1" t="s">
        <v>49</v>
      </c>
      <c r="G250" s="2">
        <v>45118</v>
      </c>
      <c r="H250" s="2">
        <v>45133</v>
      </c>
      <c r="I250" s="1">
        <v>18748.919999999998</v>
      </c>
      <c r="J250" s="1">
        <v>0.86360000000000003</v>
      </c>
      <c r="K250" s="1">
        <v>16191.57</v>
      </c>
      <c r="L250" s="1">
        <v>134078</v>
      </c>
      <c r="M250" s="1">
        <v>43426</v>
      </c>
      <c r="N250" s="1">
        <v>61434.85</v>
      </c>
      <c r="O250" s="1">
        <v>2023</v>
      </c>
      <c r="P250" s="1" t="s">
        <v>80</v>
      </c>
      <c r="Q250" s="1" t="s">
        <v>33</v>
      </c>
      <c r="R250" s="4" t="s">
        <v>54</v>
      </c>
      <c r="S250" s="25">
        <f>Table1[[#This Row],[Clicks]]/Table1[[#This Row],[Impressions]]</f>
        <v>0.32388609615298558</v>
      </c>
      <c r="T250" s="22">
        <f>Table1[[#This Row],[Sales]]/Table1[[#This Row],[USD_Spend]]</f>
        <v>3.79424910617068</v>
      </c>
      <c r="U250" s="1" t="str">
        <f>Outlier_Check!C260</f>
        <v>Normal</v>
      </c>
    </row>
    <row r="251" spans="1:21" x14ac:dyDescent="0.35">
      <c r="A251" s="3" t="s">
        <v>90</v>
      </c>
      <c r="B251" s="1" t="s">
        <v>35</v>
      </c>
      <c r="C251" s="1" t="s">
        <v>69</v>
      </c>
      <c r="D251" s="1" t="s">
        <v>59</v>
      </c>
      <c r="E251" s="1" t="s">
        <v>30</v>
      </c>
      <c r="F251" s="1" t="s">
        <v>44</v>
      </c>
      <c r="G251" s="2">
        <v>45119</v>
      </c>
      <c r="H251" s="2">
        <v>45133</v>
      </c>
      <c r="I251" s="1">
        <v>15685.75</v>
      </c>
      <c r="J251" s="1">
        <v>1.0007999999999999</v>
      </c>
      <c r="K251" s="1">
        <v>15698.3</v>
      </c>
      <c r="L251" s="1">
        <v>150727</v>
      </c>
      <c r="M251" s="1">
        <v>39562</v>
      </c>
      <c r="N251" s="1">
        <v>140257.29999999999</v>
      </c>
      <c r="O251" s="1">
        <v>2023</v>
      </c>
      <c r="P251" s="1" t="s">
        <v>80</v>
      </c>
      <c r="Q251" s="1" t="s">
        <v>33</v>
      </c>
      <c r="R251" s="4" t="s">
        <v>54</v>
      </c>
      <c r="S251" s="25">
        <f>Table1[[#This Row],[Clicks]]/Table1[[#This Row],[Impressions]]</f>
        <v>0.2624745400624971</v>
      </c>
      <c r="T251" s="22">
        <f>Table1[[#This Row],[Sales]]/Table1[[#This Row],[USD_Spend]]</f>
        <v>8.9345534229821055</v>
      </c>
      <c r="U251" s="1" t="str">
        <f>Outlier_Check!C261</f>
        <v>Normal</v>
      </c>
    </row>
    <row r="252" spans="1:21" x14ac:dyDescent="0.35">
      <c r="A252" s="3" t="s">
        <v>120</v>
      </c>
      <c r="B252" s="1" t="s">
        <v>28</v>
      </c>
      <c r="C252" s="1" t="s">
        <v>36</v>
      </c>
      <c r="D252" s="1" t="s">
        <v>21</v>
      </c>
      <c r="E252" s="1" t="s">
        <v>38</v>
      </c>
      <c r="F252" s="1" t="s">
        <v>44</v>
      </c>
      <c r="G252" s="2">
        <v>45120</v>
      </c>
      <c r="H252" s="2">
        <v>45179</v>
      </c>
      <c r="I252" s="1">
        <v>4410.8500000000004</v>
      </c>
      <c r="J252" s="1">
        <v>1.0108999999999999</v>
      </c>
      <c r="K252" s="1">
        <v>4458.93</v>
      </c>
      <c r="L252" s="1">
        <v>508783</v>
      </c>
      <c r="M252" s="1">
        <v>44607</v>
      </c>
      <c r="N252" s="1">
        <v>95023.14</v>
      </c>
      <c r="O252" s="1">
        <v>2023</v>
      </c>
      <c r="P252" s="1" t="s">
        <v>80</v>
      </c>
      <c r="Q252" s="1" t="s">
        <v>33</v>
      </c>
      <c r="R252" s="4" t="s">
        <v>26</v>
      </c>
      <c r="S252" s="25">
        <f>Table1[[#This Row],[Clicks]]/Table1[[#This Row],[Impressions]]</f>
        <v>8.7673919922638927E-2</v>
      </c>
      <c r="T252" s="22">
        <f>Table1[[#This Row],[Sales]]/Table1[[#This Row],[USD_Spend]]</f>
        <v>21.310749439888042</v>
      </c>
      <c r="U252" s="1" t="str">
        <f>Outlier_Check!C262</f>
        <v>Normal</v>
      </c>
    </row>
    <row r="253" spans="1:21" x14ac:dyDescent="0.35">
      <c r="A253" s="3" t="s">
        <v>99</v>
      </c>
      <c r="B253" s="1" t="s">
        <v>19</v>
      </c>
      <c r="C253" s="1" t="s">
        <v>29</v>
      </c>
      <c r="D253" s="1" t="s">
        <v>59</v>
      </c>
      <c r="E253" s="1" t="s">
        <v>30</v>
      </c>
      <c r="F253" s="1" t="s">
        <v>49</v>
      </c>
      <c r="G253" s="2">
        <v>45121</v>
      </c>
      <c r="H253" s="2">
        <v>45179</v>
      </c>
      <c r="I253" s="1">
        <v>28350.34</v>
      </c>
      <c r="J253" s="1">
        <v>1.0067999999999999</v>
      </c>
      <c r="K253" s="1">
        <v>28543.119999999999</v>
      </c>
      <c r="L253" s="1">
        <v>666493</v>
      </c>
      <c r="M253" s="1">
        <v>2435</v>
      </c>
      <c r="N253" s="1">
        <v>237549.72</v>
      </c>
      <c r="O253" s="1">
        <v>2023</v>
      </c>
      <c r="P253" s="1" t="s">
        <v>80</v>
      </c>
      <c r="Q253" s="1" t="s">
        <v>33</v>
      </c>
      <c r="R253" s="4" t="s">
        <v>61</v>
      </c>
      <c r="S253" s="25">
        <f>Table1[[#This Row],[Clicks]]/Table1[[#This Row],[Impressions]]</f>
        <v>3.6534517241741476E-3</v>
      </c>
      <c r="T253" s="22">
        <f>Table1[[#This Row],[Sales]]/Table1[[#This Row],[USD_Spend]]</f>
        <v>8.3224861192469497</v>
      </c>
      <c r="U253" s="1" t="str">
        <f>Outlier_Check!C263</f>
        <v>Normal</v>
      </c>
    </row>
    <row r="254" spans="1:21" x14ac:dyDescent="0.35">
      <c r="A254" s="3" t="s">
        <v>77</v>
      </c>
      <c r="B254" s="1" t="s">
        <v>28</v>
      </c>
      <c r="C254" s="1" t="s">
        <v>36</v>
      </c>
      <c r="D254" s="1" t="s">
        <v>51</v>
      </c>
      <c r="E254" s="1" t="s">
        <v>22</v>
      </c>
      <c r="F254" s="1" t="s">
        <v>44</v>
      </c>
      <c r="G254" s="2">
        <v>45122</v>
      </c>
      <c r="H254" s="2">
        <v>45128</v>
      </c>
      <c r="I254" s="1">
        <v>22610.89</v>
      </c>
      <c r="J254" s="1">
        <v>0.50829999999999997</v>
      </c>
      <c r="K254" s="1">
        <v>11493.12</v>
      </c>
      <c r="L254" s="1">
        <v>443020</v>
      </c>
      <c r="M254" s="1">
        <v>45352</v>
      </c>
      <c r="N254" s="1">
        <v>54953.46</v>
      </c>
      <c r="O254" s="1">
        <v>2023</v>
      </c>
      <c r="P254" s="1" t="s">
        <v>80</v>
      </c>
      <c r="Q254" s="1" t="s">
        <v>33</v>
      </c>
      <c r="R254" s="4" t="s">
        <v>61</v>
      </c>
      <c r="S254" s="25">
        <f>Table1[[#This Row],[Clicks]]/Table1[[#This Row],[Impressions]]</f>
        <v>0.10237009615818699</v>
      </c>
      <c r="T254" s="22">
        <f>Table1[[#This Row],[Sales]]/Table1[[#This Row],[USD_Spend]]</f>
        <v>4.7814222769796189</v>
      </c>
      <c r="U254" s="1" t="str">
        <f>Outlier_Check!C264</f>
        <v>Normal</v>
      </c>
    </row>
    <row r="255" spans="1:21" x14ac:dyDescent="0.35">
      <c r="A255" s="3" t="s">
        <v>109</v>
      </c>
      <c r="B255" s="1" t="s">
        <v>48</v>
      </c>
      <c r="C255" s="1" t="s">
        <v>58</v>
      </c>
      <c r="D255" s="1" t="s">
        <v>63</v>
      </c>
      <c r="E255" s="1" t="s">
        <v>38</v>
      </c>
      <c r="F255" s="1" t="s">
        <v>31</v>
      </c>
      <c r="G255" s="2">
        <v>45123</v>
      </c>
      <c r="H255" s="2">
        <v>45143</v>
      </c>
      <c r="I255" s="1">
        <v>14671.31</v>
      </c>
      <c r="J255" s="1">
        <v>0.36520000000000002</v>
      </c>
      <c r="K255" s="1">
        <v>5357.96</v>
      </c>
      <c r="L255" s="1">
        <v>997219</v>
      </c>
      <c r="M255" s="1">
        <v>19604</v>
      </c>
      <c r="N255" s="1">
        <v>193937.7</v>
      </c>
      <c r="O255" s="1">
        <v>2023</v>
      </c>
      <c r="P255" s="1" t="s">
        <v>80</v>
      </c>
      <c r="Q255" s="1" t="s">
        <v>33</v>
      </c>
      <c r="R255" s="4" t="s">
        <v>41</v>
      </c>
      <c r="S255" s="25">
        <f>Table1[[#This Row],[Clicks]]/Table1[[#This Row],[Impressions]]</f>
        <v>1.9658670763392994E-2</v>
      </c>
      <c r="T255" s="22">
        <f>Table1[[#This Row],[Sales]]/Table1[[#This Row],[USD_Spend]]</f>
        <v>36.196182875572049</v>
      </c>
      <c r="U255" s="1" t="str">
        <f>Outlier_Check!C265</f>
        <v>Normal</v>
      </c>
    </row>
    <row r="256" spans="1:21" x14ac:dyDescent="0.35">
      <c r="A256" s="3" t="s">
        <v>99</v>
      </c>
      <c r="B256" s="1" t="s">
        <v>28</v>
      </c>
      <c r="C256" s="1" t="s">
        <v>29</v>
      </c>
      <c r="D256" s="1" t="s">
        <v>21</v>
      </c>
      <c r="E256" s="1" t="s">
        <v>38</v>
      </c>
      <c r="F256" s="1" t="s">
        <v>44</v>
      </c>
      <c r="G256" s="2">
        <v>45124</v>
      </c>
      <c r="H256" s="2">
        <v>45168</v>
      </c>
      <c r="I256" s="1">
        <v>32577.279999999999</v>
      </c>
      <c r="J256" s="1">
        <v>0.996</v>
      </c>
      <c r="K256" s="1">
        <v>32446.97</v>
      </c>
      <c r="L256" s="1">
        <v>850257</v>
      </c>
      <c r="M256" s="1">
        <v>37970</v>
      </c>
      <c r="N256" s="1">
        <v>110130.1</v>
      </c>
      <c r="O256" s="1">
        <v>2023</v>
      </c>
      <c r="P256" s="1" t="s">
        <v>80</v>
      </c>
      <c r="Q256" s="1" t="s">
        <v>33</v>
      </c>
      <c r="R256" s="4" t="s">
        <v>61</v>
      </c>
      <c r="S256" s="25">
        <f>Table1[[#This Row],[Clicks]]/Table1[[#This Row],[Impressions]]</f>
        <v>4.4657086033987374E-2</v>
      </c>
      <c r="T256" s="22">
        <f>Table1[[#This Row],[Sales]]/Table1[[#This Row],[USD_Spend]]</f>
        <v>3.3941566808857653</v>
      </c>
      <c r="U256" s="1" t="str">
        <f>Outlier_Check!C266</f>
        <v>Normal</v>
      </c>
    </row>
    <row r="257" spans="1:21" x14ac:dyDescent="0.35">
      <c r="A257" s="3" t="s">
        <v>18</v>
      </c>
      <c r="B257" s="1" t="s">
        <v>19</v>
      </c>
      <c r="C257" s="1" t="s">
        <v>69</v>
      </c>
      <c r="D257" s="1" t="s">
        <v>59</v>
      </c>
      <c r="E257" s="1" t="s">
        <v>30</v>
      </c>
      <c r="F257" s="1" t="s">
        <v>23</v>
      </c>
      <c r="G257" s="2">
        <v>45126</v>
      </c>
      <c r="H257" s="2">
        <v>45133</v>
      </c>
      <c r="I257" s="1">
        <v>39414.01</v>
      </c>
      <c r="J257" s="1">
        <v>0.61760000000000004</v>
      </c>
      <c r="K257" s="1">
        <v>24342.09</v>
      </c>
      <c r="L257" s="1">
        <v>742377</v>
      </c>
      <c r="M257" s="1">
        <v>15282</v>
      </c>
      <c r="N257" s="1">
        <v>155721.54999999999</v>
      </c>
      <c r="O257" s="1">
        <v>2023</v>
      </c>
      <c r="P257" s="1" t="s">
        <v>80</v>
      </c>
      <c r="Q257" s="1" t="s">
        <v>33</v>
      </c>
      <c r="R257" s="4" t="s">
        <v>61</v>
      </c>
      <c r="S257" s="25">
        <f>Table1[[#This Row],[Clicks]]/Table1[[#This Row],[Impressions]]</f>
        <v>2.0585228260034994E-2</v>
      </c>
      <c r="T257" s="22">
        <f>Table1[[#This Row],[Sales]]/Table1[[#This Row],[USD_Spend]]</f>
        <v>6.3972136328474667</v>
      </c>
      <c r="U257" s="1" t="str">
        <f>Outlier_Check!C267</f>
        <v>Normal</v>
      </c>
    </row>
    <row r="258" spans="1:21" x14ac:dyDescent="0.35">
      <c r="A258" s="3" t="s">
        <v>57</v>
      </c>
      <c r="B258" s="1" t="s">
        <v>48</v>
      </c>
      <c r="C258" s="1" t="s">
        <v>20</v>
      </c>
      <c r="D258" s="1" t="s">
        <v>43</v>
      </c>
      <c r="E258" s="1" t="s">
        <v>30</v>
      </c>
      <c r="F258" s="1" t="s">
        <v>31</v>
      </c>
      <c r="G258" s="2">
        <v>45127</v>
      </c>
      <c r="H258" s="2">
        <v>45141</v>
      </c>
      <c r="I258" s="1">
        <v>40201.839999999997</v>
      </c>
      <c r="J258" s="1">
        <v>0.88890000000000002</v>
      </c>
      <c r="K258" s="1">
        <v>35735.42</v>
      </c>
      <c r="L258" s="1">
        <v>505962</v>
      </c>
      <c r="M258" s="1">
        <v>738</v>
      </c>
      <c r="N258" s="1">
        <v>48268.78</v>
      </c>
      <c r="O258" s="1">
        <v>2023</v>
      </c>
      <c r="P258" s="1" t="s">
        <v>80</v>
      </c>
      <c r="Q258" s="1" t="s">
        <v>33</v>
      </c>
      <c r="R258" s="4" t="s">
        <v>54</v>
      </c>
      <c r="S258" s="25">
        <f>Table1[[#This Row],[Clicks]]/Table1[[#This Row],[Impressions]]</f>
        <v>1.4586075634138531E-3</v>
      </c>
      <c r="T258" s="22">
        <f>Table1[[#This Row],[Sales]]/Table1[[#This Row],[USD_Spend]]</f>
        <v>1.3507265340662009</v>
      </c>
      <c r="U258" s="1" t="str">
        <f>Outlier_Check!C268</f>
        <v>Normal</v>
      </c>
    </row>
    <row r="259" spans="1:21" x14ac:dyDescent="0.35">
      <c r="A259" s="3" t="s">
        <v>82</v>
      </c>
      <c r="B259" s="1" t="s">
        <v>48</v>
      </c>
      <c r="C259" s="1" t="s">
        <v>58</v>
      </c>
      <c r="D259" s="1" t="s">
        <v>63</v>
      </c>
      <c r="E259" s="1" t="s">
        <v>38</v>
      </c>
      <c r="F259" s="1" t="s">
        <v>23</v>
      </c>
      <c r="G259" s="2">
        <v>45131</v>
      </c>
      <c r="H259" s="2">
        <v>45188</v>
      </c>
      <c r="I259" s="1">
        <v>46004.14</v>
      </c>
      <c r="J259" s="1">
        <v>0.42609999999999998</v>
      </c>
      <c r="K259" s="1">
        <v>19602.36</v>
      </c>
      <c r="L259" s="1">
        <v>870394</v>
      </c>
      <c r="M259" s="1">
        <v>15015</v>
      </c>
      <c r="N259" s="1">
        <v>59616.27</v>
      </c>
      <c r="O259" s="1">
        <v>2023</v>
      </c>
      <c r="P259" s="1" t="s">
        <v>80</v>
      </c>
      <c r="Q259" s="1" t="s">
        <v>33</v>
      </c>
      <c r="R259" s="4" t="s">
        <v>41</v>
      </c>
      <c r="S259" s="25">
        <f>Table1[[#This Row],[Clicks]]/Table1[[#This Row],[Impressions]]</f>
        <v>1.7250808254652489E-2</v>
      </c>
      <c r="T259" s="22">
        <f>Table1[[#This Row],[Sales]]/Table1[[#This Row],[USD_Spend]]</f>
        <v>3.041280233604525</v>
      </c>
      <c r="U259" s="1" t="str">
        <f>Outlier_Check!C269</f>
        <v>Normal</v>
      </c>
    </row>
    <row r="260" spans="1:21" x14ac:dyDescent="0.35">
      <c r="A260" s="3" t="s">
        <v>78</v>
      </c>
      <c r="B260" s="1" t="s">
        <v>35</v>
      </c>
      <c r="C260" s="1" t="s">
        <v>69</v>
      </c>
      <c r="D260" s="1" t="s">
        <v>51</v>
      </c>
      <c r="E260" s="1" t="s">
        <v>22</v>
      </c>
      <c r="F260" s="1" t="s">
        <v>44</v>
      </c>
      <c r="G260" s="2">
        <v>45131</v>
      </c>
      <c r="H260" s="2">
        <v>45143</v>
      </c>
      <c r="I260" s="1">
        <v>7650.69</v>
      </c>
      <c r="J260" s="1">
        <v>9.8100000000000007E-2</v>
      </c>
      <c r="K260" s="1">
        <v>750.53</v>
      </c>
      <c r="L260" s="1">
        <v>191043</v>
      </c>
      <c r="M260" s="1">
        <v>46851</v>
      </c>
      <c r="N260" s="1">
        <v>114052.24</v>
      </c>
      <c r="O260" s="1">
        <v>2023</v>
      </c>
      <c r="P260" s="1" t="s">
        <v>80</v>
      </c>
      <c r="Q260" s="1" t="s">
        <v>33</v>
      </c>
      <c r="R260" s="4" t="s">
        <v>41</v>
      </c>
      <c r="S260" s="25">
        <f>Table1[[#This Row],[Clicks]]/Table1[[#This Row],[Impressions]]</f>
        <v>0.24523798307187386</v>
      </c>
      <c r="T260" s="22">
        <f>Table1[[#This Row],[Sales]]/Table1[[#This Row],[USD_Spend]]</f>
        <v>151.96226666489017</v>
      </c>
      <c r="U260" s="1" t="str">
        <f>Outlier_Check!C270</f>
        <v>Normal</v>
      </c>
    </row>
    <row r="261" spans="1:21" x14ac:dyDescent="0.35">
      <c r="A261" s="3" t="s">
        <v>83</v>
      </c>
      <c r="B261" s="1" t="s">
        <v>19</v>
      </c>
      <c r="C261" s="1" t="s">
        <v>69</v>
      </c>
      <c r="D261" s="1" t="s">
        <v>43</v>
      </c>
      <c r="E261" s="1" t="s">
        <v>38</v>
      </c>
      <c r="F261" s="1" t="s">
        <v>52</v>
      </c>
      <c r="G261" s="2">
        <v>45133</v>
      </c>
      <c r="H261" s="2">
        <v>45169</v>
      </c>
      <c r="I261" s="1">
        <v>32136.77</v>
      </c>
      <c r="J261" s="1">
        <v>1.1692</v>
      </c>
      <c r="K261" s="1">
        <v>37574.31</v>
      </c>
      <c r="L261" s="1">
        <v>88979</v>
      </c>
      <c r="M261" s="1">
        <v>35216</v>
      </c>
      <c r="N261" s="1">
        <v>57449.63</v>
      </c>
      <c r="O261" s="1">
        <v>2023</v>
      </c>
      <c r="P261" s="1" t="s">
        <v>80</v>
      </c>
      <c r="Q261" s="1" t="s">
        <v>33</v>
      </c>
      <c r="R261" s="4" t="s">
        <v>26</v>
      </c>
      <c r="S261" s="25">
        <f>Table1[[#This Row],[Clicks]]/Table1[[#This Row],[Impressions]]</f>
        <v>0.39577877926252264</v>
      </c>
      <c r="T261" s="22">
        <f>Table1[[#This Row],[Sales]]/Table1[[#This Row],[USD_Spend]]</f>
        <v>1.5289603455126655</v>
      </c>
      <c r="U261" s="1" t="str">
        <f>Outlier_Check!C271</f>
        <v>Normal</v>
      </c>
    </row>
    <row r="262" spans="1:21" x14ac:dyDescent="0.35">
      <c r="A262" s="3" t="s">
        <v>113</v>
      </c>
      <c r="B262" s="1" t="s">
        <v>19</v>
      </c>
      <c r="C262" s="1" t="s">
        <v>36</v>
      </c>
      <c r="D262" s="1" t="s">
        <v>21</v>
      </c>
      <c r="E262" s="1" t="s">
        <v>22</v>
      </c>
      <c r="F262" s="1" t="s">
        <v>49</v>
      </c>
      <c r="G262" s="2">
        <v>45133</v>
      </c>
      <c r="H262" s="2">
        <v>45156</v>
      </c>
      <c r="I262" s="1">
        <v>33442.57</v>
      </c>
      <c r="J262" s="1">
        <v>0.59340000000000004</v>
      </c>
      <c r="K262" s="1">
        <v>19844.82</v>
      </c>
      <c r="L262" s="1">
        <v>284375</v>
      </c>
      <c r="M262" s="1">
        <v>35649</v>
      </c>
      <c r="N262" s="1">
        <v>89185.83</v>
      </c>
      <c r="O262" s="1">
        <v>2023</v>
      </c>
      <c r="P262" s="1" t="s">
        <v>80</v>
      </c>
      <c r="Q262" s="1" t="s">
        <v>33</v>
      </c>
      <c r="R262" s="4" t="s">
        <v>54</v>
      </c>
      <c r="S262" s="25">
        <f>Table1[[#This Row],[Clicks]]/Table1[[#This Row],[Impressions]]</f>
        <v>0.12535912087912088</v>
      </c>
      <c r="T262" s="22">
        <f>Table1[[#This Row],[Sales]]/Table1[[#This Row],[USD_Spend]]</f>
        <v>4.494161700635229</v>
      </c>
      <c r="U262" s="1" t="str">
        <f>Outlier_Check!C272</f>
        <v>Normal</v>
      </c>
    </row>
    <row r="263" spans="1:21" x14ac:dyDescent="0.35">
      <c r="A263" s="3" t="s">
        <v>100</v>
      </c>
      <c r="B263" s="1" t="s">
        <v>28</v>
      </c>
      <c r="C263" s="1" t="s">
        <v>69</v>
      </c>
      <c r="D263" s="1" t="s">
        <v>37</v>
      </c>
      <c r="E263" s="1" t="s">
        <v>30</v>
      </c>
      <c r="F263" s="1" t="s">
        <v>52</v>
      </c>
      <c r="G263" s="2">
        <v>45133</v>
      </c>
      <c r="H263" s="2">
        <v>45140</v>
      </c>
      <c r="I263" s="1">
        <v>39764.35</v>
      </c>
      <c r="J263" s="1">
        <v>1.0641</v>
      </c>
      <c r="K263" s="1">
        <v>42313.24</v>
      </c>
      <c r="L263" s="1">
        <v>340926</v>
      </c>
      <c r="M263" s="1">
        <v>20421</v>
      </c>
      <c r="N263" s="1">
        <v>131268.98000000001</v>
      </c>
      <c r="O263" s="1">
        <v>2023</v>
      </c>
      <c r="P263" s="1" t="s">
        <v>80</v>
      </c>
      <c r="Q263" s="1" t="s">
        <v>33</v>
      </c>
      <c r="R263" s="4" t="s">
        <v>41</v>
      </c>
      <c r="S263" s="25">
        <f>Table1[[#This Row],[Clicks]]/Table1[[#This Row],[Impressions]]</f>
        <v>5.9898629028000208E-2</v>
      </c>
      <c r="T263" s="22">
        <f>Table1[[#This Row],[Sales]]/Table1[[#This Row],[USD_Spend]]</f>
        <v>3.1023145474088021</v>
      </c>
      <c r="U263" s="1" t="str">
        <f>Outlier_Check!C273</f>
        <v>Normal</v>
      </c>
    </row>
    <row r="264" spans="1:21" x14ac:dyDescent="0.35">
      <c r="A264" s="3" t="s">
        <v>67</v>
      </c>
      <c r="B264" s="1" t="s">
        <v>35</v>
      </c>
      <c r="C264" s="1" t="s">
        <v>20</v>
      </c>
      <c r="D264" s="1" t="s">
        <v>21</v>
      </c>
      <c r="E264" s="1" t="s">
        <v>38</v>
      </c>
      <c r="F264" s="1" t="s">
        <v>49</v>
      </c>
      <c r="G264" s="2">
        <v>45133</v>
      </c>
      <c r="H264" s="2">
        <v>45138</v>
      </c>
      <c r="I264" s="1">
        <v>49563.17</v>
      </c>
      <c r="J264" s="1">
        <v>0.54039999999999999</v>
      </c>
      <c r="K264" s="1">
        <v>26783.94</v>
      </c>
      <c r="L264" s="1">
        <v>874637</v>
      </c>
      <c r="M264" s="1">
        <v>26264</v>
      </c>
      <c r="N264" s="1">
        <v>153187.91</v>
      </c>
      <c r="O264" s="1">
        <v>2023</v>
      </c>
      <c r="P264" s="1" t="s">
        <v>80</v>
      </c>
      <c r="Q264" s="1" t="s">
        <v>33</v>
      </c>
      <c r="R264" s="4" t="s">
        <v>26</v>
      </c>
      <c r="S264" s="25">
        <f>Table1[[#This Row],[Clicks]]/Table1[[#This Row],[Impressions]]</f>
        <v>3.0028457520091194E-2</v>
      </c>
      <c r="T264" s="22">
        <f>Table1[[#This Row],[Sales]]/Table1[[#This Row],[USD_Spend]]</f>
        <v>5.7193941593357813</v>
      </c>
      <c r="U264" s="1" t="str">
        <f>Outlier_Check!C274</f>
        <v>Normal</v>
      </c>
    </row>
    <row r="265" spans="1:21" x14ac:dyDescent="0.35">
      <c r="A265" s="3" t="s">
        <v>27</v>
      </c>
      <c r="B265" s="1" t="s">
        <v>19</v>
      </c>
      <c r="C265" s="1" t="s">
        <v>20</v>
      </c>
      <c r="D265" s="1" t="s">
        <v>21</v>
      </c>
      <c r="E265" s="1" t="s">
        <v>22</v>
      </c>
      <c r="F265" s="1" t="s">
        <v>52</v>
      </c>
      <c r="G265" s="2">
        <v>45134</v>
      </c>
      <c r="H265" s="2">
        <v>45139</v>
      </c>
      <c r="I265" s="1">
        <v>31505.46</v>
      </c>
      <c r="J265" s="1">
        <v>0.31119999999999998</v>
      </c>
      <c r="K265" s="1">
        <v>9804.5</v>
      </c>
      <c r="L265" s="1">
        <v>490921</v>
      </c>
      <c r="M265" s="1">
        <v>32712</v>
      </c>
      <c r="N265" s="1">
        <v>214575.71</v>
      </c>
      <c r="O265" s="1">
        <v>2023</v>
      </c>
      <c r="P265" s="1" t="s">
        <v>80</v>
      </c>
      <c r="Q265" s="1" t="s">
        <v>33</v>
      </c>
      <c r="R265" s="4" t="s">
        <v>54</v>
      </c>
      <c r="S265" s="25">
        <f>Table1[[#This Row],[Clicks]]/Table1[[#This Row],[Impressions]]</f>
        <v>6.6633939065552303E-2</v>
      </c>
      <c r="T265" s="22">
        <f>Table1[[#This Row],[Sales]]/Table1[[#This Row],[USD_Spend]]</f>
        <v>21.885431179560406</v>
      </c>
      <c r="U265" s="1" t="str">
        <f>Outlier_Check!C275</f>
        <v>Normal</v>
      </c>
    </row>
    <row r="266" spans="1:21" x14ac:dyDescent="0.35">
      <c r="A266" s="3" t="s">
        <v>79</v>
      </c>
      <c r="B266" s="1" t="s">
        <v>28</v>
      </c>
      <c r="C266" s="1" t="s">
        <v>69</v>
      </c>
      <c r="D266" s="1" t="s">
        <v>37</v>
      </c>
      <c r="E266" s="1" t="s">
        <v>22</v>
      </c>
      <c r="F266" s="1" t="s">
        <v>49</v>
      </c>
      <c r="G266" s="2">
        <v>45136</v>
      </c>
      <c r="H266" s="2">
        <v>45183</v>
      </c>
      <c r="I266" s="1">
        <v>36093.4</v>
      </c>
      <c r="J266" s="1">
        <v>0.29399999999999998</v>
      </c>
      <c r="K266" s="1">
        <v>10611.46</v>
      </c>
      <c r="L266" s="1">
        <v>425011</v>
      </c>
      <c r="M266" s="1">
        <v>8677</v>
      </c>
      <c r="N266" s="1">
        <v>169564.1</v>
      </c>
      <c r="O266" s="1">
        <v>2023</v>
      </c>
      <c r="P266" s="1" t="s">
        <v>80</v>
      </c>
      <c r="Q266" s="1" t="s">
        <v>33</v>
      </c>
      <c r="R266" s="4" t="s">
        <v>26</v>
      </c>
      <c r="S266" s="25">
        <f>Table1[[#This Row],[Clicks]]/Table1[[#This Row],[Impressions]]</f>
        <v>2.0415942175614279E-2</v>
      </c>
      <c r="T266" s="22">
        <f>Table1[[#This Row],[Sales]]/Table1[[#This Row],[USD_Spend]]</f>
        <v>15.979337433303241</v>
      </c>
      <c r="U266" s="1" t="str">
        <f>Outlier_Check!C276</f>
        <v>Normal</v>
      </c>
    </row>
    <row r="267" spans="1:21" x14ac:dyDescent="0.35">
      <c r="A267" s="3" t="s">
        <v>101</v>
      </c>
      <c r="B267" s="1" t="s">
        <v>48</v>
      </c>
      <c r="C267" s="1" t="s">
        <v>29</v>
      </c>
      <c r="D267" s="1" t="s">
        <v>37</v>
      </c>
      <c r="E267" s="1" t="s">
        <v>38</v>
      </c>
      <c r="F267" s="1" t="s">
        <v>44</v>
      </c>
      <c r="G267" s="2">
        <v>45138</v>
      </c>
      <c r="H267" s="2">
        <v>45177</v>
      </c>
      <c r="I267" s="1">
        <v>18165.59</v>
      </c>
      <c r="J267" s="1">
        <v>0.38900000000000001</v>
      </c>
      <c r="K267" s="1">
        <v>7066.41</v>
      </c>
      <c r="L267" s="1">
        <v>158433</v>
      </c>
      <c r="M267" s="1">
        <v>46260</v>
      </c>
      <c r="N267" s="1">
        <v>201980.7</v>
      </c>
      <c r="O267" s="1">
        <v>2023</v>
      </c>
      <c r="P267" s="1" t="s">
        <v>80</v>
      </c>
      <c r="Q267" s="1" t="s">
        <v>33</v>
      </c>
      <c r="R267" s="4" t="s">
        <v>41</v>
      </c>
      <c r="S267" s="25">
        <f>Table1[[#This Row],[Clicks]]/Table1[[#This Row],[Impressions]]</f>
        <v>0.29198462441536799</v>
      </c>
      <c r="T267" s="22">
        <f>Table1[[#This Row],[Sales]]/Table1[[#This Row],[USD_Spend]]</f>
        <v>28.583212692159105</v>
      </c>
      <c r="U267" s="1" t="str">
        <f>Outlier_Check!C277</f>
        <v>Normal</v>
      </c>
    </row>
    <row r="268" spans="1:21" x14ac:dyDescent="0.35">
      <c r="A268" s="3" t="s">
        <v>75</v>
      </c>
      <c r="B268" s="1" t="s">
        <v>28</v>
      </c>
      <c r="C268" s="1" t="s">
        <v>58</v>
      </c>
      <c r="D268" s="1" t="s">
        <v>51</v>
      </c>
      <c r="E268" s="1" t="s">
        <v>38</v>
      </c>
      <c r="F268" s="1" t="s">
        <v>23</v>
      </c>
      <c r="G268" s="2">
        <v>45138</v>
      </c>
      <c r="H268" s="2">
        <v>45153</v>
      </c>
      <c r="I268" s="1">
        <v>32271.34</v>
      </c>
      <c r="J268" s="1">
        <v>1.1727000000000001</v>
      </c>
      <c r="K268" s="1">
        <v>37844.6</v>
      </c>
      <c r="L268" s="1">
        <v>506574</v>
      </c>
      <c r="M268" s="1">
        <v>7669</v>
      </c>
      <c r="N268" s="1">
        <v>80546.58</v>
      </c>
      <c r="O268" s="1">
        <v>2023</v>
      </c>
      <c r="P268" s="1" t="s">
        <v>80</v>
      </c>
      <c r="Q268" s="1" t="s">
        <v>33</v>
      </c>
      <c r="R268" s="4" t="s">
        <v>54</v>
      </c>
      <c r="S268" s="25">
        <f>Table1[[#This Row],[Clicks]]/Table1[[#This Row],[Impressions]]</f>
        <v>1.5138953045359612E-2</v>
      </c>
      <c r="T268" s="22">
        <f>Table1[[#This Row],[Sales]]/Table1[[#This Row],[USD_Spend]]</f>
        <v>2.1283506761862987</v>
      </c>
      <c r="U268" s="1" t="str">
        <f>Outlier_Check!C278</f>
        <v>Normal</v>
      </c>
    </row>
    <row r="269" spans="1:21" x14ac:dyDescent="0.35">
      <c r="A269" s="3" t="s">
        <v>68</v>
      </c>
      <c r="B269" s="1" t="s">
        <v>28</v>
      </c>
      <c r="C269" s="1" t="s">
        <v>20</v>
      </c>
      <c r="D269" s="1" t="s">
        <v>59</v>
      </c>
      <c r="E269" s="1" t="s">
        <v>38</v>
      </c>
      <c r="F269" s="1" t="s">
        <v>31</v>
      </c>
      <c r="G269" s="2">
        <v>45139</v>
      </c>
      <c r="H269" s="2">
        <v>45158</v>
      </c>
      <c r="I269" s="1">
        <v>44849.35</v>
      </c>
      <c r="J269" s="1">
        <v>0.54800000000000004</v>
      </c>
      <c r="K269" s="1">
        <v>24577.439999999999</v>
      </c>
      <c r="L269" s="1">
        <v>255770</v>
      </c>
      <c r="M269" s="1">
        <v>26045</v>
      </c>
      <c r="N269" s="1">
        <v>58555.46</v>
      </c>
      <c r="O269" s="1">
        <v>2023</v>
      </c>
      <c r="P269" s="1" t="s">
        <v>32</v>
      </c>
      <c r="Q269" s="1" t="s">
        <v>33</v>
      </c>
      <c r="R269" s="4" t="s">
        <v>26</v>
      </c>
      <c r="S269" s="25">
        <f>Table1[[#This Row],[Clicks]]/Table1[[#This Row],[Impressions]]</f>
        <v>0.10182976893302577</v>
      </c>
      <c r="T269" s="22">
        <f>Table1[[#This Row],[Sales]]/Table1[[#This Row],[USD_Spend]]</f>
        <v>2.3824881680109891</v>
      </c>
      <c r="U269" s="1" t="str">
        <f>Outlier_Check!C279</f>
        <v>Normal</v>
      </c>
    </row>
    <row r="270" spans="1:21" x14ac:dyDescent="0.35">
      <c r="A270" s="3" t="s">
        <v>77</v>
      </c>
      <c r="B270" s="1" t="s">
        <v>28</v>
      </c>
      <c r="C270" s="1" t="s">
        <v>20</v>
      </c>
      <c r="D270" s="1" t="s">
        <v>63</v>
      </c>
      <c r="E270" s="1" t="s">
        <v>38</v>
      </c>
      <c r="F270" s="1" t="s">
        <v>44</v>
      </c>
      <c r="G270" s="2">
        <v>45141</v>
      </c>
      <c r="H270" s="2">
        <v>45192</v>
      </c>
      <c r="I270" s="1">
        <v>4988.9799999999996</v>
      </c>
      <c r="J270" s="1">
        <v>0.57010000000000005</v>
      </c>
      <c r="K270" s="1">
        <v>2844.22</v>
      </c>
      <c r="L270" s="1">
        <v>705732</v>
      </c>
      <c r="M270" s="1">
        <v>40397</v>
      </c>
      <c r="N270" s="1">
        <v>20893.900000000001</v>
      </c>
      <c r="O270" s="1">
        <v>2023</v>
      </c>
      <c r="P270" s="1" t="s">
        <v>32</v>
      </c>
      <c r="Q270" s="1" t="s">
        <v>33</v>
      </c>
      <c r="R270" s="4" t="s">
        <v>54</v>
      </c>
      <c r="S270" s="25">
        <f>Table1[[#This Row],[Clicks]]/Table1[[#This Row],[Impressions]]</f>
        <v>5.7241275725062775E-2</v>
      </c>
      <c r="T270" s="22">
        <f>Table1[[#This Row],[Sales]]/Table1[[#This Row],[USD_Spend]]</f>
        <v>7.3460913712722657</v>
      </c>
      <c r="U270" s="1" t="str">
        <f>Outlier_Check!C280</f>
        <v>Normal</v>
      </c>
    </row>
    <row r="271" spans="1:21" x14ac:dyDescent="0.35">
      <c r="A271" s="3" t="s">
        <v>101</v>
      </c>
      <c r="B271" s="1" t="s">
        <v>48</v>
      </c>
      <c r="C271" s="1" t="s">
        <v>29</v>
      </c>
      <c r="D271" s="1" t="s">
        <v>51</v>
      </c>
      <c r="E271" s="1" t="s">
        <v>30</v>
      </c>
      <c r="F271" s="1" t="s">
        <v>23</v>
      </c>
      <c r="G271" s="2">
        <v>45142</v>
      </c>
      <c r="H271" s="2">
        <v>45184</v>
      </c>
      <c r="I271" s="1">
        <v>8901.07</v>
      </c>
      <c r="J271" s="1">
        <v>1.0017</v>
      </c>
      <c r="K271" s="1">
        <v>8916.2000000000007</v>
      </c>
      <c r="L271" s="1">
        <v>33536</v>
      </c>
      <c r="M271" s="1">
        <v>16069</v>
      </c>
      <c r="N271" s="1">
        <v>15570.36</v>
      </c>
      <c r="O271" s="1">
        <v>2023</v>
      </c>
      <c r="P271" s="1" t="s">
        <v>32</v>
      </c>
      <c r="Q271" s="1" t="s">
        <v>33</v>
      </c>
      <c r="R271" s="4" t="s">
        <v>61</v>
      </c>
      <c r="S271" s="25">
        <f>Table1[[#This Row],[Clicks]]/Table1[[#This Row],[Impressions]]</f>
        <v>0.47915672709923662</v>
      </c>
      <c r="T271" s="22">
        <f>Table1[[#This Row],[Sales]]/Table1[[#This Row],[USD_Spend]]</f>
        <v>1.7462999932706758</v>
      </c>
      <c r="U271" s="1" t="str">
        <f>Outlier_Check!C281</f>
        <v>Normal</v>
      </c>
    </row>
    <row r="272" spans="1:21" x14ac:dyDescent="0.35">
      <c r="A272" s="3" t="s">
        <v>18</v>
      </c>
      <c r="B272" s="1" t="s">
        <v>35</v>
      </c>
      <c r="C272" s="1" t="s">
        <v>20</v>
      </c>
      <c r="D272" s="1" t="s">
        <v>43</v>
      </c>
      <c r="E272" s="1" t="s">
        <v>30</v>
      </c>
      <c r="F272" s="1" t="s">
        <v>23</v>
      </c>
      <c r="G272" s="2">
        <v>45143</v>
      </c>
      <c r="H272" s="2">
        <v>45203</v>
      </c>
      <c r="I272" s="1">
        <v>34922.1</v>
      </c>
      <c r="J272" s="1">
        <v>0.6845</v>
      </c>
      <c r="K272" s="1">
        <v>23904.18</v>
      </c>
      <c r="L272" s="1">
        <v>294263</v>
      </c>
      <c r="M272" s="1">
        <v>3151</v>
      </c>
      <c r="N272" s="1">
        <v>231419.02</v>
      </c>
      <c r="O272" s="1">
        <v>2023</v>
      </c>
      <c r="P272" s="1" t="s">
        <v>32</v>
      </c>
      <c r="Q272" s="1" t="s">
        <v>33</v>
      </c>
      <c r="R272" s="4" t="s">
        <v>61</v>
      </c>
      <c r="S272" s="25">
        <f>Table1[[#This Row],[Clicks]]/Table1[[#This Row],[Impressions]]</f>
        <v>1.0708108053000208E-2</v>
      </c>
      <c r="T272" s="22">
        <f>Table1[[#This Row],[Sales]]/Table1[[#This Row],[USD_Spend]]</f>
        <v>9.6811110023435223</v>
      </c>
      <c r="U272" s="1" t="str">
        <f>Outlier_Check!C282</f>
        <v>Normal</v>
      </c>
    </row>
    <row r="273" spans="1:21" x14ac:dyDescent="0.35">
      <c r="A273" s="3" t="s">
        <v>84</v>
      </c>
      <c r="B273" s="1" t="s">
        <v>28</v>
      </c>
      <c r="C273" s="1" t="s">
        <v>36</v>
      </c>
      <c r="D273" s="1" t="s">
        <v>21</v>
      </c>
      <c r="E273" s="1" t="s">
        <v>38</v>
      </c>
      <c r="F273" s="1" t="s">
        <v>52</v>
      </c>
      <c r="G273" s="2">
        <v>45143</v>
      </c>
      <c r="H273" s="2">
        <v>45203</v>
      </c>
      <c r="I273" s="1">
        <v>3385.43</v>
      </c>
      <c r="J273" s="1">
        <v>0.77590000000000003</v>
      </c>
      <c r="K273" s="1">
        <v>2626.76</v>
      </c>
      <c r="L273" s="1">
        <v>348869</v>
      </c>
      <c r="M273" s="1">
        <v>3739</v>
      </c>
      <c r="N273" s="1">
        <v>187231</v>
      </c>
      <c r="O273" s="1">
        <v>2023</v>
      </c>
      <c r="P273" s="1" t="s">
        <v>32</v>
      </c>
      <c r="Q273" s="1" t="s">
        <v>33</v>
      </c>
      <c r="R273" s="4" t="s">
        <v>61</v>
      </c>
      <c r="S273" s="25">
        <f>Table1[[#This Row],[Clicks]]/Table1[[#This Row],[Impressions]]</f>
        <v>1.0717489946082914E-2</v>
      </c>
      <c r="T273" s="22">
        <f>Table1[[#This Row],[Sales]]/Table1[[#This Row],[USD_Spend]]</f>
        <v>71.278304831808001</v>
      </c>
      <c r="U273" s="1" t="str">
        <f>Outlier_Check!C283</f>
        <v>Normal</v>
      </c>
    </row>
    <row r="274" spans="1:21" x14ac:dyDescent="0.35">
      <c r="A274" s="3" t="s">
        <v>71</v>
      </c>
      <c r="B274" s="1" t="s">
        <v>19</v>
      </c>
      <c r="C274" s="1" t="s">
        <v>58</v>
      </c>
      <c r="D274" s="1" t="s">
        <v>51</v>
      </c>
      <c r="E274" s="1" t="s">
        <v>38</v>
      </c>
      <c r="F274" s="1" t="s">
        <v>44</v>
      </c>
      <c r="G274" s="2">
        <v>45143</v>
      </c>
      <c r="H274" s="2">
        <v>45194</v>
      </c>
      <c r="I274" s="1">
        <v>2073.75</v>
      </c>
      <c r="J274" s="1">
        <v>0.61050000000000004</v>
      </c>
      <c r="K274" s="1">
        <v>1266.02</v>
      </c>
      <c r="L274" s="1">
        <v>139144</v>
      </c>
      <c r="M274" s="1">
        <v>24124</v>
      </c>
      <c r="N274" s="1">
        <v>179221.97</v>
      </c>
      <c r="O274" s="1">
        <v>2023</v>
      </c>
      <c r="P274" s="1" t="s">
        <v>32</v>
      </c>
      <c r="Q274" s="1" t="s">
        <v>33</v>
      </c>
      <c r="R274" s="4" t="s">
        <v>26</v>
      </c>
      <c r="S274" s="25">
        <f>Table1[[#This Row],[Clicks]]/Table1[[#This Row],[Impressions]]</f>
        <v>0.17337434600126489</v>
      </c>
      <c r="T274" s="22">
        <f>Table1[[#This Row],[Sales]]/Table1[[#This Row],[USD_Spend]]</f>
        <v>141.56330073774507</v>
      </c>
      <c r="U274" s="1" t="str">
        <f>Outlier_Check!C284</f>
        <v>Normal</v>
      </c>
    </row>
    <row r="275" spans="1:21" x14ac:dyDescent="0.35">
      <c r="A275" s="3" t="s">
        <v>117</v>
      </c>
      <c r="B275" s="1" t="s">
        <v>48</v>
      </c>
      <c r="C275" s="1" t="s">
        <v>29</v>
      </c>
      <c r="D275" s="1" t="s">
        <v>63</v>
      </c>
      <c r="E275" s="1" t="s">
        <v>30</v>
      </c>
      <c r="F275" s="1" t="s">
        <v>23</v>
      </c>
      <c r="G275" s="2">
        <v>45144</v>
      </c>
      <c r="H275" s="2">
        <v>45193</v>
      </c>
      <c r="I275" s="1">
        <v>37322.949999999997</v>
      </c>
      <c r="J275" s="1">
        <v>0.14599999999999999</v>
      </c>
      <c r="K275" s="1">
        <v>5449.15</v>
      </c>
      <c r="L275" s="1">
        <v>486660</v>
      </c>
      <c r="M275" s="1">
        <v>2608</v>
      </c>
      <c r="N275" s="1">
        <v>138544.9</v>
      </c>
      <c r="O275" s="1">
        <v>2023</v>
      </c>
      <c r="P275" s="1" t="s">
        <v>32</v>
      </c>
      <c r="Q275" s="1" t="s">
        <v>33</v>
      </c>
      <c r="R275" s="4" t="s">
        <v>54</v>
      </c>
      <c r="S275" s="25">
        <f>Table1[[#This Row],[Clicks]]/Table1[[#This Row],[Impressions]]</f>
        <v>5.358977520240003E-3</v>
      </c>
      <c r="T275" s="22">
        <f>Table1[[#This Row],[Sales]]/Table1[[#This Row],[USD_Spend]]</f>
        <v>25.425047943257205</v>
      </c>
      <c r="U275" s="1" t="str">
        <f>Outlier_Check!C285</f>
        <v>Normal</v>
      </c>
    </row>
    <row r="276" spans="1:21" x14ac:dyDescent="0.35">
      <c r="A276" s="3" t="s">
        <v>120</v>
      </c>
      <c r="B276" s="1" t="s">
        <v>35</v>
      </c>
      <c r="C276" s="1" t="s">
        <v>36</v>
      </c>
      <c r="D276" s="1" t="s">
        <v>21</v>
      </c>
      <c r="E276" s="1" t="s">
        <v>30</v>
      </c>
      <c r="F276" s="1" t="s">
        <v>52</v>
      </c>
      <c r="G276" s="2">
        <v>45145</v>
      </c>
      <c r="H276" s="2">
        <v>45180</v>
      </c>
      <c r="I276" s="1">
        <v>4819</v>
      </c>
      <c r="J276" s="1">
        <v>0.71650000000000003</v>
      </c>
      <c r="K276" s="1">
        <v>3452.81</v>
      </c>
      <c r="L276" s="1">
        <v>554676</v>
      </c>
      <c r="M276" s="1">
        <v>44663</v>
      </c>
      <c r="N276" s="1">
        <v>114041.38</v>
      </c>
      <c r="O276" s="1">
        <v>2023</v>
      </c>
      <c r="P276" s="1" t="s">
        <v>32</v>
      </c>
      <c r="Q276" s="1" t="s">
        <v>33</v>
      </c>
      <c r="R276" s="4" t="s">
        <v>54</v>
      </c>
      <c r="S276" s="25">
        <f>Table1[[#This Row],[Clicks]]/Table1[[#This Row],[Impressions]]</f>
        <v>8.0520880658258159E-2</v>
      </c>
      <c r="T276" s="22">
        <f>Table1[[#This Row],[Sales]]/Table1[[#This Row],[USD_Spend]]</f>
        <v>33.028570932081408</v>
      </c>
      <c r="U276" s="1" t="str">
        <f>Outlier_Check!C286</f>
        <v>Normal</v>
      </c>
    </row>
    <row r="277" spans="1:21" x14ac:dyDescent="0.35">
      <c r="A277" s="3" t="s">
        <v>97</v>
      </c>
      <c r="B277" s="1" t="s">
        <v>48</v>
      </c>
      <c r="C277" s="1" t="s">
        <v>20</v>
      </c>
      <c r="D277" s="1" t="s">
        <v>59</v>
      </c>
      <c r="E277" s="1" t="s">
        <v>22</v>
      </c>
      <c r="F277" s="1" t="s">
        <v>44</v>
      </c>
      <c r="G277" s="2">
        <v>45145</v>
      </c>
      <c r="H277" s="2">
        <v>45179</v>
      </c>
      <c r="I277" s="1">
        <v>28805.99</v>
      </c>
      <c r="J277" s="1">
        <v>0.39269999999999999</v>
      </c>
      <c r="K277" s="1">
        <v>11312.11</v>
      </c>
      <c r="L277" s="1">
        <v>253949</v>
      </c>
      <c r="M277" s="1">
        <v>36907</v>
      </c>
      <c r="N277" s="1">
        <v>21227.61</v>
      </c>
      <c r="O277" s="1">
        <v>2023</v>
      </c>
      <c r="P277" s="1" t="s">
        <v>32</v>
      </c>
      <c r="Q277" s="1" t="s">
        <v>33</v>
      </c>
      <c r="R277" s="4" t="s">
        <v>41</v>
      </c>
      <c r="S277" s="25">
        <f>Table1[[#This Row],[Clicks]]/Table1[[#This Row],[Impressions]]</f>
        <v>0.1453323305073066</v>
      </c>
      <c r="T277" s="22">
        <f>Table1[[#This Row],[Sales]]/Table1[[#This Row],[USD_Spend]]</f>
        <v>1.8765385060788835</v>
      </c>
      <c r="U277" s="1" t="str">
        <f>Outlier_Check!C287</f>
        <v>Normal</v>
      </c>
    </row>
    <row r="278" spans="1:21" x14ac:dyDescent="0.35">
      <c r="A278" s="3" t="s">
        <v>72</v>
      </c>
      <c r="B278" s="1" t="s">
        <v>19</v>
      </c>
      <c r="C278" s="1" t="s">
        <v>58</v>
      </c>
      <c r="D278" s="1" t="s">
        <v>43</v>
      </c>
      <c r="E278" s="1" t="s">
        <v>38</v>
      </c>
      <c r="F278" s="1" t="s">
        <v>23</v>
      </c>
      <c r="G278" s="2">
        <v>45145</v>
      </c>
      <c r="H278" s="2">
        <v>45150</v>
      </c>
      <c r="I278" s="1">
        <v>37163.26</v>
      </c>
      <c r="J278" s="1">
        <v>0.68689999999999996</v>
      </c>
      <c r="K278" s="1">
        <v>25527.439999999999</v>
      </c>
      <c r="L278" s="1">
        <v>238026</v>
      </c>
      <c r="M278" s="1">
        <v>20076</v>
      </c>
      <c r="N278" s="1">
        <v>232631.71</v>
      </c>
      <c r="O278" s="1">
        <v>2023</v>
      </c>
      <c r="P278" s="1" t="s">
        <v>32</v>
      </c>
      <c r="Q278" s="1" t="s">
        <v>33</v>
      </c>
      <c r="R278" s="4" t="s">
        <v>41</v>
      </c>
      <c r="S278" s="25">
        <f>Table1[[#This Row],[Clicks]]/Table1[[#This Row],[Impressions]]</f>
        <v>8.4343727155856918E-2</v>
      </c>
      <c r="T278" s="22">
        <f>Table1[[#This Row],[Sales]]/Table1[[#This Row],[USD_Spend]]</f>
        <v>9.1130058478249296</v>
      </c>
      <c r="U278" s="1" t="str">
        <f>Outlier_Check!C288</f>
        <v>Normal</v>
      </c>
    </row>
    <row r="279" spans="1:21" x14ac:dyDescent="0.35">
      <c r="A279" s="3" t="s">
        <v>71</v>
      </c>
      <c r="B279" s="1" t="s">
        <v>28</v>
      </c>
      <c r="C279" s="1" t="s">
        <v>58</v>
      </c>
      <c r="D279" s="1" t="s">
        <v>59</v>
      </c>
      <c r="E279" s="1" t="s">
        <v>22</v>
      </c>
      <c r="F279" s="1" t="s">
        <v>23</v>
      </c>
      <c r="G279" s="2">
        <v>45146</v>
      </c>
      <c r="H279" s="2">
        <v>45185</v>
      </c>
      <c r="I279" s="1">
        <v>7483.28</v>
      </c>
      <c r="J279" s="1">
        <v>1.1233</v>
      </c>
      <c r="K279" s="1">
        <v>8405.9699999999993</v>
      </c>
      <c r="L279" s="1">
        <v>608782</v>
      </c>
      <c r="M279" s="1">
        <v>37862</v>
      </c>
      <c r="N279" s="1">
        <v>120804.4</v>
      </c>
      <c r="O279" s="1">
        <v>2023</v>
      </c>
      <c r="P279" s="1" t="s">
        <v>32</v>
      </c>
      <c r="Q279" s="1" t="s">
        <v>33</v>
      </c>
      <c r="R279" s="4" t="s">
        <v>54</v>
      </c>
      <c r="S279" s="25">
        <f>Table1[[#This Row],[Clicks]]/Table1[[#This Row],[Impressions]]</f>
        <v>6.2193034616660807E-2</v>
      </c>
      <c r="T279" s="22">
        <f>Table1[[#This Row],[Sales]]/Table1[[#This Row],[USD_Spend]]</f>
        <v>14.371262329035199</v>
      </c>
      <c r="U279" s="1" t="str">
        <f>Outlier_Check!C289</f>
        <v>Normal</v>
      </c>
    </row>
    <row r="280" spans="1:21" x14ac:dyDescent="0.35">
      <c r="A280" s="3" t="s">
        <v>72</v>
      </c>
      <c r="B280" s="1" t="s">
        <v>19</v>
      </c>
      <c r="C280" s="1" t="s">
        <v>36</v>
      </c>
      <c r="D280" s="1" t="s">
        <v>59</v>
      </c>
      <c r="E280" s="1" t="s">
        <v>30</v>
      </c>
      <c r="F280" s="1" t="s">
        <v>44</v>
      </c>
      <c r="G280" s="2">
        <v>45147</v>
      </c>
      <c r="H280" s="2">
        <v>45176</v>
      </c>
      <c r="I280" s="1">
        <v>41705.61</v>
      </c>
      <c r="J280" s="1">
        <v>4.8800000000000003E-2</v>
      </c>
      <c r="K280" s="1">
        <v>2035.23</v>
      </c>
      <c r="L280" s="1">
        <v>771538</v>
      </c>
      <c r="M280" s="1">
        <v>9935</v>
      </c>
      <c r="N280" s="1">
        <v>98366.97</v>
      </c>
      <c r="O280" s="1">
        <v>2023</v>
      </c>
      <c r="P280" s="1" t="s">
        <v>32</v>
      </c>
      <c r="Q280" s="1" t="s">
        <v>33</v>
      </c>
      <c r="R280" s="4" t="s">
        <v>54</v>
      </c>
      <c r="S280" s="25">
        <f>Table1[[#This Row],[Clicks]]/Table1[[#This Row],[Impressions]]</f>
        <v>1.2876877094841732E-2</v>
      </c>
      <c r="T280" s="22">
        <f>Table1[[#This Row],[Sales]]/Table1[[#This Row],[USD_Spend]]</f>
        <v>48.33211479783612</v>
      </c>
      <c r="U280" s="1" t="str">
        <f>Outlier_Check!C290</f>
        <v>Normal</v>
      </c>
    </row>
    <row r="281" spans="1:21" x14ac:dyDescent="0.35">
      <c r="A281" s="3" t="s">
        <v>111</v>
      </c>
      <c r="B281" s="1" t="s">
        <v>35</v>
      </c>
      <c r="C281" s="1" t="s">
        <v>36</v>
      </c>
      <c r="D281" s="1" t="s">
        <v>63</v>
      </c>
      <c r="E281" s="1" t="s">
        <v>38</v>
      </c>
      <c r="F281" s="1" t="s">
        <v>44</v>
      </c>
      <c r="G281" s="2">
        <v>45148</v>
      </c>
      <c r="H281" s="2">
        <v>45175</v>
      </c>
      <c r="I281" s="1">
        <v>11278.39</v>
      </c>
      <c r="J281" s="1">
        <v>0.23749999999999999</v>
      </c>
      <c r="K281" s="1">
        <v>2678.62</v>
      </c>
      <c r="L281" s="1">
        <v>722641</v>
      </c>
      <c r="M281" s="1">
        <v>37903</v>
      </c>
      <c r="N281" s="1">
        <v>239000.59</v>
      </c>
      <c r="O281" s="1">
        <v>2023</v>
      </c>
      <c r="P281" s="1" t="s">
        <v>32</v>
      </c>
      <c r="Q281" s="1" t="s">
        <v>33</v>
      </c>
      <c r="R281" s="4" t="s">
        <v>26</v>
      </c>
      <c r="S281" s="25">
        <f>Table1[[#This Row],[Clicks]]/Table1[[#This Row],[Impressions]]</f>
        <v>5.2450663607517427E-2</v>
      </c>
      <c r="T281" s="22">
        <f>Table1[[#This Row],[Sales]]/Table1[[#This Row],[USD_Spend]]</f>
        <v>89.225268981789128</v>
      </c>
      <c r="U281" s="1" t="str">
        <f>Outlier_Check!C291</f>
        <v>Normal</v>
      </c>
    </row>
    <row r="282" spans="1:21" x14ac:dyDescent="0.35">
      <c r="A282" s="3" t="s">
        <v>34</v>
      </c>
      <c r="B282" s="1" t="s">
        <v>48</v>
      </c>
      <c r="C282" s="1" t="s">
        <v>29</v>
      </c>
      <c r="D282" s="1" t="s">
        <v>21</v>
      </c>
      <c r="E282" s="1" t="s">
        <v>30</v>
      </c>
      <c r="F282" s="1" t="s">
        <v>31</v>
      </c>
      <c r="G282" s="2">
        <v>45149</v>
      </c>
      <c r="H282" s="2">
        <v>45206</v>
      </c>
      <c r="I282" s="1">
        <v>7806.92</v>
      </c>
      <c r="J282" s="1">
        <v>0.70109999999999995</v>
      </c>
      <c r="K282" s="1">
        <v>5473.43</v>
      </c>
      <c r="L282" s="1">
        <v>801662</v>
      </c>
      <c r="M282" s="1">
        <v>41789</v>
      </c>
      <c r="N282" s="1">
        <v>203410.65</v>
      </c>
      <c r="O282" s="1">
        <v>2023</v>
      </c>
      <c r="P282" s="1" t="s">
        <v>32</v>
      </c>
      <c r="Q282" s="1" t="s">
        <v>33</v>
      </c>
      <c r="R282" s="4" t="s">
        <v>54</v>
      </c>
      <c r="S282" s="25">
        <f>Table1[[#This Row],[Clicks]]/Table1[[#This Row],[Impressions]]</f>
        <v>5.2127954175201018E-2</v>
      </c>
      <c r="T282" s="22">
        <f>Table1[[#This Row],[Sales]]/Table1[[#This Row],[USD_Spend]]</f>
        <v>37.163287006502316</v>
      </c>
      <c r="U282" s="1" t="str">
        <f>Outlier_Check!C292</f>
        <v>Normal</v>
      </c>
    </row>
    <row r="283" spans="1:21" x14ac:dyDescent="0.35">
      <c r="A283" s="3" t="s">
        <v>27</v>
      </c>
      <c r="B283" s="1" t="s">
        <v>28</v>
      </c>
      <c r="C283" s="1" t="s">
        <v>29</v>
      </c>
      <c r="D283" s="1" t="s">
        <v>21</v>
      </c>
      <c r="E283" s="1" t="s">
        <v>30</v>
      </c>
      <c r="F283" s="1" t="s">
        <v>31</v>
      </c>
      <c r="G283" s="2">
        <v>45150</v>
      </c>
      <c r="H283" s="2">
        <v>45169</v>
      </c>
      <c r="I283" s="1">
        <v>25762.41</v>
      </c>
      <c r="J283" s="1">
        <v>4.1599999999999998E-2</v>
      </c>
      <c r="K283" s="1">
        <v>1071.72</v>
      </c>
      <c r="L283" s="1">
        <v>218496</v>
      </c>
      <c r="M283" s="1">
        <v>47025</v>
      </c>
      <c r="N283" s="1">
        <v>164221.69</v>
      </c>
      <c r="O283" s="1">
        <v>2023</v>
      </c>
      <c r="P283" s="1" t="s">
        <v>32</v>
      </c>
      <c r="Q283" s="1" t="s">
        <v>33</v>
      </c>
      <c r="R283" s="4" t="s">
        <v>26</v>
      </c>
      <c r="S283" s="25">
        <f>Table1[[#This Row],[Clicks]]/Table1[[#This Row],[Impressions]]</f>
        <v>0.21522133128295254</v>
      </c>
      <c r="T283" s="22">
        <f>Table1[[#This Row],[Sales]]/Table1[[#This Row],[USD_Spend]]</f>
        <v>153.23189825700743</v>
      </c>
      <c r="U283" s="1" t="str">
        <f>Outlier_Check!C293</f>
        <v>Normal</v>
      </c>
    </row>
    <row r="284" spans="1:21" x14ac:dyDescent="0.35">
      <c r="A284" s="3" t="s">
        <v>95</v>
      </c>
      <c r="B284" s="1" t="s">
        <v>48</v>
      </c>
      <c r="C284" s="1" t="s">
        <v>69</v>
      </c>
      <c r="D284" s="1" t="s">
        <v>63</v>
      </c>
      <c r="E284" s="1" t="s">
        <v>38</v>
      </c>
      <c r="F284" s="1" t="s">
        <v>23</v>
      </c>
      <c r="G284" s="2">
        <v>45152</v>
      </c>
      <c r="H284" s="2">
        <v>45182</v>
      </c>
      <c r="I284" s="1">
        <v>49237.84</v>
      </c>
      <c r="J284" s="1">
        <v>7.5200000000000003E-2</v>
      </c>
      <c r="K284" s="1">
        <v>3702.69</v>
      </c>
      <c r="L284" s="1">
        <v>224353</v>
      </c>
      <c r="M284" s="1">
        <v>19853</v>
      </c>
      <c r="N284" s="1">
        <v>236604.4</v>
      </c>
      <c r="O284" s="1">
        <v>2023</v>
      </c>
      <c r="P284" s="1" t="s">
        <v>32</v>
      </c>
      <c r="Q284" s="1" t="s">
        <v>33</v>
      </c>
      <c r="R284" s="4" t="s">
        <v>26</v>
      </c>
      <c r="S284" s="25">
        <f>Table1[[#This Row],[Clicks]]/Table1[[#This Row],[Impressions]]</f>
        <v>8.8490013505502493E-2</v>
      </c>
      <c r="T284" s="22">
        <f>Table1[[#This Row],[Sales]]/Table1[[#This Row],[USD_Spend]]</f>
        <v>63.900677615463351</v>
      </c>
      <c r="U284" s="1" t="str">
        <f>Outlier_Check!C294</f>
        <v>Normal</v>
      </c>
    </row>
    <row r="285" spans="1:21" x14ac:dyDescent="0.35">
      <c r="A285" s="3" t="s">
        <v>18</v>
      </c>
      <c r="B285" s="1" t="s">
        <v>35</v>
      </c>
      <c r="C285" s="1" t="s">
        <v>69</v>
      </c>
      <c r="D285" s="1" t="s">
        <v>51</v>
      </c>
      <c r="E285" s="1" t="s">
        <v>30</v>
      </c>
      <c r="F285" s="1" t="s">
        <v>44</v>
      </c>
      <c r="G285" s="2">
        <v>45152</v>
      </c>
      <c r="H285" s="2">
        <v>45173</v>
      </c>
      <c r="I285" s="1">
        <v>4881.28</v>
      </c>
      <c r="J285" s="1">
        <v>0.75409999999999999</v>
      </c>
      <c r="K285" s="1">
        <v>3680.97</v>
      </c>
      <c r="L285" s="1">
        <v>551704</v>
      </c>
      <c r="M285" s="1">
        <v>40287</v>
      </c>
      <c r="N285" s="1">
        <v>202855.86</v>
      </c>
      <c r="O285" s="1">
        <v>2023</v>
      </c>
      <c r="P285" s="1" t="s">
        <v>32</v>
      </c>
      <c r="Q285" s="1" t="s">
        <v>33</v>
      </c>
      <c r="R285" s="4" t="s">
        <v>41</v>
      </c>
      <c r="S285" s="25">
        <f>Table1[[#This Row],[Clicks]]/Table1[[#This Row],[Impressions]]</f>
        <v>7.3022852834128446E-2</v>
      </c>
      <c r="T285" s="22">
        <f>Table1[[#This Row],[Sales]]/Table1[[#This Row],[USD_Spend]]</f>
        <v>55.109348894449013</v>
      </c>
      <c r="U285" s="1" t="str">
        <f>Outlier_Check!C295</f>
        <v>Normal</v>
      </c>
    </row>
    <row r="286" spans="1:21" x14ac:dyDescent="0.35">
      <c r="A286" s="3" t="s">
        <v>27</v>
      </c>
      <c r="B286" s="1" t="s">
        <v>19</v>
      </c>
      <c r="C286" s="1" t="s">
        <v>20</v>
      </c>
      <c r="D286" s="1" t="s">
        <v>63</v>
      </c>
      <c r="E286" s="1" t="s">
        <v>38</v>
      </c>
      <c r="F286" s="1" t="s">
        <v>52</v>
      </c>
      <c r="G286" s="2">
        <v>45154</v>
      </c>
      <c r="H286" s="2">
        <v>45207</v>
      </c>
      <c r="I286" s="1">
        <v>29256.59</v>
      </c>
      <c r="J286" s="1">
        <v>7.4399999999999994E-2</v>
      </c>
      <c r="K286" s="1">
        <v>2176.69</v>
      </c>
      <c r="L286" s="1">
        <v>848095</v>
      </c>
      <c r="M286" s="1">
        <v>27833</v>
      </c>
      <c r="N286" s="1">
        <v>122188.42</v>
      </c>
      <c r="O286" s="1">
        <v>2023</v>
      </c>
      <c r="P286" s="1" t="s">
        <v>32</v>
      </c>
      <c r="Q286" s="1" t="s">
        <v>33</v>
      </c>
      <c r="R286" s="4" t="s">
        <v>54</v>
      </c>
      <c r="S286" s="25">
        <f>Table1[[#This Row],[Clicks]]/Table1[[#This Row],[Impressions]]</f>
        <v>3.2818257388618023E-2</v>
      </c>
      <c r="T286" s="22">
        <f>Table1[[#This Row],[Sales]]/Table1[[#This Row],[USD_Spend]]</f>
        <v>56.134966393928394</v>
      </c>
      <c r="U286" s="1" t="str">
        <f>Outlier_Check!C296</f>
        <v>Normal</v>
      </c>
    </row>
    <row r="287" spans="1:21" x14ac:dyDescent="0.35">
      <c r="A287" s="3" t="s">
        <v>111</v>
      </c>
      <c r="B287" s="1" t="s">
        <v>28</v>
      </c>
      <c r="C287" s="1" t="s">
        <v>58</v>
      </c>
      <c r="D287" s="1" t="s">
        <v>51</v>
      </c>
      <c r="E287" s="1" t="s">
        <v>30</v>
      </c>
      <c r="F287" s="1" t="s">
        <v>44</v>
      </c>
      <c r="G287" s="2">
        <v>45154</v>
      </c>
      <c r="H287" s="2">
        <v>45191</v>
      </c>
      <c r="I287" s="1">
        <v>37595.800000000003</v>
      </c>
      <c r="J287" s="1">
        <v>0.67400000000000004</v>
      </c>
      <c r="K287" s="1">
        <v>25339.57</v>
      </c>
      <c r="L287" s="1">
        <v>731068</v>
      </c>
      <c r="M287" s="1">
        <v>37798</v>
      </c>
      <c r="N287" s="1">
        <v>59152.78</v>
      </c>
      <c r="O287" s="1">
        <v>2023</v>
      </c>
      <c r="P287" s="1" t="s">
        <v>32</v>
      </c>
      <c r="Q287" s="1" t="s">
        <v>33</v>
      </c>
      <c r="R287" s="4" t="s">
        <v>61</v>
      </c>
      <c r="S287" s="25">
        <f>Table1[[#This Row],[Clicks]]/Table1[[#This Row],[Impressions]]</f>
        <v>5.1702440812619349E-2</v>
      </c>
      <c r="T287" s="22">
        <f>Table1[[#This Row],[Sales]]/Table1[[#This Row],[USD_Spend]]</f>
        <v>2.3344034646207494</v>
      </c>
      <c r="U287" s="1" t="str">
        <f>Outlier_Check!C297</f>
        <v>Normal</v>
      </c>
    </row>
    <row r="288" spans="1:21" x14ac:dyDescent="0.35">
      <c r="A288" s="3" t="s">
        <v>90</v>
      </c>
      <c r="B288" s="1" t="s">
        <v>35</v>
      </c>
      <c r="C288" s="1" t="s">
        <v>58</v>
      </c>
      <c r="D288" s="1" t="s">
        <v>37</v>
      </c>
      <c r="E288" s="1" t="s">
        <v>38</v>
      </c>
      <c r="F288" s="1" t="s">
        <v>23</v>
      </c>
      <c r="G288" s="2">
        <v>45154</v>
      </c>
      <c r="H288" s="2">
        <v>45181</v>
      </c>
      <c r="I288" s="1">
        <v>11943.07</v>
      </c>
      <c r="J288" s="1">
        <v>1.0469999999999999</v>
      </c>
      <c r="K288" s="1">
        <v>12504.39</v>
      </c>
      <c r="L288" s="1">
        <v>450897</v>
      </c>
      <c r="M288" s="1">
        <v>21813</v>
      </c>
      <c r="N288" s="1">
        <v>96062.2</v>
      </c>
      <c r="O288" s="1">
        <v>2023</v>
      </c>
      <c r="P288" s="1" t="s">
        <v>32</v>
      </c>
      <c r="Q288" s="1" t="s">
        <v>33</v>
      </c>
      <c r="R288" s="4" t="s">
        <v>26</v>
      </c>
      <c r="S288" s="25">
        <f>Table1[[#This Row],[Clicks]]/Table1[[#This Row],[Impressions]]</f>
        <v>4.8376902041929751E-2</v>
      </c>
      <c r="T288" s="22">
        <f>Table1[[#This Row],[Sales]]/Table1[[#This Row],[USD_Spend]]</f>
        <v>7.6822779839720292</v>
      </c>
      <c r="U288" s="1" t="str">
        <f>Outlier_Check!C298</f>
        <v>Normal</v>
      </c>
    </row>
    <row r="289" spans="1:21" x14ac:dyDescent="0.35">
      <c r="A289" s="3" t="s">
        <v>106</v>
      </c>
      <c r="B289" s="1" t="s">
        <v>19</v>
      </c>
      <c r="C289" s="1" t="s">
        <v>58</v>
      </c>
      <c r="D289" s="1" t="s">
        <v>51</v>
      </c>
      <c r="E289" s="1" t="s">
        <v>22</v>
      </c>
      <c r="F289" s="1" t="s">
        <v>23</v>
      </c>
      <c r="G289" s="2">
        <v>45154</v>
      </c>
      <c r="H289" s="2">
        <v>45167</v>
      </c>
      <c r="I289" s="1">
        <v>42983.95</v>
      </c>
      <c r="J289" s="1">
        <v>0.1794</v>
      </c>
      <c r="K289" s="1">
        <v>7711.32</v>
      </c>
      <c r="L289" s="1">
        <v>247580</v>
      </c>
      <c r="M289" s="1">
        <v>20247</v>
      </c>
      <c r="N289" s="1">
        <v>35709.32</v>
      </c>
      <c r="O289" s="1">
        <v>2023</v>
      </c>
      <c r="P289" s="1" t="s">
        <v>32</v>
      </c>
      <c r="Q289" s="1" t="s">
        <v>33</v>
      </c>
      <c r="R289" s="4" t="s">
        <v>26</v>
      </c>
      <c r="S289" s="25">
        <f>Table1[[#This Row],[Clicks]]/Table1[[#This Row],[Impressions]]</f>
        <v>8.177962678730108E-2</v>
      </c>
      <c r="T289" s="22">
        <f>Table1[[#This Row],[Sales]]/Table1[[#This Row],[USD_Spend]]</f>
        <v>4.6307661982643697</v>
      </c>
      <c r="U289" s="1" t="str">
        <f>Outlier_Check!C299</f>
        <v>Normal</v>
      </c>
    </row>
    <row r="290" spans="1:21" x14ac:dyDescent="0.35">
      <c r="A290" s="3" t="s">
        <v>101</v>
      </c>
      <c r="B290" s="1" t="s">
        <v>19</v>
      </c>
      <c r="C290" s="1" t="s">
        <v>69</v>
      </c>
      <c r="D290" s="1" t="s">
        <v>63</v>
      </c>
      <c r="E290" s="1" t="s">
        <v>22</v>
      </c>
      <c r="F290" s="1" t="s">
        <v>23</v>
      </c>
      <c r="G290" s="2">
        <v>45156</v>
      </c>
      <c r="H290" s="2">
        <v>45197</v>
      </c>
      <c r="I290" s="1">
        <v>48784.34</v>
      </c>
      <c r="J290" s="1">
        <v>0.48280000000000001</v>
      </c>
      <c r="K290" s="1">
        <v>23553.08</v>
      </c>
      <c r="L290" s="1">
        <v>253390</v>
      </c>
      <c r="M290" s="1">
        <v>29400</v>
      </c>
      <c r="N290" s="1">
        <v>95606.3</v>
      </c>
      <c r="O290" s="1">
        <v>2023</v>
      </c>
      <c r="P290" s="1" t="s">
        <v>32</v>
      </c>
      <c r="Q290" s="1" t="s">
        <v>33</v>
      </c>
      <c r="R290" s="4" t="s">
        <v>26</v>
      </c>
      <c r="S290" s="25">
        <f>Table1[[#This Row],[Clicks]]/Table1[[#This Row],[Impressions]]</f>
        <v>0.11602667824302458</v>
      </c>
      <c r="T290" s="22">
        <f>Table1[[#This Row],[Sales]]/Table1[[#This Row],[USD_Spend]]</f>
        <v>4.0591846161945693</v>
      </c>
      <c r="U290" s="1" t="str">
        <f>Outlier_Check!C300</f>
        <v>Normal</v>
      </c>
    </row>
    <row r="291" spans="1:21" x14ac:dyDescent="0.35">
      <c r="A291" s="3" t="s">
        <v>68</v>
      </c>
      <c r="B291" s="1" t="s">
        <v>35</v>
      </c>
      <c r="C291" s="1" t="s">
        <v>69</v>
      </c>
      <c r="D291" s="1" t="s">
        <v>63</v>
      </c>
      <c r="E291" s="1" t="s">
        <v>22</v>
      </c>
      <c r="F291" s="1" t="s">
        <v>49</v>
      </c>
      <c r="G291" s="2">
        <v>45160</v>
      </c>
      <c r="H291" s="2">
        <v>45191</v>
      </c>
      <c r="I291" s="1">
        <v>17607.650000000001</v>
      </c>
      <c r="J291" s="1">
        <v>0.54969999999999997</v>
      </c>
      <c r="K291" s="1">
        <v>9678.93</v>
      </c>
      <c r="L291" s="1">
        <v>446196</v>
      </c>
      <c r="M291" s="1">
        <v>47915</v>
      </c>
      <c r="N291" s="1">
        <v>28296.03</v>
      </c>
      <c r="O291" s="1">
        <v>2023</v>
      </c>
      <c r="P291" s="1" t="s">
        <v>32</v>
      </c>
      <c r="Q291" s="1" t="s">
        <v>33</v>
      </c>
      <c r="R291" s="4" t="s">
        <v>26</v>
      </c>
      <c r="S291" s="25">
        <f>Table1[[#This Row],[Clicks]]/Table1[[#This Row],[Impressions]]</f>
        <v>0.10738554357277967</v>
      </c>
      <c r="T291" s="22">
        <f>Table1[[#This Row],[Sales]]/Table1[[#This Row],[USD_Spend]]</f>
        <v>2.923466746840818</v>
      </c>
      <c r="U291" s="1" t="str">
        <f>Outlier_Check!C301</f>
        <v>Normal</v>
      </c>
    </row>
    <row r="292" spans="1:21" x14ac:dyDescent="0.35">
      <c r="A292" s="3" t="s">
        <v>105</v>
      </c>
      <c r="B292" s="1" t="s">
        <v>19</v>
      </c>
      <c r="C292" s="1" t="s">
        <v>20</v>
      </c>
      <c r="D292" s="1" t="s">
        <v>63</v>
      </c>
      <c r="E292" s="1" t="s">
        <v>22</v>
      </c>
      <c r="F292" s="1" t="s">
        <v>23</v>
      </c>
      <c r="G292" s="2">
        <v>45160</v>
      </c>
      <c r="H292" s="2">
        <v>45187</v>
      </c>
      <c r="I292" s="1">
        <v>28098.85</v>
      </c>
      <c r="J292" s="1">
        <v>0.45679999999999998</v>
      </c>
      <c r="K292" s="1">
        <v>12835.55</v>
      </c>
      <c r="L292" s="1">
        <v>204760</v>
      </c>
      <c r="M292" s="1">
        <v>44644</v>
      </c>
      <c r="N292" s="1">
        <v>148539.4</v>
      </c>
      <c r="O292" s="1">
        <v>2023</v>
      </c>
      <c r="P292" s="1" t="s">
        <v>32</v>
      </c>
      <c r="Q292" s="1" t="s">
        <v>33</v>
      </c>
      <c r="R292" s="4" t="s">
        <v>26</v>
      </c>
      <c r="S292" s="25">
        <f>Table1[[#This Row],[Clicks]]/Table1[[#This Row],[Impressions]]</f>
        <v>0.21803086540339911</v>
      </c>
      <c r="T292" s="22">
        <f>Table1[[#This Row],[Sales]]/Table1[[#This Row],[USD_Spend]]</f>
        <v>11.572499814967026</v>
      </c>
      <c r="U292" s="1" t="str">
        <f>Outlier_Check!C302</f>
        <v>Normal</v>
      </c>
    </row>
    <row r="293" spans="1:21" x14ac:dyDescent="0.35">
      <c r="A293" s="3" t="s">
        <v>85</v>
      </c>
      <c r="B293" s="1" t="s">
        <v>28</v>
      </c>
      <c r="C293" s="1" t="s">
        <v>58</v>
      </c>
      <c r="D293" s="1" t="s">
        <v>37</v>
      </c>
      <c r="E293" s="1" t="s">
        <v>38</v>
      </c>
      <c r="F293" s="1" t="s">
        <v>44</v>
      </c>
      <c r="G293" s="2">
        <v>45164</v>
      </c>
      <c r="H293" s="2">
        <v>45214</v>
      </c>
      <c r="I293" s="1">
        <v>3974.53</v>
      </c>
      <c r="J293" s="1">
        <v>3.2599999999999997E-2</v>
      </c>
      <c r="K293" s="1">
        <v>129.57</v>
      </c>
      <c r="L293" s="1">
        <v>614402</v>
      </c>
      <c r="M293" s="1">
        <v>20799</v>
      </c>
      <c r="N293" s="1">
        <v>140547.64000000001</v>
      </c>
      <c r="O293" s="1">
        <v>2023</v>
      </c>
      <c r="P293" s="1" t="s">
        <v>32</v>
      </c>
      <c r="Q293" s="1" t="s">
        <v>33</v>
      </c>
      <c r="R293" s="4" t="s">
        <v>41</v>
      </c>
      <c r="S293" s="25">
        <f>Table1[[#This Row],[Clicks]]/Table1[[#This Row],[Impressions]]</f>
        <v>3.3852428865791449E-2</v>
      </c>
      <c r="T293" s="22">
        <f>Table1[[#This Row],[Sales]]/Table1[[#This Row],[USD_Spend]]</f>
        <v>1084.7236242957476</v>
      </c>
      <c r="U293" s="1" t="str">
        <f>Outlier_Check!C303</f>
        <v>Normal</v>
      </c>
    </row>
    <row r="294" spans="1:21" x14ac:dyDescent="0.35">
      <c r="A294" s="3" t="s">
        <v>72</v>
      </c>
      <c r="B294" s="1" t="s">
        <v>19</v>
      </c>
      <c r="C294" s="1" t="s">
        <v>29</v>
      </c>
      <c r="D294" s="1" t="s">
        <v>51</v>
      </c>
      <c r="E294" s="1" t="s">
        <v>22</v>
      </c>
      <c r="F294" s="1" t="s">
        <v>44</v>
      </c>
      <c r="G294" s="2">
        <v>45165</v>
      </c>
      <c r="H294" s="2">
        <v>45195</v>
      </c>
      <c r="I294" s="1">
        <v>17610.900000000001</v>
      </c>
      <c r="J294" s="1">
        <v>6.4500000000000002E-2</v>
      </c>
      <c r="K294" s="1">
        <v>1135.9000000000001</v>
      </c>
      <c r="L294" s="1">
        <v>713011</v>
      </c>
      <c r="M294" s="1">
        <v>29138</v>
      </c>
      <c r="N294" s="1">
        <v>185298.63</v>
      </c>
      <c r="O294" s="1">
        <v>2023</v>
      </c>
      <c r="P294" s="1" t="s">
        <v>32</v>
      </c>
      <c r="Q294" s="1" t="s">
        <v>33</v>
      </c>
      <c r="R294" s="4" t="s">
        <v>41</v>
      </c>
      <c r="S294" s="25">
        <f>Table1[[#This Row],[Clicks]]/Table1[[#This Row],[Impressions]]</f>
        <v>4.0866129695053793E-2</v>
      </c>
      <c r="T294" s="22">
        <f>Table1[[#This Row],[Sales]]/Table1[[#This Row],[USD_Spend]]</f>
        <v>163.12935117527951</v>
      </c>
      <c r="U294" s="1" t="str">
        <f>Outlier_Check!C304</f>
        <v>Normal</v>
      </c>
    </row>
    <row r="295" spans="1:21" x14ac:dyDescent="0.35">
      <c r="A295" s="3" t="s">
        <v>102</v>
      </c>
      <c r="B295" s="1" t="s">
        <v>19</v>
      </c>
      <c r="C295" s="1" t="s">
        <v>69</v>
      </c>
      <c r="D295" s="1" t="s">
        <v>59</v>
      </c>
      <c r="E295" s="1" t="s">
        <v>38</v>
      </c>
      <c r="F295" s="1" t="s">
        <v>49</v>
      </c>
      <c r="G295" s="2">
        <v>45166</v>
      </c>
      <c r="H295" s="2">
        <v>45204</v>
      </c>
      <c r="I295" s="1">
        <v>29763.18</v>
      </c>
      <c r="J295" s="1">
        <v>0.66759999999999997</v>
      </c>
      <c r="K295" s="1">
        <v>19869.900000000001</v>
      </c>
      <c r="L295" s="1">
        <v>501507</v>
      </c>
      <c r="M295" s="1">
        <v>47450</v>
      </c>
      <c r="N295" s="1">
        <v>204527.44</v>
      </c>
      <c r="O295" s="1">
        <v>2023</v>
      </c>
      <c r="P295" s="1" t="s">
        <v>32</v>
      </c>
      <c r="Q295" s="1" t="s">
        <v>33</v>
      </c>
      <c r="R295" s="4" t="s">
        <v>61</v>
      </c>
      <c r="S295" s="25">
        <f>Table1[[#This Row],[Clicks]]/Table1[[#This Row],[Impressions]]</f>
        <v>9.4614830899668406E-2</v>
      </c>
      <c r="T295" s="22">
        <f>Table1[[#This Row],[Sales]]/Table1[[#This Row],[USD_Spend]]</f>
        <v>10.293330112381039</v>
      </c>
      <c r="U295" s="1" t="str">
        <f>Outlier_Check!C305</f>
        <v>Normal</v>
      </c>
    </row>
    <row r="296" spans="1:21" x14ac:dyDescent="0.35">
      <c r="A296" s="3" t="s">
        <v>70</v>
      </c>
      <c r="B296" s="1" t="s">
        <v>35</v>
      </c>
      <c r="C296" s="1" t="s">
        <v>69</v>
      </c>
      <c r="D296" s="1" t="s">
        <v>43</v>
      </c>
      <c r="E296" s="1" t="s">
        <v>38</v>
      </c>
      <c r="F296" s="1" t="s">
        <v>31</v>
      </c>
      <c r="G296" s="2">
        <v>45167</v>
      </c>
      <c r="H296" s="2">
        <v>45216</v>
      </c>
      <c r="I296" s="1">
        <v>22573.59</v>
      </c>
      <c r="J296" s="1">
        <v>0.9194</v>
      </c>
      <c r="K296" s="1">
        <v>20754.16</v>
      </c>
      <c r="L296" s="1">
        <v>129787</v>
      </c>
      <c r="M296" s="1">
        <v>1495</v>
      </c>
      <c r="N296" s="1">
        <v>127232.34</v>
      </c>
      <c r="O296" s="1">
        <v>2023</v>
      </c>
      <c r="P296" s="1" t="s">
        <v>32</v>
      </c>
      <c r="Q296" s="1" t="s">
        <v>33</v>
      </c>
      <c r="R296" s="4" t="s">
        <v>26</v>
      </c>
      <c r="S296" s="25">
        <f>Table1[[#This Row],[Clicks]]/Table1[[#This Row],[Impressions]]</f>
        <v>1.1518873230755006E-2</v>
      </c>
      <c r="T296" s="22">
        <f>Table1[[#This Row],[Sales]]/Table1[[#This Row],[USD_Spend]]</f>
        <v>6.1304499917125046</v>
      </c>
      <c r="U296" s="1" t="str">
        <f>Outlier_Check!C306</f>
        <v>Normal</v>
      </c>
    </row>
    <row r="297" spans="1:21" x14ac:dyDescent="0.35">
      <c r="A297" s="3" t="s">
        <v>47</v>
      </c>
      <c r="B297" s="1" t="s">
        <v>48</v>
      </c>
      <c r="C297" s="1" t="s">
        <v>69</v>
      </c>
      <c r="D297" s="1" t="s">
        <v>63</v>
      </c>
      <c r="E297" s="1" t="s">
        <v>38</v>
      </c>
      <c r="F297" s="1" t="s">
        <v>44</v>
      </c>
      <c r="G297" s="2">
        <v>45168</v>
      </c>
      <c r="H297" s="2">
        <v>45224</v>
      </c>
      <c r="I297" s="1">
        <v>37542.15</v>
      </c>
      <c r="J297" s="1">
        <v>0.70209999999999995</v>
      </c>
      <c r="K297" s="1">
        <v>26358.34</v>
      </c>
      <c r="L297" s="1">
        <v>759361</v>
      </c>
      <c r="M297" s="1">
        <v>41239</v>
      </c>
      <c r="N297" s="1">
        <v>168052.53</v>
      </c>
      <c r="O297" s="1">
        <v>2023</v>
      </c>
      <c r="P297" s="1" t="s">
        <v>32</v>
      </c>
      <c r="Q297" s="1" t="s">
        <v>33</v>
      </c>
      <c r="R297" s="4" t="s">
        <v>61</v>
      </c>
      <c r="S297" s="25">
        <f>Table1[[#This Row],[Clicks]]/Table1[[#This Row],[Impressions]]</f>
        <v>5.4307503282365041E-2</v>
      </c>
      <c r="T297" s="22">
        <f>Table1[[#This Row],[Sales]]/Table1[[#This Row],[USD_Spend]]</f>
        <v>6.3756871639109294</v>
      </c>
      <c r="U297" s="1" t="str">
        <f>Outlier_Check!C307</f>
        <v>Normal</v>
      </c>
    </row>
    <row r="298" spans="1:21" x14ac:dyDescent="0.35">
      <c r="A298" s="3" t="s">
        <v>67</v>
      </c>
      <c r="B298" s="1" t="s">
        <v>28</v>
      </c>
      <c r="C298" s="1" t="s">
        <v>29</v>
      </c>
      <c r="D298" s="1" t="s">
        <v>43</v>
      </c>
      <c r="E298" s="1" t="s">
        <v>22</v>
      </c>
      <c r="F298" s="1" t="s">
        <v>31</v>
      </c>
      <c r="G298" s="2">
        <v>45168</v>
      </c>
      <c r="H298" s="2">
        <v>45205</v>
      </c>
      <c r="I298" s="1">
        <v>4830.0600000000004</v>
      </c>
      <c r="J298" s="1">
        <v>0.87270000000000003</v>
      </c>
      <c r="K298" s="1">
        <v>4215.1899999999996</v>
      </c>
      <c r="L298" s="1">
        <v>336592</v>
      </c>
      <c r="M298" s="1">
        <v>10858</v>
      </c>
      <c r="N298" s="1">
        <v>181810.07</v>
      </c>
      <c r="O298" s="1">
        <v>2023</v>
      </c>
      <c r="P298" s="1" t="s">
        <v>32</v>
      </c>
      <c r="Q298" s="1" t="s">
        <v>33</v>
      </c>
      <c r="R298" s="4" t="s">
        <v>41</v>
      </c>
      <c r="S298" s="25">
        <f>Table1[[#This Row],[Clicks]]/Table1[[#This Row],[Impressions]]</f>
        <v>3.2258639539858344E-2</v>
      </c>
      <c r="T298" s="22">
        <f>Table1[[#This Row],[Sales]]/Table1[[#This Row],[USD_Spend]]</f>
        <v>43.132117413449933</v>
      </c>
      <c r="U298" s="1" t="str">
        <f>Outlier_Check!C308</f>
        <v>Normal</v>
      </c>
    </row>
    <row r="299" spans="1:21" x14ac:dyDescent="0.35">
      <c r="A299" s="3" t="s">
        <v>55</v>
      </c>
      <c r="B299" s="1" t="s">
        <v>35</v>
      </c>
      <c r="C299" s="1" t="s">
        <v>29</v>
      </c>
      <c r="D299" s="1" t="s">
        <v>59</v>
      </c>
      <c r="E299" s="1" t="s">
        <v>22</v>
      </c>
      <c r="F299" s="1" t="s">
        <v>31</v>
      </c>
      <c r="G299" s="2">
        <v>45168</v>
      </c>
      <c r="H299" s="2">
        <v>45197</v>
      </c>
      <c r="I299" s="1">
        <v>49731.74</v>
      </c>
      <c r="J299" s="1">
        <v>0.45610000000000001</v>
      </c>
      <c r="K299" s="1">
        <v>22682.65</v>
      </c>
      <c r="L299" s="1">
        <v>39556</v>
      </c>
      <c r="M299" s="1">
        <v>20985</v>
      </c>
      <c r="N299" s="1">
        <v>233052.35</v>
      </c>
      <c r="O299" s="1">
        <v>2023</v>
      </c>
      <c r="P299" s="1" t="s">
        <v>32</v>
      </c>
      <c r="Q299" s="1" t="s">
        <v>33</v>
      </c>
      <c r="R299" s="4" t="s">
        <v>54</v>
      </c>
      <c r="S299" s="25">
        <f>Table1[[#This Row],[Clicks]]/Table1[[#This Row],[Impressions]]</f>
        <v>0.5305137020932349</v>
      </c>
      <c r="T299" s="22">
        <f>Table1[[#This Row],[Sales]]/Table1[[#This Row],[USD_Spend]]</f>
        <v>10.274476306780732</v>
      </c>
      <c r="U299" s="1" t="str">
        <f>Outlier_Check!C309</f>
        <v>Normal</v>
      </c>
    </row>
    <row r="300" spans="1:21" x14ac:dyDescent="0.35">
      <c r="A300" s="3" t="s">
        <v>118</v>
      </c>
      <c r="B300" s="1" t="s">
        <v>19</v>
      </c>
      <c r="C300" s="1" t="s">
        <v>36</v>
      </c>
      <c r="D300" s="1" t="s">
        <v>51</v>
      </c>
      <c r="E300" s="1" t="s">
        <v>22</v>
      </c>
      <c r="F300" s="1" t="s">
        <v>23</v>
      </c>
      <c r="G300" s="2">
        <v>45170</v>
      </c>
      <c r="H300" s="2">
        <v>45189</v>
      </c>
      <c r="I300" s="1">
        <v>5507.55</v>
      </c>
      <c r="J300" s="1">
        <v>2.1999999999999999E-2</v>
      </c>
      <c r="K300" s="1">
        <v>121.17</v>
      </c>
      <c r="L300" s="1">
        <v>443130</v>
      </c>
      <c r="M300" s="1">
        <v>49086</v>
      </c>
      <c r="N300" s="1">
        <v>189379.42</v>
      </c>
      <c r="O300" s="1">
        <v>2023</v>
      </c>
      <c r="P300" s="1" t="s">
        <v>74</v>
      </c>
      <c r="Q300" s="1" t="s">
        <v>33</v>
      </c>
      <c r="R300" s="4" t="s">
        <v>26</v>
      </c>
      <c r="S300" s="25">
        <f>Table1[[#This Row],[Clicks]]/Table1[[#This Row],[Impressions]]</f>
        <v>0.11077110554464829</v>
      </c>
      <c r="T300" s="22">
        <f>Table1[[#This Row],[Sales]]/Table1[[#This Row],[USD_Spend]]</f>
        <v>1562.923330857473</v>
      </c>
      <c r="U300" s="1" t="str">
        <f>Outlier_Check!C310</f>
        <v>Normal</v>
      </c>
    </row>
    <row r="301" spans="1:21" x14ac:dyDescent="0.35">
      <c r="A301" s="3" t="s">
        <v>89</v>
      </c>
      <c r="B301" s="1" t="s">
        <v>48</v>
      </c>
      <c r="C301" s="1" t="s">
        <v>29</v>
      </c>
      <c r="D301" s="1" t="s">
        <v>63</v>
      </c>
      <c r="E301" s="1" t="s">
        <v>38</v>
      </c>
      <c r="F301" s="1" t="s">
        <v>31</v>
      </c>
      <c r="G301" s="2">
        <v>45171</v>
      </c>
      <c r="H301" s="2">
        <v>45210</v>
      </c>
      <c r="I301" s="1">
        <v>6564.33</v>
      </c>
      <c r="J301" s="1">
        <v>0.57940000000000003</v>
      </c>
      <c r="K301" s="1">
        <v>3803.37</v>
      </c>
      <c r="L301" s="1">
        <v>994767</v>
      </c>
      <c r="M301" s="1">
        <v>49401</v>
      </c>
      <c r="N301" s="1">
        <v>147129.25</v>
      </c>
      <c r="O301" s="1">
        <v>2023</v>
      </c>
      <c r="P301" s="1" t="s">
        <v>74</v>
      </c>
      <c r="Q301" s="1" t="s">
        <v>33</v>
      </c>
      <c r="R301" s="4" t="s">
        <v>54</v>
      </c>
      <c r="S301" s="25">
        <f>Table1[[#This Row],[Clicks]]/Table1[[#This Row],[Impressions]]</f>
        <v>4.9660875360762871E-2</v>
      </c>
      <c r="T301" s="22">
        <f>Table1[[#This Row],[Sales]]/Table1[[#This Row],[USD_Spend]]</f>
        <v>38.683917157678586</v>
      </c>
      <c r="U301" s="1" t="str">
        <f>Outlier_Check!C311</f>
        <v>Normal</v>
      </c>
    </row>
    <row r="302" spans="1:21" x14ac:dyDescent="0.35">
      <c r="A302" s="3" t="s">
        <v>100</v>
      </c>
      <c r="B302" s="1" t="s">
        <v>19</v>
      </c>
      <c r="C302" s="1" t="s">
        <v>58</v>
      </c>
      <c r="D302" s="1" t="s">
        <v>43</v>
      </c>
      <c r="E302" s="1" t="s">
        <v>22</v>
      </c>
      <c r="F302" s="1" t="s">
        <v>44</v>
      </c>
      <c r="G302" s="2">
        <v>45175</v>
      </c>
      <c r="H302" s="2">
        <v>45224</v>
      </c>
      <c r="I302" s="1">
        <v>32790.53</v>
      </c>
      <c r="J302" s="1">
        <v>2.7099999999999999E-2</v>
      </c>
      <c r="K302" s="1">
        <v>888.62</v>
      </c>
      <c r="L302" s="1">
        <v>673393</v>
      </c>
      <c r="M302" s="1">
        <v>3374</v>
      </c>
      <c r="N302" s="1">
        <v>226642.28</v>
      </c>
      <c r="O302" s="1">
        <v>2023</v>
      </c>
      <c r="P302" s="1" t="s">
        <v>74</v>
      </c>
      <c r="Q302" s="1" t="s">
        <v>33</v>
      </c>
      <c r="R302" s="4" t="s">
        <v>26</v>
      </c>
      <c r="S302" s="25">
        <f>Table1[[#This Row],[Clicks]]/Table1[[#This Row],[Impressions]]</f>
        <v>5.010447094044637E-3</v>
      </c>
      <c r="T302" s="22">
        <f>Table1[[#This Row],[Sales]]/Table1[[#This Row],[USD_Spend]]</f>
        <v>255.0497175395557</v>
      </c>
      <c r="U302" s="1" t="str">
        <f>Outlier_Check!C312</f>
        <v>Normal</v>
      </c>
    </row>
    <row r="303" spans="1:21" x14ac:dyDescent="0.35">
      <c r="A303" s="3" t="s">
        <v>89</v>
      </c>
      <c r="B303" s="1" t="s">
        <v>48</v>
      </c>
      <c r="C303" s="1" t="s">
        <v>20</v>
      </c>
      <c r="D303" s="1" t="s">
        <v>21</v>
      </c>
      <c r="E303" s="1" t="s">
        <v>30</v>
      </c>
      <c r="F303" s="1" t="s">
        <v>31</v>
      </c>
      <c r="G303" s="2">
        <v>45175</v>
      </c>
      <c r="H303" s="2">
        <v>45193</v>
      </c>
      <c r="I303" s="1">
        <v>27426.28</v>
      </c>
      <c r="J303" s="1">
        <v>1.0889</v>
      </c>
      <c r="K303" s="1">
        <v>29864.48</v>
      </c>
      <c r="L303" s="1">
        <v>707309</v>
      </c>
      <c r="M303" s="1">
        <v>16375</v>
      </c>
      <c r="N303" s="1">
        <v>201355.69</v>
      </c>
      <c r="O303" s="1">
        <v>2023</v>
      </c>
      <c r="P303" s="1" t="s">
        <v>74</v>
      </c>
      <c r="Q303" s="1" t="s">
        <v>33</v>
      </c>
      <c r="R303" s="4" t="s">
        <v>61</v>
      </c>
      <c r="S303" s="25">
        <f>Table1[[#This Row],[Clicks]]/Table1[[#This Row],[Impressions]]</f>
        <v>2.3151126311131344E-2</v>
      </c>
      <c r="T303" s="22">
        <f>Table1[[#This Row],[Sales]]/Table1[[#This Row],[USD_Spend]]</f>
        <v>6.7423136113536888</v>
      </c>
      <c r="U303" s="1" t="str">
        <f>Outlier_Check!C313</f>
        <v>Normal</v>
      </c>
    </row>
    <row r="304" spans="1:21" x14ac:dyDescent="0.35">
      <c r="A304" s="3" t="s">
        <v>109</v>
      </c>
      <c r="B304" s="1" t="s">
        <v>48</v>
      </c>
      <c r="C304" s="1" t="s">
        <v>58</v>
      </c>
      <c r="D304" s="1" t="s">
        <v>51</v>
      </c>
      <c r="E304" s="1" t="s">
        <v>22</v>
      </c>
      <c r="F304" s="1" t="s">
        <v>49</v>
      </c>
      <c r="G304" s="2">
        <v>45175</v>
      </c>
      <c r="H304" s="2">
        <v>45193</v>
      </c>
      <c r="I304" s="1">
        <v>41563.269999999997</v>
      </c>
      <c r="J304" s="1">
        <v>7.6499999999999999E-2</v>
      </c>
      <c r="K304" s="1">
        <v>3179.59</v>
      </c>
      <c r="L304" s="1">
        <v>154495</v>
      </c>
      <c r="M304" s="1">
        <v>7783</v>
      </c>
      <c r="N304" s="1">
        <v>240702.74</v>
      </c>
      <c r="O304" s="1">
        <v>2023</v>
      </c>
      <c r="P304" s="1" t="s">
        <v>74</v>
      </c>
      <c r="Q304" s="1" t="s">
        <v>33</v>
      </c>
      <c r="R304" s="4" t="s">
        <v>41</v>
      </c>
      <c r="S304" s="25">
        <f>Table1[[#This Row],[Clicks]]/Table1[[#This Row],[Impressions]]</f>
        <v>5.0377034855496938E-2</v>
      </c>
      <c r="T304" s="22">
        <f>Table1[[#This Row],[Sales]]/Table1[[#This Row],[USD_Spend]]</f>
        <v>75.702445912837817</v>
      </c>
      <c r="U304" s="1" t="str">
        <f>Outlier_Check!C314</f>
        <v>Normal</v>
      </c>
    </row>
    <row r="305" spans="1:21" x14ac:dyDescent="0.35">
      <c r="A305" s="3" t="s">
        <v>96</v>
      </c>
      <c r="B305" s="1" t="s">
        <v>35</v>
      </c>
      <c r="C305" s="1" t="s">
        <v>58</v>
      </c>
      <c r="D305" s="1" t="s">
        <v>37</v>
      </c>
      <c r="E305" s="1" t="s">
        <v>30</v>
      </c>
      <c r="F305" s="1" t="s">
        <v>52</v>
      </c>
      <c r="G305" s="2">
        <v>45175</v>
      </c>
      <c r="H305" s="2">
        <v>45183</v>
      </c>
      <c r="I305" s="1">
        <v>33821.86</v>
      </c>
      <c r="J305" s="1">
        <v>0.64190000000000003</v>
      </c>
      <c r="K305" s="1">
        <v>21710.25</v>
      </c>
      <c r="L305" s="1">
        <v>678933</v>
      </c>
      <c r="M305" s="1">
        <v>15359</v>
      </c>
      <c r="N305" s="1">
        <v>17860.32</v>
      </c>
      <c r="O305" s="1">
        <v>2023</v>
      </c>
      <c r="P305" s="1" t="s">
        <v>74</v>
      </c>
      <c r="Q305" s="1" t="s">
        <v>33</v>
      </c>
      <c r="R305" s="4" t="s">
        <v>26</v>
      </c>
      <c r="S305" s="25">
        <f>Table1[[#This Row],[Clicks]]/Table1[[#This Row],[Impressions]]</f>
        <v>2.2622261695925815E-2</v>
      </c>
      <c r="T305" s="22">
        <f>Table1[[#This Row],[Sales]]/Table1[[#This Row],[USD_Spend]]</f>
        <v>0.82266763395170484</v>
      </c>
      <c r="U305" s="1" t="str">
        <f>Outlier_Check!C315</f>
        <v>Normal</v>
      </c>
    </row>
    <row r="306" spans="1:21" x14ac:dyDescent="0.35">
      <c r="A306" s="3" t="s">
        <v>87</v>
      </c>
      <c r="B306" s="1" t="s">
        <v>19</v>
      </c>
      <c r="C306" s="1" t="s">
        <v>29</v>
      </c>
      <c r="D306" s="1" t="s">
        <v>21</v>
      </c>
      <c r="E306" s="1" t="s">
        <v>30</v>
      </c>
      <c r="F306" s="1" t="s">
        <v>49</v>
      </c>
      <c r="G306" s="2">
        <v>45176</v>
      </c>
      <c r="H306" s="2">
        <v>45202</v>
      </c>
      <c r="I306" s="1">
        <v>12910.59</v>
      </c>
      <c r="J306" s="1">
        <v>0.92349999999999999</v>
      </c>
      <c r="K306" s="1">
        <v>11922.93</v>
      </c>
      <c r="L306" s="1">
        <v>389547</v>
      </c>
      <c r="M306" s="1">
        <v>15231</v>
      </c>
      <c r="N306" s="1">
        <v>116676.19</v>
      </c>
      <c r="O306" s="1">
        <v>2023</v>
      </c>
      <c r="P306" s="1" t="s">
        <v>74</v>
      </c>
      <c r="Q306" s="1" t="s">
        <v>33</v>
      </c>
      <c r="R306" s="4" t="s">
        <v>41</v>
      </c>
      <c r="S306" s="25">
        <f>Table1[[#This Row],[Clicks]]/Table1[[#This Row],[Impressions]]</f>
        <v>3.9099261449837885E-2</v>
      </c>
      <c r="T306" s="22">
        <f>Table1[[#This Row],[Sales]]/Table1[[#This Row],[USD_Spend]]</f>
        <v>9.7858655548594182</v>
      </c>
      <c r="U306" s="1" t="str">
        <f>Outlier_Check!C316</f>
        <v>Normal</v>
      </c>
    </row>
    <row r="307" spans="1:21" x14ac:dyDescent="0.35">
      <c r="A307" s="3" t="s">
        <v>109</v>
      </c>
      <c r="B307" s="1" t="s">
        <v>19</v>
      </c>
      <c r="C307" s="1" t="s">
        <v>29</v>
      </c>
      <c r="D307" s="1" t="s">
        <v>63</v>
      </c>
      <c r="E307" s="1" t="s">
        <v>38</v>
      </c>
      <c r="F307" s="1" t="s">
        <v>31</v>
      </c>
      <c r="G307" s="2">
        <v>45176</v>
      </c>
      <c r="H307" s="2">
        <v>45194</v>
      </c>
      <c r="I307" s="1">
        <v>9351.2199999999993</v>
      </c>
      <c r="J307" s="1">
        <v>1.1335999999999999</v>
      </c>
      <c r="K307" s="1">
        <v>10600.54</v>
      </c>
      <c r="L307" s="1">
        <v>743907</v>
      </c>
      <c r="M307" s="1">
        <v>5961</v>
      </c>
      <c r="N307" s="1">
        <v>30840.07</v>
      </c>
      <c r="O307" s="1">
        <v>2023</v>
      </c>
      <c r="P307" s="1" t="s">
        <v>74</v>
      </c>
      <c r="Q307" s="1" t="s">
        <v>33</v>
      </c>
      <c r="R307" s="4" t="s">
        <v>61</v>
      </c>
      <c r="S307" s="25">
        <f>Table1[[#This Row],[Clicks]]/Table1[[#This Row],[Impressions]]</f>
        <v>8.0130984114949854E-3</v>
      </c>
      <c r="T307" s="22">
        <f>Table1[[#This Row],[Sales]]/Table1[[#This Row],[USD_Spend]]</f>
        <v>2.9092923568044644</v>
      </c>
      <c r="U307" s="1" t="str">
        <f>Outlier_Check!C317</f>
        <v>Normal</v>
      </c>
    </row>
    <row r="308" spans="1:21" x14ac:dyDescent="0.35">
      <c r="A308" s="3" t="s">
        <v>82</v>
      </c>
      <c r="B308" s="1" t="s">
        <v>48</v>
      </c>
      <c r="C308" s="1" t="s">
        <v>36</v>
      </c>
      <c r="D308" s="1" t="s">
        <v>37</v>
      </c>
      <c r="E308" s="1" t="s">
        <v>30</v>
      </c>
      <c r="F308" s="1" t="s">
        <v>52</v>
      </c>
      <c r="G308" s="2">
        <v>45177</v>
      </c>
      <c r="H308" s="2">
        <v>45187</v>
      </c>
      <c r="I308" s="1">
        <v>46306.76</v>
      </c>
      <c r="J308" s="1">
        <v>0.14799999999999999</v>
      </c>
      <c r="K308" s="1">
        <v>6853.4</v>
      </c>
      <c r="L308" s="1">
        <v>652039</v>
      </c>
      <c r="M308" s="1">
        <v>40000</v>
      </c>
      <c r="N308" s="1">
        <v>18482.009999999998</v>
      </c>
      <c r="O308" s="1">
        <v>2023</v>
      </c>
      <c r="P308" s="1" t="s">
        <v>74</v>
      </c>
      <c r="Q308" s="1" t="s">
        <v>33</v>
      </c>
      <c r="R308" s="4" t="s">
        <v>26</v>
      </c>
      <c r="S308" s="25">
        <f>Table1[[#This Row],[Clicks]]/Table1[[#This Row],[Impressions]]</f>
        <v>6.1346023780786116E-2</v>
      </c>
      <c r="T308" s="22">
        <f>Table1[[#This Row],[Sales]]/Table1[[#This Row],[USD_Spend]]</f>
        <v>2.6967651092888199</v>
      </c>
      <c r="U308" s="1" t="str">
        <f>Outlier_Check!C318</f>
        <v>Normal</v>
      </c>
    </row>
    <row r="309" spans="1:21" x14ac:dyDescent="0.35">
      <c r="A309" s="3" t="s">
        <v>103</v>
      </c>
      <c r="B309" s="1" t="s">
        <v>48</v>
      </c>
      <c r="C309" s="1" t="s">
        <v>36</v>
      </c>
      <c r="D309" s="1" t="s">
        <v>43</v>
      </c>
      <c r="E309" s="1" t="s">
        <v>38</v>
      </c>
      <c r="F309" s="1" t="s">
        <v>23</v>
      </c>
      <c r="G309" s="2">
        <v>45178</v>
      </c>
      <c r="H309" s="2">
        <v>45225</v>
      </c>
      <c r="I309" s="1">
        <v>49168.08</v>
      </c>
      <c r="J309" s="1">
        <v>0.41649999999999998</v>
      </c>
      <c r="K309" s="1">
        <v>20478.509999999998</v>
      </c>
      <c r="L309" s="1">
        <v>492134</v>
      </c>
      <c r="M309" s="1">
        <v>39389</v>
      </c>
      <c r="N309" s="1">
        <v>85472.02</v>
      </c>
      <c r="O309" s="1">
        <v>2023</v>
      </c>
      <c r="P309" s="1" t="s">
        <v>74</v>
      </c>
      <c r="Q309" s="1" t="s">
        <v>33</v>
      </c>
      <c r="R309" s="4" t="s">
        <v>26</v>
      </c>
      <c r="S309" s="25">
        <f>Table1[[#This Row],[Clicks]]/Table1[[#This Row],[Impressions]]</f>
        <v>8.0037144354992748E-2</v>
      </c>
      <c r="T309" s="22">
        <f>Table1[[#This Row],[Sales]]/Table1[[#This Row],[USD_Spend]]</f>
        <v>4.1737421326063275</v>
      </c>
      <c r="U309" s="1" t="str">
        <f>Outlier_Check!C319</f>
        <v>Normal</v>
      </c>
    </row>
    <row r="310" spans="1:21" x14ac:dyDescent="0.35">
      <c r="A310" s="3" t="s">
        <v>111</v>
      </c>
      <c r="B310" s="1" t="s">
        <v>35</v>
      </c>
      <c r="C310" s="1" t="s">
        <v>58</v>
      </c>
      <c r="D310" s="1" t="s">
        <v>21</v>
      </c>
      <c r="E310" s="1" t="s">
        <v>38</v>
      </c>
      <c r="F310" s="1" t="s">
        <v>44</v>
      </c>
      <c r="G310" s="2">
        <v>45180</v>
      </c>
      <c r="H310" s="2">
        <v>45230</v>
      </c>
      <c r="I310" s="1">
        <v>22450.16</v>
      </c>
      <c r="J310" s="1">
        <v>0.53290000000000004</v>
      </c>
      <c r="K310" s="1">
        <v>11963.69</v>
      </c>
      <c r="L310" s="1">
        <v>558141</v>
      </c>
      <c r="M310" s="1">
        <v>40064</v>
      </c>
      <c r="N310" s="1">
        <v>43892.82</v>
      </c>
      <c r="O310" s="1">
        <v>2023</v>
      </c>
      <c r="P310" s="1" t="s">
        <v>74</v>
      </c>
      <c r="Q310" s="1" t="s">
        <v>33</v>
      </c>
      <c r="R310" s="4" t="s">
        <v>26</v>
      </c>
      <c r="S310" s="25">
        <f>Table1[[#This Row],[Clicks]]/Table1[[#This Row],[Impressions]]</f>
        <v>7.1781144907827957E-2</v>
      </c>
      <c r="T310" s="22">
        <f>Table1[[#This Row],[Sales]]/Table1[[#This Row],[USD_Spend]]</f>
        <v>3.6688362871321472</v>
      </c>
      <c r="U310" s="1" t="str">
        <f>Outlier_Check!C320</f>
        <v>Normal</v>
      </c>
    </row>
    <row r="311" spans="1:21" x14ac:dyDescent="0.35">
      <c r="A311" s="3" t="s">
        <v>78</v>
      </c>
      <c r="B311" s="1" t="s">
        <v>28</v>
      </c>
      <c r="C311" s="1" t="s">
        <v>58</v>
      </c>
      <c r="D311" s="1" t="s">
        <v>51</v>
      </c>
      <c r="E311" s="1" t="s">
        <v>30</v>
      </c>
      <c r="F311" s="1" t="s">
        <v>23</v>
      </c>
      <c r="G311" s="2">
        <v>45180</v>
      </c>
      <c r="H311" s="2">
        <v>45223</v>
      </c>
      <c r="I311" s="1">
        <v>29338.75</v>
      </c>
      <c r="J311" s="1">
        <v>0.79849999999999999</v>
      </c>
      <c r="K311" s="1">
        <v>23426.99</v>
      </c>
      <c r="L311" s="1">
        <v>179268</v>
      </c>
      <c r="M311" s="1">
        <v>908</v>
      </c>
      <c r="N311" s="1">
        <v>33599.01</v>
      </c>
      <c r="O311" s="1">
        <v>2023</v>
      </c>
      <c r="P311" s="1" t="s">
        <v>74</v>
      </c>
      <c r="Q311" s="1" t="s">
        <v>33</v>
      </c>
      <c r="R311" s="4" t="s">
        <v>61</v>
      </c>
      <c r="S311" s="25">
        <f>Table1[[#This Row],[Clicks]]/Table1[[#This Row],[Impressions]]</f>
        <v>5.0650422830622313E-3</v>
      </c>
      <c r="T311" s="22">
        <f>Table1[[#This Row],[Sales]]/Table1[[#This Row],[USD_Spend]]</f>
        <v>1.4342008939261937</v>
      </c>
      <c r="U311" s="1" t="str">
        <f>Outlier_Check!C321</f>
        <v>Normal</v>
      </c>
    </row>
    <row r="312" spans="1:21" x14ac:dyDescent="0.35">
      <c r="A312" s="3" t="s">
        <v>70</v>
      </c>
      <c r="B312" s="1" t="s">
        <v>28</v>
      </c>
      <c r="C312" s="1" t="s">
        <v>20</v>
      </c>
      <c r="D312" s="1" t="s">
        <v>37</v>
      </c>
      <c r="E312" s="1" t="s">
        <v>22</v>
      </c>
      <c r="F312" s="1" t="s">
        <v>52</v>
      </c>
      <c r="G312" s="2">
        <v>45180</v>
      </c>
      <c r="H312" s="2">
        <v>45214</v>
      </c>
      <c r="I312" s="1">
        <v>17961.830000000002</v>
      </c>
      <c r="J312" s="1">
        <v>0.33800000000000002</v>
      </c>
      <c r="K312" s="1">
        <v>6071.1</v>
      </c>
      <c r="L312" s="1">
        <v>992946</v>
      </c>
      <c r="M312" s="1">
        <v>47615</v>
      </c>
      <c r="N312" s="1">
        <v>192545.03</v>
      </c>
      <c r="O312" s="1">
        <v>2023</v>
      </c>
      <c r="P312" s="1" t="s">
        <v>74</v>
      </c>
      <c r="Q312" s="1" t="s">
        <v>33</v>
      </c>
      <c r="R312" s="4" t="s">
        <v>26</v>
      </c>
      <c r="S312" s="25">
        <f>Table1[[#This Row],[Clicks]]/Table1[[#This Row],[Impressions]]</f>
        <v>4.7953262312351329E-2</v>
      </c>
      <c r="T312" s="22">
        <f>Table1[[#This Row],[Sales]]/Table1[[#This Row],[USD_Spend]]</f>
        <v>31.715015400833455</v>
      </c>
      <c r="U312" s="1" t="str">
        <f>Outlier_Check!C322</f>
        <v>Normal</v>
      </c>
    </row>
    <row r="313" spans="1:21" x14ac:dyDescent="0.35">
      <c r="A313" s="3" t="s">
        <v>103</v>
      </c>
      <c r="B313" s="1" t="s">
        <v>19</v>
      </c>
      <c r="C313" s="1" t="s">
        <v>58</v>
      </c>
      <c r="D313" s="1" t="s">
        <v>37</v>
      </c>
      <c r="E313" s="1" t="s">
        <v>22</v>
      </c>
      <c r="F313" s="1" t="s">
        <v>49</v>
      </c>
      <c r="G313" s="2">
        <v>45180</v>
      </c>
      <c r="H313" s="2">
        <v>45205</v>
      </c>
      <c r="I313" s="1">
        <v>22278.19</v>
      </c>
      <c r="J313" s="1">
        <v>0.2747</v>
      </c>
      <c r="K313" s="1">
        <v>6119.82</v>
      </c>
      <c r="L313" s="1">
        <v>982532</v>
      </c>
      <c r="M313" s="1">
        <v>38882</v>
      </c>
      <c r="N313" s="1">
        <v>236831.83</v>
      </c>
      <c r="O313" s="1">
        <v>2023</v>
      </c>
      <c r="P313" s="1" t="s">
        <v>74</v>
      </c>
      <c r="Q313" s="1" t="s">
        <v>33</v>
      </c>
      <c r="R313" s="4" t="s">
        <v>26</v>
      </c>
      <c r="S313" s="25">
        <f>Table1[[#This Row],[Clicks]]/Table1[[#This Row],[Impressions]]</f>
        <v>3.957326580711875E-2</v>
      </c>
      <c r="T313" s="22">
        <f>Table1[[#This Row],[Sales]]/Table1[[#This Row],[USD_Spend]]</f>
        <v>38.699149648192268</v>
      </c>
      <c r="U313" s="1" t="str">
        <f>Outlier_Check!C323</f>
        <v>Normal</v>
      </c>
    </row>
    <row r="314" spans="1:21" x14ac:dyDescent="0.35">
      <c r="A314" s="3" t="s">
        <v>93</v>
      </c>
      <c r="B314" s="1" t="s">
        <v>48</v>
      </c>
      <c r="C314" s="1" t="s">
        <v>58</v>
      </c>
      <c r="D314" s="1" t="s">
        <v>51</v>
      </c>
      <c r="E314" s="1" t="s">
        <v>38</v>
      </c>
      <c r="F314" s="1" t="s">
        <v>31</v>
      </c>
      <c r="G314" s="2">
        <v>45180</v>
      </c>
      <c r="H314" s="2">
        <v>45197</v>
      </c>
      <c r="I314" s="1">
        <v>42122.21</v>
      </c>
      <c r="J314" s="1">
        <v>0.74939999999999996</v>
      </c>
      <c r="K314" s="1">
        <v>31566.38</v>
      </c>
      <c r="L314" s="1">
        <v>260132</v>
      </c>
      <c r="M314" s="1">
        <v>8372</v>
      </c>
      <c r="N314" s="1">
        <v>121022.46</v>
      </c>
      <c r="O314" s="1">
        <v>2023</v>
      </c>
      <c r="P314" s="1" t="s">
        <v>74</v>
      </c>
      <c r="Q314" s="1" t="s">
        <v>33</v>
      </c>
      <c r="R314" s="4" t="s">
        <v>61</v>
      </c>
      <c r="S314" s="25">
        <f>Table1[[#This Row],[Clicks]]/Table1[[#This Row],[Impressions]]</f>
        <v>3.2183660603078437E-2</v>
      </c>
      <c r="T314" s="22">
        <f>Table1[[#This Row],[Sales]]/Table1[[#This Row],[USD_Spend]]</f>
        <v>3.8339036658622243</v>
      </c>
      <c r="U314" s="1" t="str">
        <f>Outlier_Check!C324</f>
        <v>Normal</v>
      </c>
    </row>
    <row r="315" spans="1:21" x14ac:dyDescent="0.35">
      <c r="A315" s="3" t="s">
        <v>67</v>
      </c>
      <c r="B315" s="1" t="s">
        <v>19</v>
      </c>
      <c r="C315" s="1" t="s">
        <v>58</v>
      </c>
      <c r="D315" s="1" t="s">
        <v>43</v>
      </c>
      <c r="E315" s="1" t="s">
        <v>22</v>
      </c>
      <c r="F315" s="1" t="s">
        <v>23</v>
      </c>
      <c r="G315" s="2">
        <v>45181</v>
      </c>
      <c r="H315" s="2">
        <v>45198</v>
      </c>
      <c r="I315" s="1">
        <v>10320.24</v>
      </c>
      <c r="J315" s="1">
        <v>0.54390000000000005</v>
      </c>
      <c r="K315" s="1">
        <v>5613.18</v>
      </c>
      <c r="L315" s="1">
        <v>452374</v>
      </c>
      <c r="M315" s="1">
        <v>12125</v>
      </c>
      <c r="N315" s="1">
        <v>73243.56</v>
      </c>
      <c r="O315" s="1">
        <v>2023</v>
      </c>
      <c r="P315" s="1" t="s">
        <v>74</v>
      </c>
      <c r="Q315" s="1" t="s">
        <v>33</v>
      </c>
      <c r="R315" s="4" t="s">
        <v>26</v>
      </c>
      <c r="S315" s="25">
        <f>Table1[[#This Row],[Clicks]]/Table1[[#This Row],[Impressions]]</f>
        <v>2.6803043499405359E-2</v>
      </c>
      <c r="T315" s="22">
        <f>Table1[[#This Row],[Sales]]/Table1[[#This Row],[USD_Spend]]</f>
        <v>13.048496574134447</v>
      </c>
      <c r="U315" s="1" t="str">
        <f>Outlier_Check!C325</f>
        <v>Normal</v>
      </c>
    </row>
    <row r="316" spans="1:21" x14ac:dyDescent="0.35">
      <c r="A316" s="3" t="s">
        <v>111</v>
      </c>
      <c r="B316" s="1" t="s">
        <v>35</v>
      </c>
      <c r="C316" s="1" t="s">
        <v>69</v>
      </c>
      <c r="D316" s="1" t="s">
        <v>51</v>
      </c>
      <c r="E316" s="1" t="s">
        <v>30</v>
      </c>
      <c r="F316" s="1" t="s">
        <v>23</v>
      </c>
      <c r="G316" s="2">
        <v>45182</v>
      </c>
      <c r="H316" s="2">
        <v>45236</v>
      </c>
      <c r="I316" s="1">
        <v>27597.42</v>
      </c>
      <c r="J316" s="1">
        <v>0.41170000000000001</v>
      </c>
      <c r="K316" s="1">
        <v>11361.86</v>
      </c>
      <c r="L316" s="1">
        <v>423769</v>
      </c>
      <c r="M316" s="1">
        <v>2630</v>
      </c>
      <c r="N316" s="1">
        <v>155809.07999999999</v>
      </c>
      <c r="O316" s="1">
        <v>2023</v>
      </c>
      <c r="P316" s="1" t="s">
        <v>74</v>
      </c>
      <c r="Q316" s="1" t="s">
        <v>33</v>
      </c>
      <c r="R316" s="4" t="s">
        <v>26</v>
      </c>
      <c r="S316" s="25">
        <f>Table1[[#This Row],[Clicks]]/Table1[[#This Row],[Impressions]]</f>
        <v>6.2062114029105483E-3</v>
      </c>
      <c r="T316" s="22">
        <f>Table1[[#This Row],[Sales]]/Table1[[#This Row],[USD_Spend]]</f>
        <v>13.713342709732384</v>
      </c>
      <c r="U316" s="1" t="str">
        <f>Outlier_Check!C326</f>
        <v>Normal</v>
      </c>
    </row>
    <row r="317" spans="1:21" x14ac:dyDescent="0.35">
      <c r="A317" s="3" t="s">
        <v>66</v>
      </c>
      <c r="B317" s="1" t="s">
        <v>35</v>
      </c>
      <c r="C317" s="1" t="s">
        <v>58</v>
      </c>
      <c r="D317" s="1" t="s">
        <v>21</v>
      </c>
      <c r="E317" s="1" t="s">
        <v>38</v>
      </c>
      <c r="F317" s="1" t="s">
        <v>23</v>
      </c>
      <c r="G317" s="2">
        <v>45182</v>
      </c>
      <c r="H317" s="2">
        <v>45196</v>
      </c>
      <c r="I317" s="1">
        <v>35858.35</v>
      </c>
      <c r="J317" s="1">
        <v>0.99590000000000001</v>
      </c>
      <c r="K317" s="1">
        <v>35711.33</v>
      </c>
      <c r="L317" s="1">
        <v>808462</v>
      </c>
      <c r="M317" s="1">
        <v>44417</v>
      </c>
      <c r="N317" s="1">
        <v>101211.68</v>
      </c>
      <c r="O317" s="1">
        <v>2023</v>
      </c>
      <c r="P317" s="1" t="s">
        <v>74</v>
      </c>
      <c r="Q317" s="1" t="s">
        <v>33</v>
      </c>
      <c r="R317" s="4" t="s">
        <v>26</v>
      </c>
      <c r="S317" s="25">
        <f>Table1[[#This Row],[Clicks]]/Table1[[#This Row],[Impressions]]</f>
        <v>5.4940120871481903E-2</v>
      </c>
      <c r="T317" s="22">
        <f>Table1[[#This Row],[Sales]]/Table1[[#This Row],[USD_Spend]]</f>
        <v>2.8341615952136197</v>
      </c>
      <c r="U317" s="1" t="str">
        <f>Outlier_Check!C327</f>
        <v>Normal</v>
      </c>
    </row>
    <row r="318" spans="1:21" x14ac:dyDescent="0.35">
      <c r="A318" s="3" t="s">
        <v>79</v>
      </c>
      <c r="B318" s="1" t="s">
        <v>48</v>
      </c>
      <c r="C318" s="1" t="s">
        <v>58</v>
      </c>
      <c r="D318" s="1" t="s">
        <v>51</v>
      </c>
      <c r="E318" s="1" t="s">
        <v>22</v>
      </c>
      <c r="F318" s="1" t="s">
        <v>23</v>
      </c>
      <c r="G318" s="2">
        <v>45183</v>
      </c>
      <c r="H318" s="2">
        <v>45193</v>
      </c>
      <c r="I318" s="1">
        <v>19220.34</v>
      </c>
      <c r="J318" s="1">
        <v>1.0854999999999999</v>
      </c>
      <c r="K318" s="1">
        <v>20863.68</v>
      </c>
      <c r="L318" s="1">
        <v>183565</v>
      </c>
      <c r="M318" s="1">
        <v>3493</v>
      </c>
      <c r="N318" s="1">
        <v>102103.67999999999</v>
      </c>
      <c r="O318" s="1">
        <v>2023</v>
      </c>
      <c r="P318" s="1" t="s">
        <v>74</v>
      </c>
      <c r="Q318" s="1" t="s">
        <v>33</v>
      </c>
      <c r="R318" s="4" t="s">
        <v>26</v>
      </c>
      <c r="S318" s="25">
        <f>Table1[[#This Row],[Clicks]]/Table1[[#This Row],[Impressions]]</f>
        <v>1.9028681938277996E-2</v>
      </c>
      <c r="T318" s="22">
        <f>Table1[[#This Row],[Sales]]/Table1[[#This Row],[USD_Spend]]</f>
        <v>4.8938480651543728</v>
      </c>
      <c r="U318" s="1" t="str">
        <f>Outlier_Check!C328</f>
        <v>Normal</v>
      </c>
    </row>
    <row r="319" spans="1:21" x14ac:dyDescent="0.35">
      <c r="A319" s="3" t="s">
        <v>34</v>
      </c>
      <c r="B319" s="1" t="s">
        <v>48</v>
      </c>
      <c r="C319" s="1" t="s">
        <v>29</v>
      </c>
      <c r="D319" s="1" t="s">
        <v>59</v>
      </c>
      <c r="E319" s="1" t="s">
        <v>30</v>
      </c>
      <c r="F319" s="1" t="s">
        <v>49</v>
      </c>
      <c r="G319" s="2">
        <v>45184</v>
      </c>
      <c r="H319" s="2">
        <v>45203</v>
      </c>
      <c r="I319" s="1">
        <v>6912.14</v>
      </c>
      <c r="J319" s="1">
        <v>0.2392</v>
      </c>
      <c r="K319" s="1">
        <v>1653.38</v>
      </c>
      <c r="L319" s="1">
        <v>135362</v>
      </c>
      <c r="M319" s="1">
        <v>48785</v>
      </c>
      <c r="N319" s="1">
        <v>136286.67000000001</v>
      </c>
      <c r="O319" s="1">
        <v>2023</v>
      </c>
      <c r="P319" s="1" t="s">
        <v>74</v>
      </c>
      <c r="Q319" s="1" t="s">
        <v>33</v>
      </c>
      <c r="R319" s="4" t="s">
        <v>41</v>
      </c>
      <c r="S319" s="25">
        <f>Table1[[#This Row],[Clicks]]/Table1[[#This Row],[Impressions]]</f>
        <v>0.36040395384228957</v>
      </c>
      <c r="T319" s="22">
        <f>Table1[[#This Row],[Sales]]/Table1[[#This Row],[USD_Spend]]</f>
        <v>82.429127000447565</v>
      </c>
      <c r="U319" s="1" t="str">
        <f>Outlier_Check!C329</f>
        <v>Normal</v>
      </c>
    </row>
    <row r="320" spans="1:21" x14ac:dyDescent="0.35">
      <c r="A320" s="3" t="s">
        <v>93</v>
      </c>
      <c r="B320" s="1" t="s">
        <v>28</v>
      </c>
      <c r="C320" s="1" t="s">
        <v>36</v>
      </c>
      <c r="D320" s="1" t="s">
        <v>63</v>
      </c>
      <c r="E320" s="1" t="s">
        <v>38</v>
      </c>
      <c r="F320" s="1" t="s">
        <v>49</v>
      </c>
      <c r="G320" s="2">
        <v>45191</v>
      </c>
      <c r="H320" s="2">
        <v>45226</v>
      </c>
      <c r="I320" s="1">
        <v>48945.7</v>
      </c>
      <c r="J320" s="1">
        <v>0.91810000000000003</v>
      </c>
      <c r="K320" s="1">
        <v>44937.05</v>
      </c>
      <c r="L320" s="1">
        <v>473518</v>
      </c>
      <c r="M320" s="1">
        <v>42717</v>
      </c>
      <c r="N320" s="1">
        <v>231419.39</v>
      </c>
      <c r="O320" s="1">
        <v>2023</v>
      </c>
      <c r="P320" s="1" t="s">
        <v>74</v>
      </c>
      <c r="Q320" s="1" t="s">
        <v>33</v>
      </c>
      <c r="R320" s="4" t="s">
        <v>54</v>
      </c>
      <c r="S320" s="25">
        <f>Table1[[#This Row],[Clicks]]/Table1[[#This Row],[Impressions]]</f>
        <v>9.0211987717467967E-2</v>
      </c>
      <c r="T320" s="22">
        <f>Table1[[#This Row],[Sales]]/Table1[[#This Row],[USD_Spend]]</f>
        <v>5.1498571891123248</v>
      </c>
      <c r="U320" s="1" t="str">
        <f>Outlier_Check!C330</f>
        <v>Normal</v>
      </c>
    </row>
    <row r="321" spans="1:21" x14ac:dyDescent="0.35">
      <c r="A321" s="3" t="s">
        <v>72</v>
      </c>
      <c r="B321" s="1" t="s">
        <v>19</v>
      </c>
      <c r="C321" s="1" t="s">
        <v>29</v>
      </c>
      <c r="D321" s="1" t="s">
        <v>37</v>
      </c>
      <c r="E321" s="1" t="s">
        <v>30</v>
      </c>
      <c r="F321" s="1" t="s">
        <v>23</v>
      </c>
      <c r="G321" s="2">
        <v>45192</v>
      </c>
      <c r="H321" s="2">
        <v>45252</v>
      </c>
      <c r="I321" s="1">
        <v>25251.52</v>
      </c>
      <c r="J321" s="1">
        <v>0.28060000000000002</v>
      </c>
      <c r="K321" s="1">
        <v>7085.58</v>
      </c>
      <c r="L321" s="1">
        <v>192971</v>
      </c>
      <c r="M321" s="1">
        <v>9727</v>
      </c>
      <c r="N321" s="1">
        <v>218453.6</v>
      </c>
      <c r="O321" s="1">
        <v>2023</v>
      </c>
      <c r="P321" s="1" t="s">
        <v>74</v>
      </c>
      <c r="Q321" s="1" t="s">
        <v>33</v>
      </c>
      <c r="R321" s="4" t="s">
        <v>61</v>
      </c>
      <c r="S321" s="25">
        <f>Table1[[#This Row],[Clicks]]/Table1[[#This Row],[Impressions]]</f>
        <v>5.040653776992398E-2</v>
      </c>
      <c r="T321" s="22">
        <f>Table1[[#This Row],[Sales]]/Table1[[#This Row],[USD_Spend]]</f>
        <v>30.830729453340446</v>
      </c>
      <c r="U321" s="1" t="str">
        <f>Outlier_Check!C331</f>
        <v>Normal</v>
      </c>
    </row>
    <row r="322" spans="1:21" x14ac:dyDescent="0.35">
      <c r="A322" s="3" t="s">
        <v>119</v>
      </c>
      <c r="B322" s="1" t="s">
        <v>35</v>
      </c>
      <c r="C322" s="1" t="s">
        <v>20</v>
      </c>
      <c r="D322" s="1" t="s">
        <v>51</v>
      </c>
      <c r="E322" s="1" t="s">
        <v>22</v>
      </c>
      <c r="F322" s="1" t="s">
        <v>49</v>
      </c>
      <c r="G322" s="2">
        <v>45192</v>
      </c>
      <c r="H322" s="2">
        <v>45237</v>
      </c>
      <c r="I322" s="1">
        <v>25867.47</v>
      </c>
      <c r="J322" s="1">
        <v>0.1573</v>
      </c>
      <c r="K322" s="1">
        <v>4068.95</v>
      </c>
      <c r="L322" s="1">
        <v>803310</v>
      </c>
      <c r="M322" s="1">
        <v>42761</v>
      </c>
      <c r="N322" s="1">
        <v>235629.04</v>
      </c>
      <c r="O322" s="1">
        <v>2023</v>
      </c>
      <c r="P322" s="1" t="s">
        <v>74</v>
      </c>
      <c r="Q322" s="1" t="s">
        <v>33</v>
      </c>
      <c r="R322" s="4" t="s">
        <v>41</v>
      </c>
      <c r="S322" s="25">
        <f>Table1[[#This Row],[Clicks]]/Table1[[#This Row],[Impressions]]</f>
        <v>5.323100670973846E-2</v>
      </c>
      <c r="T322" s="22">
        <f>Table1[[#This Row],[Sales]]/Table1[[#This Row],[USD_Spend]]</f>
        <v>57.909052704014556</v>
      </c>
      <c r="U322" s="1" t="str">
        <f>Outlier_Check!C332</f>
        <v>Normal</v>
      </c>
    </row>
    <row r="323" spans="1:21" x14ac:dyDescent="0.35">
      <c r="A323" s="3" t="s">
        <v>18</v>
      </c>
      <c r="B323" s="1" t="s">
        <v>19</v>
      </c>
      <c r="C323" s="1" t="s">
        <v>20</v>
      </c>
      <c r="D323" s="1" t="s">
        <v>43</v>
      </c>
      <c r="E323" s="1" t="s">
        <v>38</v>
      </c>
      <c r="F323" s="1" t="s">
        <v>44</v>
      </c>
      <c r="G323" s="2">
        <v>45192</v>
      </c>
      <c r="H323" s="2">
        <v>45233</v>
      </c>
      <c r="I323" s="1">
        <v>42918.47</v>
      </c>
      <c r="J323" s="1">
        <v>1.0584</v>
      </c>
      <c r="K323" s="1">
        <v>45424.91</v>
      </c>
      <c r="L323" s="1">
        <v>774305</v>
      </c>
      <c r="M323" s="1">
        <v>18078</v>
      </c>
      <c r="N323" s="1">
        <v>52003.63</v>
      </c>
      <c r="O323" s="1">
        <v>2023</v>
      </c>
      <c r="P323" s="1" t="s">
        <v>74</v>
      </c>
      <c r="Q323" s="1" t="s">
        <v>33</v>
      </c>
      <c r="R323" s="4" t="s">
        <v>54</v>
      </c>
      <c r="S323" s="25">
        <f>Table1[[#This Row],[Clicks]]/Table1[[#This Row],[Impressions]]</f>
        <v>2.3347388948799244E-2</v>
      </c>
      <c r="T323" s="22">
        <f>Table1[[#This Row],[Sales]]/Table1[[#This Row],[USD_Spend]]</f>
        <v>1.1448262638274902</v>
      </c>
      <c r="U323" s="1" t="str">
        <f>Outlier_Check!C333</f>
        <v>Normal</v>
      </c>
    </row>
    <row r="324" spans="1:21" x14ac:dyDescent="0.35">
      <c r="A324" s="3" t="s">
        <v>119</v>
      </c>
      <c r="B324" s="1" t="s">
        <v>35</v>
      </c>
      <c r="C324" s="1" t="s">
        <v>29</v>
      </c>
      <c r="D324" s="1" t="s">
        <v>37</v>
      </c>
      <c r="E324" s="1" t="s">
        <v>22</v>
      </c>
      <c r="F324" s="1" t="s">
        <v>52</v>
      </c>
      <c r="G324" s="2">
        <v>45194</v>
      </c>
      <c r="H324" s="2">
        <v>45253</v>
      </c>
      <c r="I324" s="1">
        <v>16435.439999999999</v>
      </c>
      <c r="J324" s="1">
        <v>0.96299999999999997</v>
      </c>
      <c r="K324" s="1">
        <v>15827.33</v>
      </c>
      <c r="L324" s="1">
        <v>744764</v>
      </c>
      <c r="M324" s="1">
        <v>48292</v>
      </c>
      <c r="N324" s="1">
        <v>84931.63</v>
      </c>
      <c r="O324" s="1">
        <v>2023</v>
      </c>
      <c r="P324" s="1" t="s">
        <v>74</v>
      </c>
      <c r="Q324" s="1" t="s">
        <v>33</v>
      </c>
      <c r="R324" s="4" t="s">
        <v>26</v>
      </c>
      <c r="S324" s="25">
        <f>Table1[[#This Row],[Clicks]]/Table1[[#This Row],[Impressions]]</f>
        <v>6.4842017068494184E-2</v>
      </c>
      <c r="T324" s="22">
        <f>Table1[[#This Row],[Sales]]/Table1[[#This Row],[USD_Spend]]</f>
        <v>5.3661375607888386</v>
      </c>
      <c r="U324" s="1" t="str">
        <f>Outlier_Check!C334</f>
        <v>Normal</v>
      </c>
    </row>
    <row r="325" spans="1:21" x14ac:dyDescent="0.35">
      <c r="A325" s="3" t="s">
        <v>64</v>
      </c>
      <c r="B325" s="1" t="s">
        <v>28</v>
      </c>
      <c r="C325" s="1" t="s">
        <v>20</v>
      </c>
      <c r="D325" s="1" t="s">
        <v>51</v>
      </c>
      <c r="E325" s="1" t="s">
        <v>38</v>
      </c>
      <c r="F325" s="1" t="s">
        <v>23</v>
      </c>
      <c r="G325" s="2">
        <v>45194</v>
      </c>
      <c r="H325" s="2">
        <v>45240</v>
      </c>
      <c r="I325" s="1">
        <v>18618.05</v>
      </c>
      <c r="J325" s="1">
        <v>0.29120000000000001</v>
      </c>
      <c r="K325" s="1">
        <v>5421.58</v>
      </c>
      <c r="L325" s="1">
        <v>710224</v>
      </c>
      <c r="M325" s="1">
        <v>7847</v>
      </c>
      <c r="N325" s="1">
        <v>119021.77</v>
      </c>
      <c r="O325" s="1">
        <v>2023</v>
      </c>
      <c r="P325" s="1" t="s">
        <v>74</v>
      </c>
      <c r="Q325" s="1" t="s">
        <v>33</v>
      </c>
      <c r="R325" s="4" t="s">
        <v>41</v>
      </c>
      <c r="S325" s="25">
        <f>Table1[[#This Row],[Clicks]]/Table1[[#This Row],[Impressions]]</f>
        <v>1.104862691207281E-2</v>
      </c>
      <c r="T325" s="22">
        <f>Table1[[#This Row],[Sales]]/Table1[[#This Row],[USD_Spend]]</f>
        <v>21.953336481247167</v>
      </c>
      <c r="U325" s="1" t="str">
        <f>Outlier_Check!C335</f>
        <v>Normal</v>
      </c>
    </row>
    <row r="326" spans="1:21" x14ac:dyDescent="0.35">
      <c r="A326" s="3" t="s">
        <v>107</v>
      </c>
      <c r="B326" s="1" t="s">
        <v>28</v>
      </c>
      <c r="C326" s="1" t="s">
        <v>20</v>
      </c>
      <c r="D326" s="1" t="s">
        <v>37</v>
      </c>
      <c r="E326" s="1" t="s">
        <v>38</v>
      </c>
      <c r="F326" s="1" t="s">
        <v>31</v>
      </c>
      <c r="G326" s="2">
        <v>45195</v>
      </c>
      <c r="H326" s="2">
        <v>45242</v>
      </c>
      <c r="I326" s="1">
        <v>43269.19</v>
      </c>
      <c r="J326" s="1">
        <v>0.63800000000000001</v>
      </c>
      <c r="K326" s="1">
        <v>27605.74</v>
      </c>
      <c r="L326" s="1">
        <v>680153</v>
      </c>
      <c r="M326" s="1">
        <v>20639</v>
      </c>
      <c r="N326" s="1">
        <v>151257.85</v>
      </c>
      <c r="O326" s="1">
        <v>2023</v>
      </c>
      <c r="P326" s="1" t="s">
        <v>74</v>
      </c>
      <c r="Q326" s="1" t="s">
        <v>33</v>
      </c>
      <c r="R326" s="4" t="s">
        <v>54</v>
      </c>
      <c r="S326" s="25">
        <f>Table1[[#This Row],[Clicks]]/Table1[[#This Row],[Impressions]]</f>
        <v>3.0344643043550494E-2</v>
      </c>
      <c r="T326" s="22">
        <f>Table1[[#This Row],[Sales]]/Table1[[#This Row],[USD_Spend]]</f>
        <v>5.4792173656638079</v>
      </c>
      <c r="U326" s="1" t="str">
        <f>Outlier_Check!C336</f>
        <v>Normal</v>
      </c>
    </row>
    <row r="327" spans="1:21" x14ac:dyDescent="0.35">
      <c r="A327" s="3" t="s">
        <v>89</v>
      </c>
      <c r="B327" s="1" t="s">
        <v>19</v>
      </c>
      <c r="C327" s="1" t="s">
        <v>29</v>
      </c>
      <c r="D327" s="1" t="s">
        <v>37</v>
      </c>
      <c r="E327" s="1" t="s">
        <v>38</v>
      </c>
      <c r="F327" s="1" t="s">
        <v>49</v>
      </c>
      <c r="G327" s="2">
        <v>45196</v>
      </c>
      <c r="H327" s="2">
        <v>45244</v>
      </c>
      <c r="I327" s="1">
        <v>3091.1</v>
      </c>
      <c r="J327" s="1">
        <v>1.1731</v>
      </c>
      <c r="K327" s="1">
        <v>3626.17</v>
      </c>
      <c r="L327" s="1">
        <v>69830</v>
      </c>
      <c r="M327" s="1">
        <v>48664</v>
      </c>
      <c r="N327" s="1">
        <v>198694.71</v>
      </c>
      <c r="O327" s="1">
        <v>2023</v>
      </c>
      <c r="P327" s="1" t="s">
        <v>74</v>
      </c>
      <c r="Q327" s="1" t="s">
        <v>33</v>
      </c>
      <c r="R327" s="4" t="s">
        <v>61</v>
      </c>
      <c r="S327" s="25">
        <f>Table1[[#This Row],[Clicks]]/Table1[[#This Row],[Impressions]]</f>
        <v>0.69689245310038661</v>
      </c>
      <c r="T327" s="22">
        <f>Table1[[#This Row],[Sales]]/Table1[[#This Row],[USD_Spend]]</f>
        <v>54.794648347981479</v>
      </c>
      <c r="U327" s="1" t="str">
        <f>Outlier_Check!C337</f>
        <v>Normal</v>
      </c>
    </row>
    <row r="328" spans="1:21" x14ac:dyDescent="0.35">
      <c r="A328" s="3" t="s">
        <v>111</v>
      </c>
      <c r="B328" s="1" t="s">
        <v>35</v>
      </c>
      <c r="C328" s="1" t="s">
        <v>58</v>
      </c>
      <c r="D328" s="1" t="s">
        <v>51</v>
      </c>
      <c r="E328" s="1" t="s">
        <v>22</v>
      </c>
      <c r="F328" s="1" t="s">
        <v>23</v>
      </c>
      <c r="G328" s="2">
        <v>45197</v>
      </c>
      <c r="H328" s="2">
        <v>45231</v>
      </c>
      <c r="I328" s="1">
        <v>3453.93</v>
      </c>
      <c r="J328" s="1">
        <v>0.97770000000000001</v>
      </c>
      <c r="K328" s="1">
        <v>3376.91</v>
      </c>
      <c r="L328" s="1">
        <v>926602</v>
      </c>
      <c r="M328" s="1">
        <v>2685</v>
      </c>
      <c r="N328" s="1">
        <v>213800.93</v>
      </c>
      <c r="O328" s="1">
        <v>2023</v>
      </c>
      <c r="P328" s="1" t="s">
        <v>74</v>
      </c>
      <c r="Q328" s="1" t="s">
        <v>33</v>
      </c>
      <c r="R328" s="4" t="s">
        <v>26</v>
      </c>
      <c r="S328" s="25">
        <f>Table1[[#This Row],[Clicks]]/Table1[[#This Row],[Impressions]]</f>
        <v>2.8976842268848978E-3</v>
      </c>
      <c r="T328" s="22">
        <f>Table1[[#This Row],[Sales]]/Table1[[#This Row],[USD_Spend]]</f>
        <v>63.312593465623898</v>
      </c>
      <c r="U328" s="1" t="str">
        <f>Outlier_Check!C338</f>
        <v>Normal</v>
      </c>
    </row>
    <row r="329" spans="1:21" x14ac:dyDescent="0.35">
      <c r="A329" s="3" t="s">
        <v>100</v>
      </c>
      <c r="B329" s="1" t="s">
        <v>35</v>
      </c>
      <c r="C329" s="1" t="s">
        <v>58</v>
      </c>
      <c r="D329" s="1" t="s">
        <v>37</v>
      </c>
      <c r="E329" s="1" t="s">
        <v>38</v>
      </c>
      <c r="F329" s="1" t="s">
        <v>31</v>
      </c>
      <c r="G329" s="2">
        <v>45199</v>
      </c>
      <c r="H329" s="2">
        <v>45256</v>
      </c>
      <c r="I329" s="1">
        <v>7969.58</v>
      </c>
      <c r="J329" s="1">
        <v>8.1000000000000003E-2</v>
      </c>
      <c r="K329" s="1">
        <v>645.54</v>
      </c>
      <c r="L329" s="1">
        <v>841131</v>
      </c>
      <c r="M329" s="1">
        <v>20259</v>
      </c>
      <c r="N329" s="1">
        <v>150785.79</v>
      </c>
      <c r="O329" s="1">
        <v>2023</v>
      </c>
      <c r="P329" s="1" t="s">
        <v>74</v>
      </c>
      <c r="Q329" s="1" t="s">
        <v>33</v>
      </c>
      <c r="R329" s="4" t="s">
        <v>54</v>
      </c>
      <c r="S329" s="25">
        <f>Table1[[#This Row],[Clicks]]/Table1[[#This Row],[Impressions]]</f>
        <v>2.4085427834665468E-2</v>
      </c>
      <c r="T329" s="22">
        <f>Table1[[#This Row],[Sales]]/Table1[[#This Row],[USD_Spend]]</f>
        <v>233.58086253369274</v>
      </c>
      <c r="U329" s="1" t="str">
        <f>Outlier_Check!C339</f>
        <v>Normal</v>
      </c>
    </row>
    <row r="330" spans="1:21" x14ac:dyDescent="0.35">
      <c r="A330" s="3" t="s">
        <v>34</v>
      </c>
      <c r="B330" s="1" t="s">
        <v>28</v>
      </c>
      <c r="C330" s="1" t="s">
        <v>29</v>
      </c>
      <c r="D330" s="1" t="s">
        <v>59</v>
      </c>
      <c r="E330" s="1" t="s">
        <v>38</v>
      </c>
      <c r="F330" s="1" t="s">
        <v>49</v>
      </c>
      <c r="G330" s="2">
        <v>45199</v>
      </c>
      <c r="H330" s="2">
        <v>45227</v>
      </c>
      <c r="I330" s="1">
        <v>36044.79</v>
      </c>
      <c r="J330" s="1">
        <v>0.50390000000000001</v>
      </c>
      <c r="K330" s="1">
        <v>18162.97</v>
      </c>
      <c r="L330" s="1">
        <v>670016</v>
      </c>
      <c r="M330" s="1">
        <v>43681</v>
      </c>
      <c r="N330" s="1">
        <v>65135.56</v>
      </c>
      <c r="O330" s="1">
        <v>2023</v>
      </c>
      <c r="P330" s="1" t="s">
        <v>74</v>
      </c>
      <c r="Q330" s="1" t="s">
        <v>33</v>
      </c>
      <c r="R330" s="4" t="s">
        <v>54</v>
      </c>
      <c r="S330" s="25">
        <f>Table1[[#This Row],[Clicks]]/Table1[[#This Row],[Impressions]]</f>
        <v>6.5193965517241381E-2</v>
      </c>
      <c r="T330" s="22">
        <f>Table1[[#This Row],[Sales]]/Table1[[#This Row],[USD_Spend]]</f>
        <v>3.5861734066620157</v>
      </c>
      <c r="U330" s="1" t="str">
        <f>Outlier_Check!C340</f>
        <v>Normal</v>
      </c>
    </row>
    <row r="331" spans="1:21" x14ac:dyDescent="0.35">
      <c r="A331" s="3" t="s">
        <v>115</v>
      </c>
      <c r="B331" s="1" t="s">
        <v>28</v>
      </c>
      <c r="C331" s="1" t="s">
        <v>20</v>
      </c>
      <c r="D331" s="1" t="s">
        <v>59</v>
      </c>
      <c r="E331" s="1" t="s">
        <v>38</v>
      </c>
      <c r="F331" s="1" t="s">
        <v>23</v>
      </c>
      <c r="G331" s="2">
        <v>45201</v>
      </c>
      <c r="H331" s="2">
        <v>45255</v>
      </c>
      <c r="I331" s="1">
        <v>27612.2</v>
      </c>
      <c r="J331" s="1">
        <v>1.1892</v>
      </c>
      <c r="K331" s="1">
        <v>32836.43</v>
      </c>
      <c r="L331" s="1">
        <v>578373</v>
      </c>
      <c r="M331" s="1">
        <v>49696</v>
      </c>
      <c r="N331" s="1">
        <v>15194.58</v>
      </c>
      <c r="O331" s="1">
        <v>2023</v>
      </c>
      <c r="P331" s="1" t="s">
        <v>24</v>
      </c>
      <c r="Q331" s="1" t="s">
        <v>25</v>
      </c>
      <c r="R331" s="4" t="s">
        <v>61</v>
      </c>
      <c r="S331" s="25">
        <f>Table1[[#This Row],[Clicks]]/Table1[[#This Row],[Impressions]]</f>
        <v>8.5923789665146882E-2</v>
      </c>
      <c r="T331" s="22">
        <f>Table1[[#This Row],[Sales]]/Table1[[#This Row],[USD_Spend]]</f>
        <v>0.46273544353024976</v>
      </c>
      <c r="U331" s="1" t="str">
        <f>Outlier_Check!C341</f>
        <v>Normal</v>
      </c>
    </row>
    <row r="332" spans="1:21" x14ac:dyDescent="0.35">
      <c r="A332" s="3" t="s">
        <v>111</v>
      </c>
      <c r="B332" s="1" t="s">
        <v>19</v>
      </c>
      <c r="C332" s="1" t="s">
        <v>36</v>
      </c>
      <c r="D332" s="1" t="s">
        <v>37</v>
      </c>
      <c r="E332" s="1" t="s">
        <v>38</v>
      </c>
      <c r="F332" s="1" t="s">
        <v>49</v>
      </c>
      <c r="G332" s="2">
        <v>45201</v>
      </c>
      <c r="H332" s="2">
        <v>45215</v>
      </c>
      <c r="I332" s="1">
        <v>19620</v>
      </c>
      <c r="J332" s="1">
        <v>0.94279999999999997</v>
      </c>
      <c r="K332" s="1">
        <v>18497.740000000002</v>
      </c>
      <c r="L332" s="1">
        <v>171771</v>
      </c>
      <c r="M332" s="1">
        <v>48574</v>
      </c>
      <c r="N332" s="1">
        <v>100457.38</v>
      </c>
      <c r="O332" s="1">
        <v>2023</v>
      </c>
      <c r="P332" s="1" t="s">
        <v>24</v>
      </c>
      <c r="Q332" s="1" t="s">
        <v>25</v>
      </c>
      <c r="R332" s="4" t="s">
        <v>41</v>
      </c>
      <c r="S332" s="25">
        <f>Table1[[#This Row],[Clicks]]/Table1[[#This Row],[Impressions]]</f>
        <v>0.28278347334532605</v>
      </c>
      <c r="T332" s="22">
        <f>Table1[[#This Row],[Sales]]/Table1[[#This Row],[USD_Spend]]</f>
        <v>5.4307920859521213</v>
      </c>
      <c r="U332" s="1" t="str">
        <f>Outlier_Check!C342</f>
        <v>Normal</v>
      </c>
    </row>
    <row r="333" spans="1:21" x14ac:dyDescent="0.35">
      <c r="A333" s="3" t="s">
        <v>100</v>
      </c>
      <c r="B333" s="1" t="s">
        <v>28</v>
      </c>
      <c r="C333" s="1" t="s">
        <v>58</v>
      </c>
      <c r="D333" s="1" t="s">
        <v>43</v>
      </c>
      <c r="E333" s="1" t="s">
        <v>38</v>
      </c>
      <c r="F333" s="1" t="s">
        <v>23</v>
      </c>
      <c r="G333" s="2">
        <v>45202</v>
      </c>
      <c r="H333" s="2">
        <v>45253</v>
      </c>
      <c r="I333" s="1">
        <v>21421.86</v>
      </c>
      <c r="J333" s="1">
        <v>0.7782</v>
      </c>
      <c r="K333" s="1">
        <v>16670.490000000002</v>
      </c>
      <c r="L333" s="1">
        <v>207064</v>
      </c>
      <c r="M333" s="1">
        <v>29048</v>
      </c>
      <c r="N333" s="1">
        <v>56790.67</v>
      </c>
      <c r="O333" s="1">
        <v>2023</v>
      </c>
      <c r="P333" s="1" t="s">
        <v>24</v>
      </c>
      <c r="Q333" s="1" t="s">
        <v>25</v>
      </c>
      <c r="R333" s="4" t="s">
        <v>61</v>
      </c>
      <c r="S333" s="25">
        <f>Table1[[#This Row],[Clicks]]/Table1[[#This Row],[Impressions]]</f>
        <v>0.14028512923540548</v>
      </c>
      <c r="T333" s="22">
        <f>Table1[[#This Row],[Sales]]/Table1[[#This Row],[USD_Spend]]</f>
        <v>3.4066587124913541</v>
      </c>
      <c r="U333" s="1" t="str">
        <f>Outlier_Check!C343</f>
        <v>Normal</v>
      </c>
    </row>
    <row r="334" spans="1:21" x14ac:dyDescent="0.35">
      <c r="A334" s="3" t="s">
        <v>57</v>
      </c>
      <c r="B334" s="1" t="s">
        <v>19</v>
      </c>
      <c r="C334" s="1" t="s">
        <v>29</v>
      </c>
      <c r="D334" s="1" t="s">
        <v>59</v>
      </c>
      <c r="E334" s="1" t="s">
        <v>38</v>
      </c>
      <c r="F334" s="1" t="s">
        <v>49</v>
      </c>
      <c r="G334" s="2">
        <v>45202</v>
      </c>
      <c r="H334" s="2">
        <v>45230</v>
      </c>
      <c r="I334" s="1">
        <v>1991.41</v>
      </c>
      <c r="J334" s="1">
        <v>0.98270000000000002</v>
      </c>
      <c r="K334" s="1">
        <v>1956.96</v>
      </c>
      <c r="L334" s="1">
        <v>327776</v>
      </c>
      <c r="M334" s="1">
        <v>20478</v>
      </c>
      <c r="N334" s="1">
        <v>73684.929999999993</v>
      </c>
      <c r="O334" s="1">
        <v>2023</v>
      </c>
      <c r="P334" s="1" t="s">
        <v>24</v>
      </c>
      <c r="Q334" s="1" t="s">
        <v>25</v>
      </c>
      <c r="R334" s="4" t="s">
        <v>41</v>
      </c>
      <c r="S334" s="25">
        <f>Table1[[#This Row],[Clicks]]/Table1[[#This Row],[Impressions]]</f>
        <v>6.2475593087962508E-2</v>
      </c>
      <c r="T334" s="22">
        <f>Table1[[#This Row],[Sales]]/Table1[[#This Row],[USD_Spend]]</f>
        <v>37.652752227945378</v>
      </c>
      <c r="U334" s="1" t="str">
        <f>Outlier_Check!C344</f>
        <v>Normal</v>
      </c>
    </row>
    <row r="335" spans="1:21" x14ac:dyDescent="0.35">
      <c r="A335" s="3" t="s">
        <v>113</v>
      </c>
      <c r="B335" s="1" t="s">
        <v>48</v>
      </c>
      <c r="C335" s="1" t="s">
        <v>20</v>
      </c>
      <c r="D335" s="1" t="s">
        <v>21</v>
      </c>
      <c r="E335" s="1" t="s">
        <v>30</v>
      </c>
      <c r="F335" s="1" t="s">
        <v>49</v>
      </c>
      <c r="G335" s="2">
        <v>45203</v>
      </c>
      <c r="H335" s="2">
        <v>45252</v>
      </c>
      <c r="I335" s="1">
        <v>9346.59</v>
      </c>
      <c r="J335" s="1">
        <v>0.1739</v>
      </c>
      <c r="K335" s="1">
        <v>1625.37</v>
      </c>
      <c r="L335" s="1">
        <v>493072</v>
      </c>
      <c r="M335" s="1">
        <v>7957</v>
      </c>
      <c r="N335" s="1">
        <v>35940.730000000003</v>
      </c>
      <c r="O335" s="1">
        <v>2023</v>
      </c>
      <c r="P335" s="1" t="s">
        <v>24</v>
      </c>
      <c r="Q335" s="1" t="s">
        <v>25</v>
      </c>
      <c r="R335" s="4" t="s">
        <v>26</v>
      </c>
      <c r="S335" s="25">
        <f>Table1[[#This Row],[Clicks]]/Table1[[#This Row],[Impressions]]</f>
        <v>1.6137602621929453E-2</v>
      </c>
      <c r="T335" s="22">
        <f>Table1[[#This Row],[Sales]]/Table1[[#This Row],[USD_Spend]]</f>
        <v>22.112337498538796</v>
      </c>
      <c r="U335" s="1" t="str">
        <f>Outlier_Check!C345</f>
        <v>Normal</v>
      </c>
    </row>
    <row r="336" spans="1:21" x14ac:dyDescent="0.35">
      <c r="A336" s="3" t="s">
        <v>110</v>
      </c>
      <c r="B336" s="1" t="s">
        <v>48</v>
      </c>
      <c r="C336" s="1" t="s">
        <v>20</v>
      </c>
      <c r="D336" s="1" t="s">
        <v>37</v>
      </c>
      <c r="E336" s="1" t="s">
        <v>38</v>
      </c>
      <c r="F336" s="1" t="s">
        <v>23</v>
      </c>
      <c r="G336" s="2">
        <v>45204</v>
      </c>
      <c r="H336" s="2">
        <v>45261</v>
      </c>
      <c r="I336" s="1">
        <v>4816.47</v>
      </c>
      <c r="J336" s="1">
        <v>0.4536</v>
      </c>
      <c r="K336" s="1">
        <v>2184.75</v>
      </c>
      <c r="L336" s="1">
        <v>536428</v>
      </c>
      <c r="M336" s="1">
        <v>44227</v>
      </c>
      <c r="N336" s="1">
        <v>225975.55</v>
      </c>
      <c r="O336" s="1">
        <v>2023</v>
      </c>
      <c r="P336" s="1" t="s">
        <v>24</v>
      </c>
      <c r="Q336" s="1" t="s">
        <v>25</v>
      </c>
      <c r="R336" s="4" t="s">
        <v>54</v>
      </c>
      <c r="S336" s="25">
        <f>Table1[[#This Row],[Clicks]]/Table1[[#This Row],[Impressions]]</f>
        <v>8.2447224977070549E-2</v>
      </c>
      <c r="T336" s="22">
        <f>Table1[[#This Row],[Sales]]/Table1[[#This Row],[USD_Spend]]</f>
        <v>103.43313880306671</v>
      </c>
      <c r="U336" s="1" t="str">
        <f>Outlier_Check!C346</f>
        <v>Normal</v>
      </c>
    </row>
    <row r="337" spans="1:21" x14ac:dyDescent="0.35">
      <c r="A337" s="3" t="s">
        <v>87</v>
      </c>
      <c r="B337" s="1" t="s">
        <v>35</v>
      </c>
      <c r="C337" s="1" t="s">
        <v>20</v>
      </c>
      <c r="D337" s="1" t="s">
        <v>63</v>
      </c>
      <c r="E337" s="1" t="s">
        <v>22</v>
      </c>
      <c r="F337" s="1" t="s">
        <v>23</v>
      </c>
      <c r="G337" s="2">
        <v>45205</v>
      </c>
      <c r="H337" s="2">
        <v>45242</v>
      </c>
      <c r="I337" s="1">
        <v>27459.1</v>
      </c>
      <c r="J337" s="1">
        <v>0.53090000000000004</v>
      </c>
      <c r="K337" s="1">
        <v>14578.04</v>
      </c>
      <c r="L337" s="1">
        <v>637086</v>
      </c>
      <c r="M337" s="1">
        <v>2712</v>
      </c>
      <c r="N337" s="1">
        <v>222908.61</v>
      </c>
      <c r="O337" s="1">
        <v>2023</v>
      </c>
      <c r="P337" s="1" t="s">
        <v>24</v>
      </c>
      <c r="Q337" s="1" t="s">
        <v>25</v>
      </c>
      <c r="R337" s="4" t="s">
        <v>61</v>
      </c>
      <c r="S337" s="25">
        <f>Table1[[#This Row],[Clicks]]/Table1[[#This Row],[Impressions]]</f>
        <v>4.2568821163861707E-3</v>
      </c>
      <c r="T337" s="22">
        <f>Table1[[#This Row],[Sales]]/Table1[[#This Row],[USD_Spend]]</f>
        <v>15.290711920120946</v>
      </c>
      <c r="U337" s="1" t="str">
        <f>Outlier_Check!C347</f>
        <v>Normal</v>
      </c>
    </row>
    <row r="338" spans="1:21" x14ac:dyDescent="0.35">
      <c r="A338" s="3" t="s">
        <v>89</v>
      </c>
      <c r="B338" s="1" t="s">
        <v>48</v>
      </c>
      <c r="C338" s="1" t="s">
        <v>29</v>
      </c>
      <c r="D338" s="1" t="s">
        <v>37</v>
      </c>
      <c r="E338" s="1" t="s">
        <v>38</v>
      </c>
      <c r="F338" s="1" t="s">
        <v>49</v>
      </c>
      <c r="G338" s="2">
        <v>45205</v>
      </c>
      <c r="H338" s="2">
        <v>45231</v>
      </c>
      <c r="I338" s="1">
        <v>16665.77</v>
      </c>
      <c r="J338" s="1">
        <v>0.65280000000000005</v>
      </c>
      <c r="K338" s="1">
        <v>10879.41</v>
      </c>
      <c r="L338" s="1">
        <v>155095</v>
      </c>
      <c r="M338" s="1">
        <v>9984</v>
      </c>
      <c r="N338" s="1">
        <v>61659.06</v>
      </c>
      <c r="O338" s="1">
        <v>2023</v>
      </c>
      <c r="P338" s="1" t="s">
        <v>24</v>
      </c>
      <c r="Q338" s="1" t="s">
        <v>25</v>
      </c>
      <c r="R338" s="4" t="s">
        <v>41</v>
      </c>
      <c r="S338" s="25">
        <f>Table1[[#This Row],[Clicks]]/Table1[[#This Row],[Impressions]]</f>
        <v>6.4373448531545183E-2</v>
      </c>
      <c r="T338" s="22">
        <f>Table1[[#This Row],[Sales]]/Table1[[#This Row],[USD_Spend]]</f>
        <v>5.6675003515815652</v>
      </c>
      <c r="U338" s="1" t="str">
        <f>Outlier_Check!C348</f>
        <v>Normal</v>
      </c>
    </row>
    <row r="339" spans="1:21" x14ac:dyDescent="0.35">
      <c r="A339" s="3" t="s">
        <v>83</v>
      </c>
      <c r="B339" s="1" t="s">
        <v>28</v>
      </c>
      <c r="C339" s="1" t="s">
        <v>69</v>
      </c>
      <c r="D339" s="1" t="s">
        <v>37</v>
      </c>
      <c r="E339" s="1" t="s">
        <v>22</v>
      </c>
      <c r="F339" s="1" t="s">
        <v>49</v>
      </c>
      <c r="G339" s="2">
        <v>45205</v>
      </c>
      <c r="H339" s="2">
        <v>45228</v>
      </c>
      <c r="I339" s="1">
        <v>30636.66</v>
      </c>
      <c r="J339" s="1">
        <v>0.86399999999999999</v>
      </c>
      <c r="K339" s="1">
        <v>26470.07</v>
      </c>
      <c r="L339" s="1">
        <v>223487</v>
      </c>
      <c r="M339" s="1">
        <v>45155</v>
      </c>
      <c r="N339" s="1">
        <v>160388.29999999999</v>
      </c>
      <c r="O339" s="1">
        <v>2023</v>
      </c>
      <c r="P339" s="1" t="s">
        <v>24</v>
      </c>
      <c r="Q339" s="1" t="s">
        <v>25</v>
      </c>
      <c r="R339" s="4" t="s">
        <v>41</v>
      </c>
      <c r="S339" s="25">
        <f>Table1[[#This Row],[Clicks]]/Table1[[#This Row],[Impressions]]</f>
        <v>0.20204754638972289</v>
      </c>
      <c r="T339" s="22">
        <f>Table1[[#This Row],[Sales]]/Table1[[#This Row],[USD_Spend]]</f>
        <v>6.0592321818567152</v>
      </c>
      <c r="U339" s="1" t="str">
        <f>Outlier_Check!C349</f>
        <v>Normal</v>
      </c>
    </row>
    <row r="340" spans="1:21" x14ac:dyDescent="0.35">
      <c r="A340" s="3" t="s">
        <v>72</v>
      </c>
      <c r="B340" s="1" t="s">
        <v>28</v>
      </c>
      <c r="C340" s="1" t="s">
        <v>69</v>
      </c>
      <c r="D340" s="1" t="s">
        <v>43</v>
      </c>
      <c r="E340" s="1" t="s">
        <v>22</v>
      </c>
      <c r="F340" s="1" t="s">
        <v>23</v>
      </c>
      <c r="G340" s="2">
        <v>45207</v>
      </c>
      <c r="H340" s="2">
        <v>45256</v>
      </c>
      <c r="I340" s="1">
        <v>37522.61</v>
      </c>
      <c r="J340" s="1">
        <v>0.95530000000000004</v>
      </c>
      <c r="K340" s="1">
        <v>35845.35</v>
      </c>
      <c r="L340" s="1">
        <v>199893</v>
      </c>
      <c r="M340" s="1">
        <v>25263</v>
      </c>
      <c r="N340" s="1">
        <v>123626.91</v>
      </c>
      <c r="O340" s="1">
        <v>2023</v>
      </c>
      <c r="P340" s="1" t="s">
        <v>24</v>
      </c>
      <c r="Q340" s="1" t="s">
        <v>25</v>
      </c>
      <c r="R340" s="4" t="s">
        <v>41</v>
      </c>
      <c r="S340" s="25">
        <f>Table1[[#This Row],[Clicks]]/Table1[[#This Row],[Impressions]]</f>
        <v>0.12638261469886389</v>
      </c>
      <c r="T340" s="22">
        <f>Table1[[#This Row],[Sales]]/Table1[[#This Row],[USD_Spend]]</f>
        <v>3.44889671882127</v>
      </c>
      <c r="U340" s="1" t="str">
        <f>Outlier_Check!C350</f>
        <v>Normal</v>
      </c>
    </row>
    <row r="341" spans="1:21" x14ac:dyDescent="0.35">
      <c r="A341" s="3" t="s">
        <v>108</v>
      </c>
      <c r="B341" s="1" t="s">
        <v>48</v>
      </c>
      <c r="C341" s="1" t="s">
        <v>58</v>
      </c>
      <c r="D341" s="1" t="s">
        <v>21</v>
      </c>
      <c r="E341" s="1" t="s">
        <v>30</v>
      </c>
      <c r="F341" s="1" t="s">
        <v>23</v>
      </c>
      <c r="G341" s="2">
        <v>45207</v>
      </c>
      <c r="H341" s="2">
        <v>45252</v>
      </c>
      <c r="I341" s="1">
        <v>27349.14</v>
      </c>
      <c r="J341" s="1">
        <v>0.80330000000000001</v>
      </c>
      <c r="K341" s="1">
        <v>21969.56</v>
      </c>
      <c r="L341" s="1">
        <v>79986</v>
      </c>
      <c r="M341" s="1">
        <v>45847</v>
      </c>
      <c r="N341" s="1">
        <v>183001.75</v>
      </c>
      <c r="O341" s="1">
        <v>2023</v>
      </c>
      <c r="P341" s="1" t="s">
        <v>24</v>
      </c>
      <c r="Q341" s="1" t="s">
        <v>25</v>
      </c>
      <c r="R341" s="4" t="s">
        <v>41</v>
      </c>
      <c r="S341" s="25">
        <f>Table1[[#This Row],[Clicks]]/Table1[[#This Row],[Impressions]]</f>
        <v>0.57318780786637658</v>
      </c>
      <c r="T341" s="22">
        <f>Table1[[#This Row],[Sales]]/Table1[[#This Row],[USD_Spend]]</f>
        <v>8.3297867594981412</v>
      </c>
      <c r="U341" s="1" t="str">
        <f>Outlier_Check!C351</f>
        <v>Normal</v>
      </c>
    </row>
    <row r="342" spans="1:21" x14ac:dyDescent="0.35">
      <c r="A342" s="3" t="s">
        <v>91</v>
      </c>
      <c r="B342" s="1" t="s">
        <v>28</v>
      </c>
      <c r="C342" s="1" t="s">
        <v>58</v>
      </c>
      <c r="D342" s="1" t="s">
        <v>43</v>
      </c>
      <c r="E342" s="1" t="s">
        <v>38</v>
      </c>
      <c r="F342" s="1" t="s">
        <v>52</v>
      </c>
      <c r="G342" s="2">
        <v>45207</v>
      </c>
      <c r="H342" s="2">
        <v>45242</v>
      </c>
      <c r="I342" s="1">
        <v>10762.64</v>
      </c>
      <c r="J342" s="1">
        <v>0.11940000000000001</v>
      </c>
      <c r="K342" s="1">
        <v>1285.06</v>
      </c>
      <c r="L342" s="1">
        <v>752479</v>
      </c>
      <c r="M342" s="1">
        <v>36242</v>
      </c>
      <c r="N342" s="1">
        <v>164721.51</v>
      </c>
      <c r="O342" s="1">
        <v>2023</v>
      </c>
      <c r="P342" s="1" t="s">
        <v>24</v>
      </c>
      <c r="Q342" s="1" t="s">
        <v>25</v>
      </c>
      <c r="R342" s="4" t="s">
        <v>41</v>
      </c>
      <c r="S342" s="25">
        <f>Table1[[#This Row],[Clicks]]/Table1[[#This Row],[Impressions]]</f>
        <v>4.8163470342693949E-2</v>
      </c>
      <c r="T342" s="22">
        <f>Table1[[#This Row],[Sales]]/Table1[[#This Row],[USD_Spend]]</f>
        <v>128.18196037539104</v>
      </c>
      <c r="U342" s="1" t="str">
        <f>Outlier_Check!C352</f>
        <v>Normal</v>
      </c>
    </row>
    <row r="343" spans="1:21" x14ac:dyDescent="0.35">
      <c r="A343" s="3" t="s">
        <v>97</v>
      </c>
      <c r="B343" s="1" t="s">
        <v>28</v>
      </c>
      <c r="C343" s="1" t="s">
        <v>36</v>
      </c>
      <c r="D343" s="1" t="s">
        <v>59</v>
      </c>
      <c r="E343" s="1" t="s">
        <v>38</v>
      </c>
      <c r="F343" s="1" t="s">
        <v>44</v>
      </c>
      <c r="G343" s="2">
        <v>45207</v>
      </c>
      <c r="H343" s="2">
        <v>45241</v>
      </c>
      <c r="I343" s="1">
        <v>10930.67</v>
      </c>
      <c r="J343" s="1">
        <v>0.32450000000000001</v>
      </c>
      <c r="K343" s="1">
        <v>3547</v>
      </c>
      <c r="L343" s="1">
        <v>697919</v>
      </c>
      <c r="M343" s="1">
        <v>37861</v>
      </c>
      <c r="N343" s="1">
        <v>120493.09</v>
      </c>
      <c r="O343" s="1">
        <v>2023</v>
      </c>
      <c r="P343" s="1" t="s">
        <v>24</v>
      </c>
      <c r="Q343" s="1" t="s">
        <v>25</v>
      </c>
      <c r="R343" s="4" t="s">
        <v>41</v>
      </c>
      <c r="S343" s="25">
        <f>Table1[[#This Row],[Clicks]]/Table1[[#This Row],[Impressions]]</f>
        <v>5.4248415647087989E-2</v>
      </c>
      <c r="T343" s="22">
        <f>Table1[[#This Row],[Sales]]/Table1[[#This Row],[USD_Spend]]</f>
        <v>33.970422892585283</v>
      </c>
      <c r="U343" s="1" t="str">
        <f>Outlier_Check!C353</f>
        <v>Normal</v>
      </c>
    </row>
    <row r="344" spans="1:21" x14ac:dyDescent="0.35">
      <c r="A344" s="3" t="s">
        <v>34</v>
      </c>
      <c r="B344" s="1" t="s">
        <v>28</v>
      </c>
      <c r="C344" s="1" t="s">
        <v>36</v>
      </c>
      <c r="D344" s="1" t="s">
        <v>37</v>
      </c>
      <c r="E344" s="1" t="s">
        <v>30</v>
      </c>
      <c r="F344" s="1" t="s">
        <v>31</v>
      </c>
      <c r="G344" s="2">
        <v>45207</v>
      </c>
      <c r="H344" s="2">
        <v>45214</v>
      </c>
      <c r="I344" s="1">
        <v>48740.45</v>
      </c>
      <c r="J344" s="1">
        <v>0.66849999999999998</v>
      </c>
      <c r="K344" s="1">
        <v>32582.99</v>
      </c>
      <c r="L344" s="1">
        <v>741295</v>
      </c>
      <c r="M344" s="1">
        <v>8375</v>
      </c>
      <c r="N344" s="1">
        <v>161278.07</v>
      </c>
      <c r="O344" s="1">
        <v>2023</v>
      </c>
      <c r="P344" s="1" t="s">
        <v>24</v>
      </c>
      <c r="Q344" s="1" t="s">
        <v>25</v>
      </c>
      <c r="R344" s="4" t="s">
        <v>54</v>
      </c>
      <c r="S344" s="25">
        <f>Table1[[#This Row],[Clicks]]/Table1[[#This Row],[Impressions]]</f>
        <v>1.1297796423825873E-2</v>
      </c>
      <c r="T344" s="22">
        <f>Table1[[#This Row],[Sales]]/Table1[[#This Row],[USD_Spend]]</f>
        <v>4.9497627443030856</v>
      </c>
      <c r="U344" s="1" t="str">
        <f>Outlier_Check!C354</f>
        <v>Normal</v>
      </c>
    </row>
    <row r="345" spans="1:21" x14ac:dyDescent="0.35">
      <c r="A345" s="3" t="s">
        <v>85</v>
      </c>
      <c r="B345" s="1" t="s">
        <v>19</v>
      </c>
      <c r="C345" s="1" t="s">
        <v>36</v>
      </c>
      <c r="D345" s="1" t="s">
        <v>43</v>
      </c>
      <c r="E345" s="1" t="s">
        <v>30</v>
      </c>
      <c r="F345" s="1" t="s">
        <v>44</v>
      </c>
      <c r="G345" s="2">
        <v>45210</v>
      </c>
      <c r="H345" s="2">
        <v>45249</v>
      </c>
      <c r="I345" s="1">
        <v>16638.34</v>
      </c>
      <c r="J345" s="1">
        <v>0.53490000000000004</v>
      </c>
      <c r="K345" s="1">
        <v>8899.85</v>
      </c>
      <c r="L345" s="1">
        <v>133365</v>
      </c>
      <c r="M345" s="1">
        <v>17968</v>
      </c>
      <c r="N345" s="1">
        <v>41583.58</v>
      </c>
      <c r="O345" s="1">
        <v>2023</v>
      </c>
      <c r="P345" s="1" t="s">
        <v>24</v>
      </c>
      <c r="Q345" s="1" t="s">
        <v>25</v>
      </c>
      <c r="R345" s="4" t="s">
        <v>26</v>
      </c>
      <c r="S345" s="25">
        <f>Table1[[#This Row],[Clicks]]/Table1[[#This Row],[Impressions]]</f>
        <v>0.13472800209950136</v>
      </c>
      <c r="T345" s="22">
        <f>Table1[[#This Row],[Sales]]/Table1[[#This Row],[USD_Spend]]</f>
        <v>4.6723911077152982</v>
      </c>
      <c r="U345" s="1" t="str">
        <f>Outlier_Check!C355</f>
        <v>Normal</v>
      </c>
    </row>
    <row r="346" spans="1:21" x14ac:dyDescent="0.35">
      <c r="A346" s="3" t="s">
        <v>93</v>
      </c>
      <c r="B346" s="1" t="s">
        <v>28</v>
      </c>
      <c r="C346" s="1" t="s">
        <v>20</v>
      </c>
      <c r="D346" s="1" t="s">
        <v>51</v>
      </c>
      <c r="E346" s="1" t="s">
        <v>30</v>
      </c>
      <c r="F346" s="1" t="s">
        <v>31</v>
      </c>
      <c r="G346" s="2">
        <v>45210</v>
      </c>
      <c r="H346" s="2">
        <v>45218</v>
      </c>
      <c r="I346" s="1">
        <v>4105.09</v>
      </c>
      <c r="J346" s="1">
        <v>0.42080000000000001</v>
      </c>
      <c r="K346" s="1">
        <v>1727.42</v>
      </c>
      <c r="L346" s="1">
        <v>519845</v>
      </c>
      <c r="M346" s="1">
        <v>32963</v>
      </c>
      <c r="N346" s="1">
        <v>134037.24</v>
      </c>
      <c r="O346" s="1">
        <v>2023</v>
      </c>
      <c r="P346" s="1" t="s">
        <v>24</v>
      </c>
      <c r="Q346" s="1" t="s">
        <v>25</v>
      </c>
      <c r="R346" s="4" t="s">
        <v>54</v>
      </c>
      <c r="S346" s="25">
        <f>Table1[[#This Row],[Clicks]]/Table1[[#This Row],[Impressions]]</f>
        <v>6.340928546008906E-2</v>
      </c>
      <c r="T346" s="22">
        <f>Table1[[#This Row],[Sales]]/Table1[[#This Row],[USD_Spend]]</f>
        <v>77.593891468201122</v>
      </c>
      <c r="U346" s="1" t="str">
        <f>Outlier_Check!C356</f>
        <v>Normal</v>
      </c>
    </row>
    <row r="347" spans="1:21" x14ac:dyDescent="0.35">
      <c r="A347" s="3" t="s">
        <v>108</v>
      </c>
      <c r="B347" s="1" t="s">
        <v>28</v>
      </c>
      <c r="C347" s="1" t="s">
        <v>20</v>
      </c>
      <c r="D347" s="1" t="s">
        <v>37</v>
      </c>
      <c r="E347" s="1" t="s">
        <v>22</v>
      </c>
      <c r="F347" s="1" t="s">
        <v>52</v>
      </c>
      <c r="G347" s="2">
        <v>45210</v>
      </c>
      <c r="H347" s="2">
        <v>45215</v>
      </c>
      <c r="I347" s="1">
        <v>49105.93</v>
      </c>
      <c r="J347" s="1">
        <v>0.43569999999999998</v>
      </c>
      <c r="K347" s="1">
        <v>21395.45</v>
      </c>
      <c r="L347" s="1">
        <v>907412</v>
      </c>
      <c r="M347" s="1">
        <v>33078</v>
      </c>
      <c r="N347" s="1">
        <v>56641.13</v>
      </c>
      <c r="O347" s="1">
        <v>2023</v>
      </c>
      <c r="P347" s="1" t="s">
        <v>24</v>
      </c>
      <c r="Q347" s="1" t="s">
        <v>25</v>
      </c>
      <c r="R347" s="4" t="s">
        <v>41</v>
      </c>
      <c r="S347" s="25">
        <f>Table1[[#This Row],[Clicks]]/Table1[[#This Row],[Impressions]]</f>
        <v>3.6453121625017085E-2</v>
      </c>
      <c r="T347" s="22">
        <f>Table1[[#This Row],[Sales]]/Table1[[#This Row],[USD_Spend]]</f>
        <v>2.6473446457073817</v>
      </c>
      <c r="U347" s="1" t="str">
        <f>Outlier_Check!C357</f>
        <v>Normal</v>
      </c>
    </row>
    <row r="348" spans="1:21" x14ac:dyDescent="0.35">
      <c r="A348" s="3" t="s">
        <v>75</v>
      </c>
      <c r="B348" s="1" t="s">
        <v>19</v>
      </c>
      <c r="C348" s="1" t="s">
        <v>69</v>
      </c>
      <c r="D348" s="1" t="s">
        <v>51</v>
      </c>
      <c r="E348" s="1" t="s">
        <v>38</v>
      </c>
      <c r="F348" s="1" t="s">
        <v>52</v>
      </c>
      <c r="G348" s="2">
        <v>45211</v>
      </c>
      <c r="H348" s="2">
        <v>45221</v>
      </c>
      <c r="I348" s="1">
        <v>16185.44</v>
      </c>
      <c r="J348" s="1">
        <v>0.61850000000000005</v>
      </c>
      <c r="K348" s="1">
        <v>10010.69</v>
      </c>
      <c r="L348" s="1">
        <v>223068</v>
      </c>
      <c r="M348" s="1">
        <v>10282</v>
      </c>
      <c r="N348" s="1">
        <v>136415.59</v>
      </c>
      <c r="O348" s="1">
        <v>2023</v>
      </c>
      <c r="P348" s="1" t="s">
        <v>24</v>
      </c>
      <c r="Q348" s="1" t="s">
        <v>25</v>
      </c>
      <c r="R348" s="4" t="s">
        <v>26</v>
      </c>
      <c r="S348" s="25">
        <f>Table1[[#This Row],[Clicks]]/Table1[[#This Row],[Impressions]]</f>
        <v>4.6093567880646259E-2</v>
      </c>
      <c r="T348" s="22">
        <f>Table1[[#This Row],[Sales]]/Table1[[#This Row],[USD_Spend]]</f>
        <v>13.626991745823714</v>
      </c>
      <c r="U348" s="1" t="str">
        <f>Outlier_Check!C358</f>
        <v>Normal</v>
      </c>
    </row>
    <row r="349" spans="1:21" x14ac:dyDescent="0.35">
      <c r="A349" s="3" t="s">
        <v>84</v>
      </c>
      <c r="B349" s="1" t="s">
        <v>48</v>
      </c>
      <c r="C349" s="1" t="s">
        <v>36</v>
      </c>
      <c r="D349" s="1" t="s">
        <v>63</v>
      </c>
      <c r="E349" s="1" t="s">
        <v>30</v>
      </c>
      <c r="F349" s="1" t="s">
        <v>52</v>
      </c>
      <c r="G349" s="2">
        <v>45213</v>
      </c>
      <c r="H349" s="2">
        <v>45223</v>
      </c>
      <c r="I349" s="1">
        <v>10974.19</v>
      </c>
      <c r="J349" s="1">
        <v>0.17319999999999999</v>
      </c>
      <c r="K349" s="1">
        <v>1900.73</v>
      </c>
      <c r="L349" s="1">
        <v>556302</v>
      </c>
      <c r="M349" s="1">
        <v>15208</v>
      </c>
      <c r="N349" s="1">
        <v>79710.100000000006</v>
      </c>
      <c r="O349" s="1">
        <v>2023</v>
      </c>
      <c r="P349" s="1" t="s">
        <v>24</v>
      </c>
      <c r="Q349" s="1" t="s">
        <v>25</v>
      </c>
      <c r="R349" s="4" t="s">
        <v>26</v>
      </c>
      <c r="S349" s="25">
        <f>Table1[[#This Row],[Clicks]]/Table1[[#This Row],[Impressions]]</f>
        <v>2.7337669107786778E-2</v>
      </c>
      <c r="T349" s="22">
        <f>Table1[[#This Row],[Sales]]/Table1[[#This Row],[USD_Spend]]</f>
        <v>41.936571738226895</v>
      </c>
      <c r="U349" s="1" t="str">
        <f>Outlier_Check!C359</f>
        <v>Normal</v>
      </c>
    </row>
    <row r="350" spans="1:21" x14ac:dyDescent="0.35">
      <c r="A350" s="3" t="s">
        <v>100</v>
      </c>
      <c r="B350" s="1" t="s">
        <v>28</v>
      </c>
      <c r="C350" s="1" t="s">
        <v>36</v>
      </c>
      <c r="D350" s="1" t="s">
        <v>63</v>
      </c>
      <c r="E350" s="1" t="s">
        <v>30</v>
      </c>
      <c r="F350" s="1" t="s">
        <v>44</v>
      </c>
      <c r="G350" s="2">
        <v>45214</v>
      </c>
      <c r="H350" s="2">
        <v>45250</v>
      </c>
      <c r="I350" s="1">
        <v>45320.87</v>
      </c>
      <c r="J350" s="1">
        <v>0.85129999999999995</v>
      </c>
      <c r="K350" s="1">
        <v>38581.660000000003</v>
      </c>
      <c r="L350" s="1">
        <v>229242</v>
      </c>
      <c r="M350" s="1">
        <v>567</v>
      </c>
      <c r="N350" s="1">
        <v>53041.26</v>
      </c>
      <c r="O350" s="1">
        <v>2023</v>
      </c>
      <c r="P350" s="1" t="s">
        <v>24</v>
      </c>
      <c r="Q350" s="1" t="s">
        <v>25</v>
      </c>
      <c r="R350" s="4" t="s">
        <v>54</v>
      </c>
      <c r="S350" s="25">
        <f>Table1[[#This Row],[Clicks]]/Table1[[#This Row],[Impressions]]</f>
        <v>2.4733687544167297E-3</v>
      </c>
      <c r="T350" s="22">
        <f>Table1[[#This Row],[Sales]]/Table1[[#This Row],[USD_Spend]]</f>
        <v>1.3747791048907694</v>
      </c>
      <c r="U350" s="1" t="str">
        <f>Outlier_Check!C360</f>
        <v>Normal</v>
      </c>
    </row>
    <row r="351" spans="1:21" x14ac:dyDescent="0.35">
      <c r="A351" s="3" t="s">
        <v>62</v>
      </c>
      <c r="B351" s="1" t="s">
        <v>35</v>
      </c>
      <c r="C351" s="1" t="s">
        <v>20</v>
      </c>
      <c r="D351" s="1" t="s">
        <v>59</v>
      </c>
      <c r="E351" s="1" t="s">
        <v>30</v>
      </c>
      <c r="F351" s="1" t="s">
        <v>44</v>
      </c>
      <c r="G351" s="2">
        <v>45214</v>
      </c>
      <c r="H351" s="2">
        <v>45227</v>
      </c>
      <c r="I351" s="1">
        <v>6444.35</v>
      </c>
      <c r="J351" s="1">
        <v>0.56399999999999995</v>
      </c>
      <c r="K351" s="1">
        <v>3634.61</v>
      </c>
      <c r="L351" s="1">
        <v>448539</v>
      </c>
      <c r="M351" s="1">
        <v>11319</v>
      </c>
      <c r="N351" s="1">
        <v>191283.20000000001</v>
      </c>
      <c r="O351" s="1">
        <v>2023</v>
      </c>
      <c r="P351" s="1" t="s">
        <v>24</v>
      </c>
      <c r="Q351" s="1" t="s">
        <v>25</v>
      </c>
      <c r="R351" s="4" t="s">
        <v>61</v>
      </c>
      <c r="S351" s="25">
        <f>Table1[[#This Row],[Clicks]]/Table1[[#This Row],[Impressions]]</f>
        <v>2.5235263823212697E-2</v>
      </c>
      <c r="T351" s="22">
        <f>Table1[[#This Row],[Sales]]/Table1[[#This Row],[USD_Spend]]</f>
        <v>52.628259978374572</v>
      </c>
      <c r="U351" s="1" t="str">
        <f>Outlier_Check!C361</f>
        <v>Normal</v>
      </c>
    </row>
    <row r="352" spans="1:21" x14ac:dyDescent="0.35">
      <c r="A352" s="3" t="s">
        <v>109</v>
      </c>
      <c r="B352" s="1" t="s">
        <v>19</v>
      </c>
      <c r="C352" s="1" t="s">
        <v>69</v>
      </c>
      <c r="D352" s="1" t="s">
        <v>43</v>
      </c>
      <c r="E352" s="1" t="s">
        <v>30</v>
      </c>
      <c r="F352" s="1" t="s">
        <v>23</v>
      </c>
      <c r="G352" s="2">
        <v>45216</v>
      </c>
      <c r="H352" s="2">
        <v>45270</v>
      </c>
      <c r="I352" s="1">
        <v>18082.16</v>
      </c>
      <c r="J352" s="1">
        <v>0.69389999999999996</v>
      </c>
      <c r="K352" s="1">
        <v>12547.21</v>
      </c>
      <c r="L352" s="1">
        <v>542623</v>
      </c>
      <c r="M352" s="1">
        <v>6845</v>
      </c>
      <c r="N352" s="1">
        <v>104393.07</v>
      </c>
      <c r="O352" s="1">
        <v>2023</v>
      </c>
      <c r="P352" s="1" t="s">
        <v>24</v>
      </c>
      <c r="Q352" s="1" t="s">
        <v>25</v>
      </c>
      <c r="R352" s="4" t="s">
        <v>41</v>
      </c>
      <c r="S352" s="25">
        <f>Table1[[#This Row],[Clicks]]/Table1[[#This Row],[Impressions]]</f>
        <v>1.261465142465395E-2</v>
      </c>
      <c r="T352" s="22">
        <f>Table1[[#This Row],[Sales]]/Table1[[#This Row],[USD_Spend]]</f>
        <v>8.3200225388751772</v>
      </c>
      <c r="U352" s="1" t="str">
        <f>Outlier_Check!C362</f>
        <v>Normal</v>
      </c>
    </row>
    <row r="353" spans="1:21" x14ac:dyDescent="0.35">
      <c r="A353" s="3" t="s">
        <v>108</v>
      </c>
      <c r="B353" s="1" t="s">
        <v>48</v>
      </c>
      <c r="C353" s="1" t="s">
        <v>69</v>
      </c>
      <c r="D353" s="1" t="s">
        <v>51</v>
      </c>
      <c r="E353" s="1" t="s">
        <v>38</v>
      </c>
      <c r="F353" s="1" t="s">
        <v>52</v>
      </c>
      <c r="G353" s="2">
        <v>45216</v>
      </c>
      <c r="H353" s="2">
        <v>45237</v>
      </c>
      <c r="I353" s="1">
        <v>31033.65</v>
      </c>
      <c r="J353" s="1">
        <v>0.9163</v>
      </c>
      <c r="K353" s="1">
        <v>28436.13</v>
      </c>
      <c r="L353" s="1">
        <v>286570</v>
      </c>
      <c r="M353" s="1">
        <v>33980</v>
      </c>
      <c r="N353" s="1">
        <v>81687.53</v>
      </c>
      <c r="O353" s="1">
        <v>2023</v>
      </c>
      <c r="P353" s="1" t="s">
        <v>24</v>
      </c>
      <c r="Q353" s="1" t="s">
        <v>25</v>
      </c>
      <c r="R353" s="4" t="s">
        <v>54</v>
      </c>
      <c r="S353" s="25">
        <f>Table1[[#This Row],[Clicks]]/Table1[[#This Row],[Impressions]]</f>
        <v>0.11857486826953274</v>
      </c>
      <c r="T353" s="22">
        <f>Table1[[#This Row],[Sales]]/Table1[[#This Row],[USD_Spend]]</f>
        <v>2.8726669205690083</v>
      </c>
      <c r="U353" s="1" t="str">
        <f>Outlier_Check!C363</f>
        <v>Normal</v>
      </c>
    </row>
    <row r="354" spans="1:21" x14ac:dyDescent="0.35">
      <c r="A354" s="3" t="s">
        <v>82</v>
      </c>
      <c r="B354" s="1" t="s">
        <v>35</v>
      </c>
      <c r="C354" s="1" t="s">
        <v>20</v>
      </c>
      <c r="D354" s="1" t="s">
        <v>59</v>
      </c>
      <c r="E354" s="1" t="s">
        <v>30</v>
      </c>
      <c r="F354" s="1" t="s">
        <v>44</v>
      </c>
      <c r="G354" s="2">
        <v>45218</v>
      </c>
      <c r="H354" s="2">
        <v>45262</v>
      </c>
      <c r="I354" s="1">
        <v>4420.6400000000003</v>
      </c>
      <c r="J354" s="1">
        <v>0.24030000000000001</v>
      </c>
      <c r="K354" s="1">
        <v>1062.28</v>
      </c>
      <c r="L354" s="1">
        <v>519462</v>
      </c>
      <c r="M354" s="1">
        <v>29633</v>
      </c>
      <c r="N354" s="1">
        <v>85444.79</v>
      </c>
      <c r="O354" s="1">
        <v>2023</v>
      </c>
      <c r="P354" s="1" t="s">
        <v>24</v>
      </c>
      <c r="Q354" s="1" t="s">
        <v>25</v>
      </c>
      <c r="R354" s="4" t="s">
        <v>41</v>
      </c>
      <c r="S354" s="25">
        <f>Table1[[#This Row],[Clicks]]/Table1[[#This Row],[Impressions]]</f>
        <v>5.7045558674166733E-2</v>
      </c>
      <c r="T354" s="22">
        <f>Table1[[#This Row],[Sales]]/Table1[[#This Row],[USD_Spend]]</f>
        <v>80.435280716948441</v>
      </c>
      <c r="U354" s="1" t="str">
        <f>Outlier_Check!C364</f>
        <v>Normal</v>
      </c>
    </row>
    <row r="355" spans="1:21" x14ac:dyDescent="0.35">
      <c r="A355" s="3" t="s">
        <v>62</v>
      </c>
      <c r="B355" s="1" t="s">
        <v>48</v>
      </c>
      <c r="C355" s="1" t="s">
        <v>69</v>
      </c>
      <c r="D355" s="1" t="s">
        <v>37</v>
      </c>
      <c r="E355" s="1" t="s">
        <v>30</v>
      </c>
      <c r="F355" s="1" t="s">
        <v>31</v>
      </c>
      <c r="G355" s="2">
        <v>45218</v>
      </c>
      <c r="H355" s="2">
        <v>45261</v>
      </c>
      <c r="I355" s="1">
        <v>1798.82</v>
      </c>
      <c r="J355" s="1">
        <v>0.17080000000000001</v>
      </c>
      <c r="K355" s="1">
        <v>307.24</v>
      </c>
      <c r="L355" s="1">
        <v>943572</v>
      </c>
      <c r="M355" s="1">
        <v>19881</v>
      </c>
      <c r="N355" s="1">
        <v>6609.36</v>
      </c>
      <c r="O355" s="1">
        <v>2023</v>
      </c>
      <c r="P355" s="1" t="s">
        <v>24</v>
      </c>
      <c r="Q355" s="1" t="s">
        <v>25</v>
      </c>
      <c r="R355" s="4" t="s">
        <v>61</v>
      </c>
      <c r="S355" s="25">
        <f>Table1[[#This Row],[Clicks]]/Table1[[#This Row],[Impressions]]</f>
        <v>2.1069934249850569E-2</v>
      </c>
      <c r="T355" s="22">
        <f>Table1[[#This Row],[Sales]]/Table1[[#This Row],[USD_Spend]]</f>
        <v>21.512042702773076</v>
      </c>
      <c r="U355" s="1" t="str">
        <f>Outlier_Check!C365</f>
        <v>Normal</v>
      </c>
    </row>
    <row r="356" spans="1:21" x14ac:dyDescent="0.35">
      <c r="A356" s="3" t="s">
        <v>87</v>
      </c>
      <c r="B356" s="1" t="s">
        <v>48</v>
      </c>
      <c r="C356" s="1" t="s">
        <v>58</v>
      </c>
      <c r="D356" s="1" t="s">
        <v>43</v>
      </c>
      <c r="E356" s="1" t="s">
        <v>38</v>
      </c>
      <c r="F356" s="1" t="s">
        <v>44</v>
      </c>
      <c r="G356" s="2">
        <v>45219</v>
      </c>
      <c r="H356" s="2">
        <v>45244</v>
      </c>
      <c r="I356" s="1">
        <v>19819.32</v>
      </c>
      <c r="J356" s="1">
        <v>0.91120000000000001</v>
      </c>
      <c r="K356" s="1">
        <v>18059.36</v>
      </c>
      <c r="L356" s="1">
        <v>160152</v>
      </c>
      <c r="M356" s="1">
        <v>2848</v>
      </c>
      <c r="N356" s="1">
        <v>204426.86</v>
      </c>
      <c r="O356" s="1">
        <v>2023</v>
      </c>
      <c r="P356" s="1" t="s">
        <v>24</v>
      </c>
      <c r="Q356" s="1" t="s">
        <v>25</v>
      </c>
      <c r="R356" s="4" t="s">
        <v>41</v>
      </c>
      <c r="S356" s="25">
        <f>Table1[[#This Row],[Clicks]]/Table1[[#This Row],[Impressions]]</f>
        <v>1.7783106049253209E-2</v>
      </c>
      <c r="T356" s="22">
        <f>Table1[[#This Row],[Sales]]/Table1[[#This Row],[USD_Spend]]</f>
        <v>11.319717863755969</v>
      </c>
      <c r="U356" s="1" t="str">
        <f>Outlier_Check!C366</f>
        <v>Normal</v>
      </c>
    </row>
    <row r="357" spans="1:21" x14ac:dyDescent="0.35">
      <c r="A357" s="3" t="s">
        <v>67</v>
      </c>
      <c r="B357" s="1" t="s">
        <v>48</v>
      </c>
      <c r="C357" s="1" t="s">
        <v>69</v>
      </c>
      <c r="D357" s="1" t="s">
        <v>43</v>
      </c>
      <c r="E357" s="1" t="s">
        <v>22</v>
      </c>
      <c r="F357" s="1" t="s">
        <v>44</v>
      </c>
      <c r="G357" s="2">
        <v>45221</v>
      </c>
      <c r="H357" s="2">
        <v>45254</v>
      </c>
      <c r="I357" s="1">
        <v>44161.48</v>
      </c>
      <c r="J357" s="1">
        <v>0.58679999999999999</v>
      </c>
      <c r="K357" s="1">
        <v>25913.96</v>
      </c>
      <c r="L357" s="1">
        <v>40271</v>
      </c>
      <c r="M357" s="1">
        <v>41389</v>
      </c>
      <c r="N357" s="1">
        <v>154173.56</v>
      </c>
      <c r="O357" s="1">
        <v>2023</v>
      </c>
      <c r="P357" s="1" t="s">
        <v>24</v>
      </c>
      <c r="Q357" s="1" t="s">
        <v>25</v>
      </c>
      <c r="R357" s="4" t="s">
        <v>54</v>
      </c>
      <c r="S357" s="25">
        <f>Table1[[#This Row],[Clicks]]/Table1[[#This Row],[Impressions]]</f>
        <v>1.0277619130391598</v>
      </c>
      <c r="T357" s="22">
        <f>Table1[[#This Row],[Sales]]/Table1[[#This Row],[USD_Spend]]</f>
        <v>5.9494403788537147</v>
      </c>
      <c r="U357" s="1" t="str">
        <f>Outlier_Check!C367</f>
        <v>Normal</v>
      </c>
    </row>
    <row r="358" spans="1:21" x14ac:dyDescent="0.35">
      <c r="A358" s="3" t="s">
        <v>95</v>
      </c>
      <c r="B358" s="1" t="s">
        <v>48</v>
      </c>
      <c r="C358" s="1" t="s">
        <v>69</v>
      </c>
      <c r="D358" s="1" t="s">
        <v>37</v>
      </c>
      <c r="E358" s="1" t="s">
        <v>38</v>
      </c>
      <c r="F358" s="1" t="s">
        <v>23</v>
      </c>
      <c r="G358" s="2">
        <v>45221</v>
      </c>
      <c r="H358" s="2">
        <v>45233</v>
      </c>
      <c r="I358" s="1">
        <v>29100.36</v>
      </c>
      <c r="J358" s="1">
        <v>0.65639999999999998</v>
      </c>
      <c r="K358" s="1">
        <v>19101.48</v>
      </c>
      <c r="L358" s="1">
        <v>949272</v>
      </c>
      <c r="M358" s="1">
        <v>25956</v>
      </c>
      <c r="N358" s="1">
        <v>205502.48</v>
      </c>
      <c r="O358" s="1">
        <v>2023</v>
      </c>
      <c r="P358" s="1" t="s">
        <v>24</v>
      </c>
      <c r="Q358" s="1" t="s">
        <v>25</v>
      </c>
      <c r="R358" s="4" t="s">
        <v>41</v>
      </c>
      <c r="S358" s="25">
        <f>Table1[[#This Row],[Clicks]]/Table1[[#This Row],[Impressions]]</f>
        <v>2.7343058680757464E-2</v>
      </c>
      <c r="T358" s="22">
        <f>Table1[[#This Row],[Sales]]/Table1[[#This Row],[USD_Spend]]</f>
        <v>10.758458506880096</v>
      </c>
      <c r="U358" s="1" t="str">
        <f>Outlier_Check!C368</f>
        <v>Normal</v>
      </c>
    </row>
    <row r="359" spans="1:21" x14ac:dyDescent="0.35">
      <c r="A359" s="3" t="s">
        <v>88</v>
      </c>
      <c r="B359" s="1" t="s">
        <v>35</v>
      </c>
      <c r="C359" s="1" t="s">
        <v>69</v>
      </c>
      <c r="D359" s="1" t="s">
        <v>37</v>
      </c>
      <c r="E359" s="1" t="s">
        <v>38</v>
      </c>
      <c r="F359" s="1" t="s">
        <v>44</v>
      </c>
      <c r="G359" s="2">
        <v>45222</v>
      </c>
      <c r="H359" s="2">
        <v>45269</v>
      </c>
      <c r="I359" s="1">
        <v>47314.48</v>
      </c>
      <c r="J359" s="1">
        <v>0.97809999999999997</v>
      </c>
      <c r="K359" s="1">
        <v>46278.29</v>
      </c>
      <c r="L359" s="1">
        <v>586818</v>
      </c>
      <c r="M359" s="1">
        <v>2504</v>
      </c>
      <c r="N359" s="1">
        <v>116432.35</v>
      </c>
      <c r="O359" s="1">
        <v>2023</v>
      </c>
      <c r="P359" s="1" t="s">
        <v>24</v>
      </c>
      <c r="Q359" s="1" t="s">
        <v>25</v>
      </c>
      <c r="R359" s="4" t="s">
        <v>26</v>
      </c>
      <c r="S359" s="25">
        <f>Table1[[#This Row],[Clicks]]/Table1[[#This Row],[Impressions]]</f>
        <v>4.2670811052149052E-3</v>
      </c>
      <c r="T359" s="22">
        <f>Table1[[#This Row],[Sales]]/Table1[[#This Row],[USD_Spend]]</f>
        <v>2.5159172908074177</v>
      </c>
      <c r="U359" s="1" t="str">
        <f>Outlier_Check!C369</f>
        <v>Normal</v>
      </c>
    </row>
    <row r="360" spans="1:21" x14ac:dyDescent="0.35">
      <c r="A360" s="3" t="s">
        <v>66</v>
      </c>
      <c r="B360" s="1" t="s">
        <v>35</v>
      </c>
      <c r="C360" s="1" t="s">
        <v>20</v>
      </c>
      <c r="D360" s="1" t="s">
        <v>43</v>
      </c>
      <c r="E360" s="1" t="s">
        <v>30</v>
      </c>
      <c r="F360" s="1" t="s">
        <v>52</v>
      </c>
      <c r="G360" s="2">
        <v>45222</v>
      </c>
      <c r="H360" s="2">
        <v>45234</v>
      </c>
      <c r="I360" s="1">
        <v>48504.02</v>
      </c>
      <c r="J360" s="1">
        <v>0.60370000000000001</v>
      </c>
      <c r="K360" s="1">
        <v>29281.88</v>
      </c>
      <c r="L360" s="1">
        <v>728826</v>
      </c>
      <c r="M360" s="1">
        <v>9742</v>
      </c>
      <c r="N360" s="1">
        <v>119247.78</v>
      </c>
      <c r="O360" s="1">
        <v>2023</v>
      </c>
      <c r="P360" s="1" t="s">
        <v>24</v>
      </c>
      <c r="Q360" s="1" t="s">
        <v>25</v>
      </c>
      <c r="R360" s="4" t="s">
        <v>41</v>
      </c>
      <c r="S360" s="25">
        <f>Table1[[#This Row],[Clicks]]/Table1[[#This Row],[Impressions]]</f>
        <v>1.3366702066062407E-2</v>
      </c>
      <c r="T360" s="22">
        <f>Table1[[#This Row],[Sales]]/Table1[[#This Row],[USD_Spend]]</f>
        <v>4.0724086021799142</v>
      </c>
      <c r="U360" s="1" t="str">
        <f>Outlier_Check!C370</f>
        <v>Normal</v>
      </c>
    </row>
    <row r="361" spans="1:21" x14ac:dyDescent="0.35">
      <c r="A361" s="3" t="s">
        <v>42</v>
      </c>
      <c r="B361" s="1" t="s">
        <v>28</v>
      </c>
      <c r="C361" s="1" t="s">
        <v>69</v>
      </c>
      <c r="D361" s="1" t="s">
        <v>51</v>
      </c>
      <c r="E361" s="1" t="s">
        <v>22</v>
      </c>
      <c r="F361" s="1" t="s">
        <v>49</v>
      </c>
      <c r="G361" s="2">
        <v>45223</v>
      </c>
      <c r="H361" s="2">
        <v>45276</v>
      </c>
      <c r="I361" s="1">
        <v>49053.8</v>
      </c>
      <c r="J361" s="1">
        <v>0.69269999999999998</v>
      </c>
      <c r="K361" s="1">
        <v>33979.57</v>
      </c>
      <c r="L361" s="1">
        <v>164228</v>
      </c>
      <c r="M361" s="1">
        <v>37143</v>
      </c>
      <c r="N361" s="1">
        <v>183493.23</v>
      </c>
      <c r="O361" s="1">
        <v>2023</v>
      </c>
      <c r="P361" s="1" t="s">
        <v>24</v>
      </c>
      <c r="Q361" s="1" t="s">
        <v>25</v>
      </c>
      <c r="R361" s="4" t="s">
        <v>26</v>
      </c>
      <c r="S361" s="25">
        <f>Table1[[#This Row],[Clicks]]/Table1[[#This Row],[Impressions]]</f>
        <v>0.22616727963562852</v>
      </c>
      <c r="T361" s="22">
        <f>Table1[[#This Row],[Sales]]/Table1[[#This Row],[USD_Spend]]</f>
        <v>5.4001045334005111</v>
      </c>
      <c r="U361" s="1" t="str">
        <f>Outlier_Check!C371</f>
        <v>Normal</v>
      </c>
    </row>
    <row r="362" spans="1:21" x14ac:dyDescent="0.35">
      <c r="A362" s="3" t="s">
        <v>106</v>
      </c>
      <c r="B362" s="1" t="s">
        <v>28</v>
      </c>
      <c r="C362" s="1" t="s">
        <v>36</v>
      </c>
      <c r="D362" s="1" t="s">
        <v>63</v>
      </c>
      <c r="E362" s="1" t="s">
        <v>30</v>
      </c>
      <c r="F362" s="1" t="s">
        <v>52</v>
      </c>
      <c r="G362" s="2">
        <v>45223</v>
      </c>
      <c r="H362" s="2">
        <v>45264</v>
      </c>
      <c r="I362" s="1">
        <v>14099.81</v>
      </c>
      <c r="J362" s="1">
        <v>1.0309999999999999</v>
      </c>
      <c r="K362" s="1">
        <v>14536.9</v>
      </c>
      <c r="L362" s="1">
        <v>953881</v>
      </c>
      <c r="M362" s="1">
        <v>44618</v>
      </c>
      <c r="N362" s="1">
        <v>204719.32</v>
      </c>
      <c r="O362" s="1">
        <v>2023</v>
      </c>
      <c r="P362" s="1" t="s">
        <v>24</v>
      </c>
      <c r="Q362" s="1" t="s">
        <v>25</v>
      </c>
      <c r="R362" s="4" t="s">
        <v>61</v>
      </c>
      <c r="S362" s="25">
        <f>Table1[[#This Row],[Clicks]]/Table1[[#This Row],[Impressions]]</f>
        <v>4.6775226679218899E-2</v>
      </c>
      <c r="T362" s="22">
        <f>Table1[[#This Row],[Sales]]/Table1[[#This Row],[USD_Spend]]</f>
        <v>14.082735658909398</v>
      </c>
      <c r="U362" s="1" t="str">
        <f>Outlier_Check!C372</f>
        <v>Normal</v>
      </c>
    </row>
    <row r="363" spans="1:21" x14ac:dyDescent="0.35">
      <c r="A363" s="3" t="s">
        <v>102</v>
      </c>
      <c r="B363" s="1" t="s">
        <v>35</v>
      </c>
      <c r="C363" s="1" t="s">
        <v>29</v>
      </c>
      <c r="D363" s="1" t="s">
        <v>51</v>
      </c>
      <c r="E363" s="1" t="s">
        <v>30</v>
      </c>
      <c r="F363" s="1" t="s">
        <v>52</v>
      </c>
      <c r="G363" s="2">
        <v>45224</v>
      </c>
      <c r="H363" s="2">
        <v>45271</v>
      </c>
      <c r="I363" s="1">
        <v>4300.78</v>
      </c>
      <c r="J363" s="1">
        <v>0.12690000000000001</v>
      </c>
      <c r="K363" s="1">
        <v>545.77</v>
      </c>
      <c r="L363" s="1">
        <v>770835</v>
      </c>
      <c r="M363" s="1">
        <v>38149</v>
      </c>
      <c r="N363" s="1">
        <v>124361.65</v>
      </c>
      <c r="O363" s="1">
        <v>2023</v>
      </c>
      <c r="P363" s="1" t="s">
        <v>24</v>
      </c>
      <c r="Q363" s="1" t="s">
        <v>25</v>
      </c>
      <c r="R363" s="4" t="s">
        <v>26</v>
      </c>
      <c r="S363" s="25">
        <f>Table1[[#This Row],[Clicks]]/Table1[[#This Row],[Impressions]]</f>
        <v>4.9490487588134943E-2</v>
      </c>
      <c r="T363" s="22">
        <f>Table1[[#This Row],[Sales]]/Table1[[#This Row],[USD_Spend]]</f>
        <v>227.86457665316891</v>
      </c>
      <c r="U363" s="1" t="str">
        <f>Outlier_Check!C373</f>
        <v>Normal</v>
      </c>
    </row>
    <row r="364" spans="1:21" x14ac:dyDescent="0.35">
      <c r="A364" s="3" t="s">
        <v>106</v>
      </c>
      <c r="B364" s="1" t="s">
        <v>35</v>
      </c>
      <c r="C364" s="1" t="s">
        <v>29</v>
      </c>
      <c r="D364" s="1" t="s">
        <v>43</v>
      </c>
      <c r="E364" s="1" t="s">
        <v>38</v>
      </c>
      <c r="F364" s="1" t="s">
        <v>31</v>
      </c>
      <c r="G364" s="2">
        <v>45224</v>
      </c>
      <c r="H364" s="2">
        <v>45258</v>
      </c>
      <c r="I364" s="1">
        <v>22430.42</v>
      </c>
      <c r="J364" s="1">
        <v>1.0895999999999999</v>
      </c>
      <c r="K364" s="1">
        <v>24440.19</v>
      </c>
      <c r="L364" s="1">
        <v>510811</v>
      </c>
      <c r="M364" s="1">
        <v>19786</v>
      </c>
      <c r="N364" s="1">
        <v>41408.6</v>
      </c>
      <c r="O364" s="1">
        <v>2023</v>
      </c>
      <c r="P364" s="1" t="s">
        <v>24</v>
      </c>
      <c r="Q364" s="1" t="s">
        <v>25</v>
      </c>
      <c r="R364" s="4" t="s">
        <v>26</v>
      </c>
      <c r="S364" s="25">
        <f>Table1[[#This Row],[Clicks]]/Table1[[#This Row],[Impressions]]</f>
        <v>3.8734483008392537E-2</v>
      </c>
      <c r="T364" s="22">
        <f>Table1[[#This Row],[Sales]]/Table1[[#This Row],[USD_Spend]]</f>
        <v>1.694283064084199</v>
      </c>
      <c r="U364" s="1" t="str">
        <f>Outlier_Check!C374</f>
        <v>Normal</v>
      </c>
    </row>
    <row r="365" spans="1:21" x14ac:dyDescent="0.35">
      <c r="A365" s="3" t="s">
        <v>95</v>
      </c>
      <c r="B365" s="1" t="s">
        <v>35</v>
      </c>
      <c r="C365" s="1" t="s">
        <v>69</v>
      </c>
      <c r="D365" s="1" t="s">
        <v>51</v>
      </c>
      <c r="E365" s="1" t="s">
        <v>38</v>
      </c>
      <c r="F365" s="1" t="s">
        <v>49</v>
      </c>
      <c r="G365" s="2">
        <v>45224</v>
      </c>
      <c r="H365" s="2">
        <v>45246</v>
      </c>
      <c r="I365" s="1">
        <v>25866.880000000001</v>
      </c>
      <c r="J365" s="1">
        <v>1.0689</v>
      </c>
      <c r="K365" s="1">
        <v>27649.11</v>
      </c>
      <c r="L365" s="1">
        <v>830854</v>
      </c>
      <c r="M365" s="1">
        <v>26904</v>
      </c>
      <c r="N365" s="1">
        <v>19896.8</v>
      </c>
      <c r="O365" s="1">
        <v>2023</v>
      </c>
      <c r="P365" s="1" t="s">
        <v>24</v>
      </c>
      <c r="Q365" s="1" t="s">
        <v>25</v>
      </c>
      <c r="R365" s="4" t="s">
        <v>54</v>
      </c>
      <c r="S365" s="25">
        <f>Table1[[#This Row],[Clicks]]/Table1[[#This Row],[Impressions]]</f>
        <v>3.2381140368825327E-2</v>
      </c>
      <c r="T365" s="22">
        <f>Table1[[#This Row],[Sales]]/Table1[[#This Row],[USD_Spend]]</f>
        <v>0.71961809982310454</v>
      </c>
      <c r="U365" s="1" t="str">
        <f>Outlier_Check!C375</f>
        <v>Normal</v>
      </c>
    </row>
    <row r="366" spans="1:21" x14ac:dyDescent="0.35">
      <c r="A366" s="3" t="s">
        <v>68</v>
      </c>
      <c r="B366" s="1" t="s">
        <v>35</v>
      </c>
      <c r="C366" s="1" t="s">
        <v>20</v>
      </c>
      <c r="D366" s="1" t="s">
        <v>37</v>
      </c>
      <c r="E366" s="1" t="s">
        <v>30</v>
      </c>
      <c r="F366" s="1" t="s">
        <v>44</v>
      </c>
      <c r="G366" s="2">
        <v>45225</v>
      </c>
      <c r="H366" s="2">
        <v>45258</v>
      </c>
      <c r="I366" s="1">
        <v>20503.95</v>
      </c>
      <c r="J366" s="1">
        <v>0.37240000000000001</v>
      </c>
      <c r="K366" s="1">
        <v>7635.67</v>
      </c>
      <c r="L366" s="1">
        <v>877823</v>
      </c>
      <c r="M366" s="1">
        <v>18837</v>
      </c>
      <c r="N366" s="1">
        <v>118030.06</v>
      </c>
      <c r="O366" s="1">
        <v>2023</v>
      </c>
      <c r="P366" s="1" t="s">
        <v>24</v>
      </c>
      <c r="Q366" s="1" t="s">
        <v>25</v>
      </c>
      <c r="R366" s="4" t="s">
        <v>61</v>
      </c>
      <c r="S366" s="25">
        <f>Table1[[#This Row],[Clicks]]/Table1[[#This Row],[Impressions]]</f>
        <v>2.1458767883730547E-2</v>
      </c>
      <c r="T366" s="22">
        <f>Table1[[#This Row],[Sales]]/Table1[[#This Row],[USD_Spend]]</f>
        <v>15.457721457318087</v>
      </c>
      <c r="U366" s="1" t="str">
        <f>Outlier_Check!C376</f>
        <v>Normal</v>
      </c>
    </row>
    <row r="367" spans="1:21" x14ac:dyDescent="0.35">
      <c r="A367" s="3" t="s">
        <v>95</v>
      </c>
      <c r="B367" s="1" t="s">
        <v>28</v>
      </c>
      <c r="C367" s="1" t="s">
        <v>20</v>
      </c>
      <c r="D367" s="1" t="s">
        <v>43</v>
      </c>
      <c r="E367" s="1" t="s">
        <v>22</v>
      </c>
      <c r="F367" s="1" t="s">
        <v>44</v>
      </c>
      <c r="G367" s="2">
        <v>45226</v>
      </c>
      <c r="H367" s="2">
        <v>45233</v>
      </c>
      <c r="I367" s="1">
        <v>14467.79</v>
      </c>
      <c r="J367" s="1">
        <v>0.64980000000000004</v>
      </c>
      <c r="K367" s="1">
        <v>9401.17</v>
      </c>
      <c r="L367" s="1">
        <v>186379</v>
      </c>
      <c r="M367" s="1">
        <v>30071</v>
      </c>
      <c r="N367" s="1">
        <v>143584.35999999999</v>
      </c>
      <c r="O367" s="1">
        <v>2023</v>
      </c>
      <c r="P367" s="1" t="s">
        <v>24</v>
      </c>
      <c r="Q367" s="1" t="s">
        <v>25</v>
      </c>
      <c r="R367" s="4" t="s">
        <v>26</v>
      </c>
      <c r="S367" s="25">
        <f>Table1[[#This Row],[Clicks]]/Table1[[#This Row],[Impressions]]</f>
        <v>0.16134328438289722</v>
      </c>
      <c r="T367" s="22">
        <f>Table1[[#This Row],[Sales]]/Table1[[#This Row],[USD_Spend]]</f>
        <v>15.273030909982479</v>
      </c>
      <c r="U367" s="1" t="str">
        <f>Outlier_Check!C377</f>
        <v>Normal</v>
      </c>
    </row>
    <row r="368" spans="1:21" x14ac:dyDescent="0.35">
      <c r="A368" s="3" t="s">
        <v>93</v>
      </c>
      <c r="B368" s="1" t="s">
        <v>48</v>
      </c>
      <c r="C368" s="1" t="s">
        <v>29</v>
      </c>
      <c r="D368" s="1" t="s">
        <v>51</v>
      </c>
      <c r="E368" s="1" t="s">
        <v>30</v>
      </c>
      <c r="F368" s="1" t="s">
        <v>31</v>
      </c>
      <c r="G368" s="2">
        <v>45231</v>
      </c>
      <c r="H368" s="2">
        <v>45291</v>
      </c>
      <c r="I368" s="1">
        <v>49966.32</v>
      </c>
      <c r="J368" s="1">
        <v>0.54520000000000002</v>
      </c>
      <c r="K368" s="1">
        <v>27241.64</v>
      </c>
      <c r="L368" s="1">
        <v>375509</v>
      </c>
      <c r="M368" s="1">
        <v>5800</v>
      </c>
      <c r="N368" s="1">
        <v>112572.13</v>
      </c>
      <c r="O368" s="1">
        <v>2023</v>
      </c>
      <c r="P368" s="1" t="s">
        <v>65</v>
      </c>
      <c r="Q368" s="1" t="s">
        <v>25</v>
      </c>
      <c r="R368" s="4" t="s">
        <v>54</v>
      </c>
      <c r="S368" s="25">
        <f>Table1[[#This Row],[Clicks]]/Table1[[#This Row],[Impressions]]</f>
        <v>1.5445701700891323E-2</v>
      </c>
      <c r="T368" s="22">
        <f>Table1[[#This Row],[Sales]]/Table1[[#This Row],[USD_Spend]]</f>
        <v>4.1323551005005577</v>
      </c>
      <c r="U368" s="1" t="str">
        <f>Outlier_Check!C378</f>
        <v>Normal</v>
      </c>
    </row>
    <row r="369" spans="1:21" x14ac:dyDescent="0.35">
      <c r="A369" s="3" t="s">
        <v>87</v>
      </c>
      <c r="B369" s="1" t="s">
        <v>48</v>
      </c>
      <c r="C369" s="1" t="s">
        <v>58</v>
      </c>
      <c r="D369" s="1" t="s">
        <v>59</v>
      </c>
      <c r="E369" s="1" t="s">
        <v>38</v>
      </c>
      <c r="F369" s="1" t="s">
        <v>49</v>
      </c>
      <c r="G369" s="2">
        <v>45232</v>
      </c>
      <c r="H369" s="2">
        <v>45285</v>
      </c>
      <c r="I369" s="1">
        <v>20109.349999999999</v>
      </c>
      <c r="J369" s="1">
        <v>1.0710999999999999</v>
      </c>
      <c r="K369" s="1">
        <v>21539.119999999999</v>
      </c>
      <c r="L369" s="1">
        <v>886325</v>
      </c>
      <c r="M369" s="1">
        <v>27560</v>
      </c>
      <c r="N369" s="1">
        <v>136864.04</v>
      </c>
      <c r="O369" s="1">
        <v>2023</v>
      </c>
      <c r="P369" s="1" t="s">
        <v>65</v>
      </c>
      <c r="Q369" s="1" t="s">
        <v>25</v>
      </c>
      <c r="R369" s="4" t="s">
        <v>54</v>
      </c>
      <c r="S369" s="25">
        <f>Table1[[#This Row],[Clicks]]/Table1[[#This Row],[Impressions]]</f>
        <v>3.1094688742842637E-2</v>
      </c>
      <c r="T369" s="22">
        <f>Table1[[#This Row],[Sales]]/Table1[[#This Row],[USD_Spend]]</f>
        <v>6.3542075999390883</v>
      </c>
      <c r="U369" s="1" t="str">
        <f>Outlier_Check!C379</f>
        <v>Normal</v>
      </c>
    </row>
    <row r="370" spans="1:21" x14ac:dyDescent="0.35">
      <c r="A370" s="3" t="s">
        <v>111</v>
      </c>
      <c r="B370" s="1" t="s">
        <v>48</v>
      </c>
      <c r="C370" s="1" t="s">
        <v>36</v>
      </c>
      <c r="D370" s="1" t="s">
        <v>59</v>
      </c>
      <c r="E370" s="1" t="s">
        <v>22</v>
      </c>
      <c r="F370" s="1" t="s">
        <v>52</v>
      </c>
      <c r="G370" s="2">
        <v>45234</v>
      </c>
      <c r="H370" s="2">
        <v>45293</v>
      </c>
      <c r="I370" s="1">
        <v>8717.76</v>
      </c>
      <c r="J370" s="1">
        <v>0.85440000000000005</v>
      </c>
      <c r="K370" s="1">
        <v>7448.45</v>
      </c>
      <c r="L370" s="1">
        <v>744233</v>
      </c>
      <c r="M370" s="1">
        <v>41892</v>
      </c>
      <c r="N370" s="1">
        <v>47652.3</v>
      </c>
      <c r="O370" s="1">
        <v>2023</v>
      </c>
      <c r="P370" s="1" t="s">
        <v>65</v>
      </c>
      <c r="Q370" s="1" t="s">
        <v>25</v>
      </c>
      <c r="R370" s="4" t="s">
        <v>54</v>
      </c>
      <c r="S370" s="25">
        <f>Table1[[#This Row],[Clicks]]/Table1[[#This Row],[Impressions]]</f>
        <v>5.6288823527040593E-2</v>
      </c>
      <c r="T370" s="22">
        <f>Table1[[#This Row],[Sales]]/Table1[[#This Row],[USD_Spend]]</f>
        <v>6.3976129261792725</v>
      </c>
      <c r="U370" s="1" t="str">
        <f>Outlier_Check!C380</f>
        <v>Normal</v>
      </c>
    </row>
    <row r="371" spans="1:21" x14ac:dyDescent="0.35">
      <c r="A371" s="3" t="s">
        <v>92</v>
      </c>
      <c r="B371" s="1" t="s">
        <v>48</v>
      </c>
      <c r="C371" s="1" t="s">
        <v>69</v>
      </c>
      <c r="D371" s="1" t="s">
        <v>21</v>
      </c>
      <c r="E371" s="1" t="s">
        <v>30</v>
      </c>
      <c r="F371" s="1" t="s">
        <v>23</v>
      </c>
      <c r="G371" s="2">
        <v>45234</v>
      </c>
      <c r="H371" s="2">
        <v>45255</v>
      </c>
      <c r="I371" s="1">
        <v>28544.78</v>
      </c>
      <c r="J371" s="1">
        <v>0.68569999999999998</v>
      </c>
      <c r="K371" s="1">
        <v>19573.16</v>
      </c>
      <c r="L371" s="1">
        <v>427754</v>
      </c>
      <c r="M371" s="1">
        <v>6586</v>
      </c>
      <c r="N371" s="1">
        <v>174183.08</v>
      </c>
      <c r="O371" s="1">
        <v>2023</v>
      </c>
      <c r="P371" s="1" t="s">
        <v>65</v>
      </c>
      <c r="Q371" s="1" t="s">
        <v>25</v>
      </c>
      <c r="R371" s="4" t="s">
        <v>54</v>
      </c>
      <c r="S371" s="25">
        <f>Table1[[#This Row],[Clicks]]/Table1[[#This Row],[Impressions]]</f>
        <v>1.5396699972414052E-2</v>
      </c>
      <c r="T371" s="22">
        <f>Table1[[#This Row],[Sales]]/Table1[[#This Row],[USD_Spend]]</f>
        <v>8.8990781253512452</v>
      </c>
      <c r="U371" s="1" t="str">
        <f>Outlier_Check!C381</f>
        <v>Normal</v>
      </c>
    </row>
    <row r="372" spans="1:21" x14ac:dyDescent="0.35">
      <c r="A372" s="3" t="s">
        <v>108</v>
      </c>
      <c r="B372" s="1" t="s">
        <v>48</v>
      </c>
      <c r="C372" s="1" t="s">
        <v>29</v>
      </c>
      <c r="D372" s="1" t="s">
        <v>51</v>
      </c>
      <c r="E372" s="1" t="s">
        <v>38</v>
      </c>
      <c r="F372" s="1" t="s">
        <v>23</v>
      </c>
      <c r="G372" s="2">
        <v>45235</v>
      </c>
      <c r="H372" s="2">
        <v>45282</v>
      </c>
      <c r="I372" s="1">
        <v>1503.35</v>
      </c>
      <c r="J372" s="1">
        <v>0.12479999999999999</v>
      </c>
      <c r="K372" s="1">
        <v>187.62</v>
      </c>
      <c r="L372" s="1">
        <v>139806</v>
      </c>
      <c r="M372" s="1">
        <v>39539</v>
      </c>
      <c r="N372" s="1">
        <v>55323.29</v>
      </c>
      <c r="O372" s="1">
        <v>2023</v>
      </c>
      <c r="P372" s="1" t="s">
        <v>65</v>
      </c>
      <c r="Q372" s="1" t="s">
        <v>25</v>
      </c>
      <c r="R372" s="4" t="s">
        <v>26</v>
      </c>
      <c r="S372" s="25">
        <f>Table1[[#This Row],[Clicks]]/Table1[[#This Row],[Impressions]]</f>
        <v>0.28281332703889678</v>
      </c>
      <c r="T372" s="22">
        <f>Table1[[#This Row],[Sales]]/Table1[[#This Row],[USD_Spend]]</f>
        <v>294.86883061507302</v>
      </c>
      <c r="U372" s="1" t="str">
        <f>Outlier_Check!C382</f>
        <v>Normal</v>
      </c>
    </row>
    <row r="373" spans="1:21" x14ac:dyDescent="0.35">
      <c r="A373" s="3" t="s">
        <v>109</v>
      </c>
      <c r="B373" s="1" t="s">
        <v>28</v>
      </c>
      <c r="C373" s="1" t="s">
        <v>58</v>
      </c>
      <c r="D373" s="1" t="s">
        <v>63</v>
      </c>
      <c r="E373" s="1" t="s">
        <v>22</v>
      </c>
      <c r="F373" s="1" t="s">
        <v>44</v>
      </c>
      <c r="G373" s="2">
        <v>45235</v>
      </c>
      <c r="H373" s="2">
        <v>45270</v>
      </c>
      <c r="I373" s="1">
        <v>37561.379999999997</v>
      </c>
      <c r="J373" s="1">
        <v>0.90539999999999998</v>
      </c>
      <c r="K373" s="1">
        <v>34008.07</v>
      </c>
      <c r="L373" s="1">
        <v>568388</v>
      </c>
      <c r="M373" s="1">
        <v>15413</v>
      </c>
      <c r="N373" s="1">
        <v>98051.19</v>
      </c>
      <c r="O373" s="1">
        <v>2023</v>
      </c>
      <c r="P373" s="1" t="s">
        <v>65</v>
      </c>
      <c r="Q373" s="1" t="s">
        <v>25</v>
      </c>
      <c r="R373" s="4" t="s">
        <v>54</v>
      </c>
      <c r="S373" s="25">
        <f>Table1[[#This Row],[Clicks]]/Table1[[#This Row],[Impressions]]</f>
        <v>2.7117039768608766E-2</v>
      </c>
      <c r="T373" s="22">
        <f>Table1[[#This Row],[Sales]]/Table1[[#This Row],[USD_Spend]]</f>
        <v>2.8831741995355809</v>
      </c>
      <c r="U373" s="1" t="str">
        <f>Outlier_Check!C383</f>
        <v>Normal</v>
      </c>
    </row>
    <row r="374" spans="1:21" x14ac:dyDescent="0.35">
      <c r="A374" s="3" t="s">
        <v>105</v>
      </c>
      <c r="B374" s="1" t="s">
        <v>28</v>
      </c>
      <c r="C374" s="1" t="s">
        <v>36</v>
      </c>
      <c r="D374" s="1" t="s">
        <v>59</v>
      </c>
      <c r="E374" s="1" t="s">
        <v>30</v>
      </c>
      <c r="F374" s="1" t="s">
        <v>49</v>
      </c>
      <c r="G374" s="2">
        <v>45235</v>
      </c>
      <c r="H374" s="2">
        <v>45259</v>
      </c>
      <c r="I374" s="1">
        <v>5194.3</v>
      </c>
      <c r="J374" s="1">
        <v>0.68430000000000002</v>
      </c>
      <c r="K374" s="1">
        <v>3554.46</v>
      </c>
      <c r="L374" s="1">
        <v>668840</v>
      </c>
      <c r="M374" s="1">
        <v>30322</v>
      </c>
      <c r="N374" s="1">
        <v>138728.51999999999</v>
      </c>
      <c r="O374" s="1">
        <v>2023</v>
      </c>
      <c r="P374" s="1" t="s">
        <v>65</v>
      </c>
      <c r="Q374" s="1" t="s">
        <v>25</v>
      </c>
      <c r="R374" s="4" t="s">
        <v>41</v>
      </c>
      <c r="S374" s="25">
        <f>Table1[[#This Row],[Clicks]]/Table1[[#This Row],[Impressions]]</f>
        <v>4.5335207224448296E-2</v>
      </c>
      <c r="T374" s="22">
        <f>Table1[[#This Row],[Sales]]/Table1[[#This Row],[USD_Spend]]</f>
        <v>39.029422190712509</v>
      </c>
      <c r="U374" s="1" t="str">
        <f>Outlier_Check!C384</f>
        <v>Normal</v>
      </c>
    </row>
    <row r="375" spans="1:21" x14ac:dyDescent="0.35">
      <c r="A375" s="3" t="s">
        <v>110</v>
      </c>
      <c r="B375" s="1" t="s">
        <v>35</v>
      </c>
      <c r="C375" s="1" t="s">
        <v>29</v>
      </c>
      <c r="D375" s="1" t="s">
        <v>43</v>
      </c>
      <c r="E375" s="1" t="s">
        <v>38</v>
      </c>
      <c r="F375" s="1" t="s">
        <v>31</v>
      </c>
      <c r="G375" s="2">
        <v>45236</v>
      </c>
      <c r="H375" s="2">
        <v>45266</v>
      </c>
      <c r="I375" s="1">
        <v>33891.839999999997</v>
      </c>
      <c r="J375" s="1">
        <v>0.16739999999999999</v>
      </c>
      <c r="K375" s="1">
        <v>5673.49</v>
      </c>
      <c r="L375" s="1">
        <v>945566</v>
      </c>
      <c r="M375" s="1">
        <v>36771</v>
      </c>
      <c r="N375" s="1">
        <v>15075.62</v>
      </c>
      <c r="O375" s="1">
        <v>2023</v>
      </c>
      <c r="P375" s="1" t="s">
        <v>65</v>
      </c>
      <c r="Q375" s="1" t="s">
        <v>25</v>
      </c>
      <c r="R375" s="4" t="s">
        <v>54</v>
      </c>
      <c r="S375" s="25">
        <f>Table1[[#This Row],[Clicks]]/Table1[[#This Row],[Impressions]]</f>
        <v>3.888781957050063E-2</v>
      </c>
      <c r="T375" s="22">
        <f>Table1[[#This Row],[Sales]]/Table1[[#This Row],[USD_Spend]]</f>
        <v>2.657203943251861</v>
      </c>
      <c r="U375" s="1" t="str">
        <f>Outlier_Check!C385</f>
        <v>Normal</v>
      </c>
    </row>
    <row r="376" spans="1:21" x14ac:dyDescent="0.35">
      <c r="A376" s="3" t="s">
        <v>70</v>
      </c>
      <c r="B376" s="1" t="s">
        <v>48</v>
      </c>
      <c r="C376" s="1" t="s">
        <v>69</v>
      </c>
      <c r="D376" s="1" t="s">
        <v>37</v>
      </c>
      <c r="E376" s="1" t="s">
        <v>30</v>
      </c>
      <c r="F376" s="1" t="s">
        <v>52</v>
      </c>
      <c r="G376" s="2">
        <v>45237</v>
      </c>
      <c r="H376" s="2">
        <v>45296</v>
      </c>
      <c r="I376" s="1">
        <v>11796.48</v>
      </c>
      <c r="J376" s="1">
        <v>0.8528</v>
      </c>
      <c r="K376" s="1">
        <v>10060.040000000001</v>
      </c>
      <c r="L376" s="1">
        <v>588972</v>
      </c>
      <c r="M376" s="1">
        <v>7905</v>
      </c>
      <c r="N376" s="1">
        <v>46921.73</v>
      </c>
      <c r="O376" s="1">
        <v>2023</v>
      </c>
      <c r="P376" s="1" t="s">
        <v>65</v>
      </c>
      <c r="Q376" s="1" t="s">
        <v>25</v>
      </c>
      <c r="R376" s="4" t="s">
        <v>41</v>
      </c>
      <c r="S376" s="25">
        <f>Table1[[#This Row],[Clicks]]/Table1[[#This Row],[Impressions]]</f>
        <v>1.3421690674599132E-2</v>
      </c>
      <c r="T376" s="22">
        <f>Table1[[#This Row],[Sales]]/Table1[[#This Row],[USD_Spend]]</f>
        <v>4.6641693273585396</v>
      </c>
      <c r="U376" s="1" t="str">
        <f>Outlier_Check!C386</f>
        <v>Normal</v>
      </c>
    </row>
    <row r="377" spans="1:21" x14ac:dyDescent="0.35">
      <c r="A377" s="3" t="s">
        <v>67</v>
      </c>
      <c r="B377" s="1" t="s">
        <v>19</v>
      </c>
      <c r="C377" s="1" t="s">
        <v>29</v>
      </c>
      <c r="D377" s="1" t="s">
        <v>43</v>
      </c>
      <c r="E377" s="1" t="s">
        <v>22</v>
      </c>
      <c r="F377" s="1" t="s">
        <v>23</v>
      </c>
      <c r="G377" s="2">
        <v>45239</v>
      </c>
      <c r="H377" s="2">
        <v>45270</v>
      </c>
      <c r="I377" s="1">
        <v>38758.339999999997</v>
      </c>
      <c r="J377" s="1">
        <v>1.0158</v>
      </c>
      <c r="K377" s="1">
        <v>39370.720000000001</v>
      </c>
      <c r="L377" s="1">
        <v>675506</v>
      </c>
      <c r="M377" s="1">
        <v>5308</v>
      </c>
      <c r="N377" s="1">
        <v>23789.84</v>
      </c>
      <c r="O377" s="1">
        <v>2023</v>
      </c>
      <c r="P377" s="1" t="s">
        <v>65</v>
      </c>
      <c r="Q377" s="1" t="s">
        <v>25</v>
      </c>
      <c r="R377" s="4" t="s">
        <v>41</v>
      </c>
      <c r="S377" s="25">
        <f>Table1[[#This Row],[Clicks]]/Table1[[#This Row],[Impressions]]</f>
        <v>7.8578132540643598E-3</v>
      </c>
      <c r="T377" s="22">
        <f>Table1[[#This Row],[Sales]]/Table1[[#This Row],[USD_Spend]]</f>
        <v>0.60425209394189383</v>
      </c>
      <c r="U377" s="1" t="str">
        <f>Outlier_Check!C387</f>
        <v>Normal</v>
      </c>
    </row>
    <row r="378" spans="1:21" x14ac:dyDescent="0.35">
      <c r="A378" s="3" t="s">
        <v>87</v>
      </c>
      <c r="B378" s="1" t="s">
        <v>35</v>
      </c>
      <c r="C378" s="1" t="s">
        <v>69</v>
      </c>
      <c r="D378" s="1" t="s">
        <v>51</v>
      </c>
      <c r="E378" s="1" t="s">
        <v>38</v>
      </c>
      <c r="F378" s="1" t="s">
        <v>31</v>
      </c>
      <c r="G378" s="2">
        <v>45240</v>
      </c>
      <c r="H378" s="2">
        <v>45287</v>
      </c>
      <c r="I378" s="1">
        <v>29496.22</v>
      </c>
      <c r="J378" s="1">
        <v>0.57320000000000004</v>
      </c>
      <c r="K378" s="1">
        <v>16907.23</v>
      </c>
      <c r="L378" s="1">
        <v>566711</v>
      </c>
      <c r="M378" s="1">
        <v>22628</v>
      </c>
      <c r="N378" s="1">
        <v>109248.43</v>
      </c>
      <c r="O378" s="1">
        <v>2023</v>
      </c>
      <c r="P378" s="1" t="s">
        <v>65</v>
      </c>
      <c r="Q378" s="1" t="s">
        <v>25</v>
      </c>
      <c r="R378" s="4" t="s">
        <v>41</v>
      </c>
      <c r="S378" s="25">
        <f>Table1[[#This Row],[Clicks]]/Table1[[#This Row],[Impressions]]</f>
        <v>3.9928640876919629E-2</v>
      </c>
      <c r="T378" s="22">
        <f>Table1[[#This Row],[Sales]]/Table1[[#This Row],[USD_Spend]]</f>
        <v>6.4616397836901722</v>
      </c>
      <c r="U378" s="1" t="str">
        <f>Outlier_Check!C388</f>
        <v>Normal</v>
      </c>
    </row>
    <row r="379" spans="1:21" x14ac:dyDescent="0.35">
      <c r="A379" s="3" t="s">
        <v>101</v>
      </c>
      <c r="B379" s="1" t="s">
        <v>28</v>
      </c>
      <c r="C379" s="1" t="s">
        <v>20</v>
      </c>
      <c r="D379" s="1" t="s">
        <v>37</v>
      </c>
      <c r="E379" s="1" t="s">
        <v>22</v>
      </c>
      <c r="F379" s="1" t="s">
        <v>44</v>
      </c>
      <c r="G379" s="2">
        <v>45241</v>
      </c>
      <c r="H379" s="2">
        <v>45292</v>
      </c>
      <c r="I379" s="1">
        <v>34736.42</v>
      </c>
      <c r="J379" s="1">
        <v>0.1615</v>
      </c>
      <c r="K379" s="1">
        <v>5609.93</v>
      </c>
      <c r="L379" s="1">
        <v>774234</v>
      </c>
      <c r="M379" s="1">
        <v>217</v>
      </c>
      <c r="N379" s="1">
        <v>237453.09</v>
      </c>
      <c r="O379" s="1">
        <v>2023</v>
      </c>
      <c r="P379" s="1" t="s">
        <v>65</v>
      </c>
      <c r="Q379" s="1" t="s">
        <v>25</v>
      </c>
      <c r="R379" s="4" t="s">
        <v>41</v>
      </c>
      <c r="S379" s="25">
        <f>Table1[[#This Row],[Clicks]]/Table1[[#This Row],[Impressions]]</f>
        <v>2.8027702219225715E-4</v>
      </c>
      <c r="T379" s="22">
        <f>Table1[[#This Row],[Sales]]/Table1[[#This Row],[USD_Spend]]</f>
        <v>42.327282158600909</v>
      </c>
      <c r="U379" s="1" t="str">
        <f>Outlier_Check!C389</f>
        <v>Normal</v>
      </c>
    </row>
    <row r="380" spans="1:21" x14ac:dyDescent="0.35">
      <c r="A380" s="3" t="s">
        <v>86</v>
      </c>
      <c r="B380" s="1" t="s">
        <v>28</v>
      </c>
      <c r="C380" s="1" t="s">
        <v>36</v>
      </c>
      <c r="D380" s="1" t="s">
        <v>21</v>
      </c>
      <c r="E380" s="1" t="s">
        <v>22</v>
      </c>
      <c r="F380" s="1" t="s">
        <v>31</v>
      </c>
      <c r="G380" s="2">
        <v>45241</v>
      </c>
      <c r="H380" s="2">
        <v>45282</v>
      </c>
      <c r="I380" s="1">
        <v>33378.050000000003</v>
      </c>
      <c r="J380" s="1">
        <v>1.0047999999999999</v>
      </c>
      <c r="K380" s="1">
        <v>33538.26</v>
      </c>
      <c r="L380" s="1">
        <v>898765</v>
      </c>
      <c r="M380" s="1">
        <v>11816</v>
      </c>
      <c r="N380" s="1">
        <v>113733.13</v>
      </c>
      <c r="O380" s="1">
        <v>2023</v>
      </c>
      <c r="P380" s="1" t="s">
        <v>65</v>
      </c>
      <c r="Q380" s="1" t="s">
        <v>25</v>
      </c>
      <c r="R380" s="4" t="s">
        <v>54</v>
      </c>
      <c r="S380" s="25">
        <f>Table1[[#This Row],[Clicks]]/Table1[[#This Row],[Impressions]]</f>
        <v>1.314692939756221E-2</v>
      </c>
      <c r="T380" s="22">
        <f>Table1[[#This Row],[Sales]]/Table1[[#This Row],[USD_Spend]]</f>
        <v>3.3911458137661286</v>
      </c>
      <c r="U380" s="1" t="str">
        <f>Outlier_Check!C390</f>
        <v>Normal</v>
      </c>
    </row>
    <row r="381" spans="1:21" x14ac:dyDescent="0.35">
      <c r="A381" s="3" t="s">
        <v>93</v>
      </c>
      <c r="B381" s="1" t="s">
        <v>28</v>
      </c>
      <c r="C381" s="1" t="s">
        <v>20</v>
      </c>
      <c r="D381" s="1" t="s">
        <v>59</v>
      </c>
      <c r="E381" s="1" t="s">
        <v>22</v>
      </c>
      <c r="F381" s="1" t="s">
        <v>49</v>
      </c>
      <c r="G381" s="2">
        <v>45242</v>
      </c>
      <c r="H381" s="2">
        <v>45288</v>
      </c>
      <c r="I381" s="1">
        <v>49388.58</v>
      </c>
      <c r="J381" s="1">
        <v>9.4799999999999995E-2</v>
      </c>
      <c r="K381" s="1">
        <v>4682.04</v>
      </c>
      <c r="L381" s="1">
        <v>937989</v>
      </c>
      <c r="M381" s="1">
        <v>2644</v>
      </c>
      <c r="N381" s="1">
        <v>248155.75</v>
      </c>
      <c r="O381" s="1">
        <v>2023</v>
      </c>
      <c r="P381" s="1" t="s">
        <v>65</v>
      </c>
      <c r="Q381" s="1" t="s">
        <v>25</v>
      </c>
      <c r="R381" s="4" t="s">
        <v>41</v>
      </c>
      <c r="S381" s="25">
        <f>Table1[[#This Row],[Clicks]]/Table1[[#This Row],[Impressions]]</f>
        <v>2.8187963824735686E-3</v>
      </c>
      <c r="T381" s="22">
        <f>Table1[[#This Row],[Sales]]/Table1[[#This Row],[USD_Spend]]</f>
        <v>53.001629631528139</v>
      </c>
      <c r="U381" s="1" t="str">
        <f>Outlier_Check!C391</f>
        <v>Normal</v>
      </c>
    </row>
    <row r="382" spans="1:21" x14ac:dyDescent="0.35">
      <c r="A382" s="3" t="s">
        <v>55</v>
      </c>
      <c r="B382" s="1" t="s">
        <v>48</v>
      </c>
      <c r="C382" s="1" t="s">
        <v>36</v>
      </c>
      <c r="D382" s="1" t="s">
        <v>37</v>
      </c>
      <c r="E382" s="1" t="s">
        <v>30</v>
      </c>
      <c r="F382" s="1" t="s">
        <v>31</v>
      </c>
      <c r="G382" s="2">
        <v>45243</v>
      </c>
      <c r="H382" s="2">
        <v>45262</v>
      </c>
      <c r="I382" s="1">
        <v>13122.43</v>
      </c>
      <c r="J382" s="1">
        <v>0.34820000000000001</v>
      </c>
      <c r="K382" s="1">
        <v>4569.2299999999996</v>
      </c>
      <c r="L382" s="1">
        <v>666912</v>
      </c>
      <c r="M382" s="1">
        <v>8384</v>
      </c>
      <c r="N382" s="1">
        <v>37162.89</v>
      </c>
      <c r="O382" s="1">
        <v>2023</v>
      </c>
      <c r="P382" s="1" t="s">
        <v>65</v>
      </c>
      <c r="Q382" s="1" t="s">
        <v>25</v>
      </c>
      <c r="R382" s="4" t="s">
        <v>41</v>
      </c>
      <c r="S382" s="25">
        <f>Table1[[#This Row],[Clicks]]/Table1[[#This Row],[Impressions]]</f>
        <v>1.2571373734465716E-2</v>
      </c>
      <c r="T382" s="22">
        <f>Table1[[#This Row],[Sales]]/Table1[[#This Row],[USD_Spend]]</f>
        <v>8.133293793483805</v>
      </c>
      <c r="U382" s="1" t="str">
        <f>Outlier_Check!C392</f>
        <v>Normal</v>
      </c>
    </row>
    <row r="383" spans="1:21" x14ac:dyDescent="0.35">
      <c r="A383" s="3" t="s">
        <v>79</v>
      </c>
      <c r="B383" s="1" t="s">
        <v>48</v>
      </c>
      <c r="C383" s="1" t="s">
        <v>20</v>
      </c>
      <c r="D383" s="1" t="s">
        <v>51</v>
      </c>
      <c r="E383" s="1" t="s">
        <v>30</v>
      </c>
      <c r="F383" s="1" t="s">
        <v>49</v>
      </c>
      <c r="G383" s="2">
        <v>45244</v>
      </c>
      <c r="H383" s="2">
        <v>45276</v>
      </c>
      <c r="I383" s="1">
        <v>41076.910000000003</v>
      </c>
      <c r="J383" s="1">
        <v>0.80110000000000003</v>
      </c>
      <c r="K383" s="1">
        <v>32906.71</v>
      </c>
      <c r="L383" s="1">
        <v>176494</v>
      </c>
      <c r="M383" s="1">
        <v>39664</v>
      </c>
      <c r="N383" s="1">
        <v>145897.39000000001</v>
      </c>
      <c r="O383" s="1">
        <v>2023</v>
      </c>
      <c r="P383" s="1" t="s">
        <v>65</v>
      </c>
      <c r="Q383" s="1" t="s">
        <v>25</v>
      </c>
      <c r="R383" s="4" t="s">
        <v>41</v>
      </c>
      <c r="S383" s="25">
        <f>Table1[[#This Row],[Clicks]]/Table1[[#This Row],[Impressions]]</f>
        <v>0.22473285210828697</v>
      </c>
      <c r="T383" s="22">
        <f>Table1[[#This Row],[Sales]]/Table1[[#This Row],[USD_Spend]]</f>
        <v>4.4336668721971906</v>
      </c>
      <c r="U383" s="1" t="str">
        <f>Outlier_Check!C393</f>
        <v>Normal</v>
      </c>
    </row>
    <row r="384" spans="1:21" x14ac:dyDescent="0.35">
      <c r="A384" s="3" t="s">
        <v>111</v>
      </c>
      <c r="B384" s="1" t="s">
        <v>48</v>
      </c>
      <c r="C384" s="1" t="s">
        <v>20</v>
      </c>
      <c r="D384" s="1" t="s">
        <v>51</v>
      </c>
      <c r="E384" s="1" t="s">
        <v>30</v>
      </c>
      <c r="F384" s="1" t="s">
        <v>44</v>
      </c>
      <c r="G384" s="2">
        <v>45245</v>
      </c>
      <c r="H384" s="2">
        <v>45253</v>
      </c>
      <c r="I384" s="1">
        <v>29912.93</v>
      </c>
      <c r="J384" s="1">
        <v>0.2359</v>
      </c>
      <c r="K384" s="1">
        <v>7056.46</v>
      </c>
      <c r="L384" s="1">
        <v>417000</v>
      </c>
      <c r="M384" s="1">
        <v>27867</v>
      </c>
      <c r="N384" s="1">
        <v>83312.53</v>
      </c>
      <c r="O384" s="1">
        <v>2023</v>
      </c>
      <c r="P384" s="1" t="s">
        <v>65</v>
      </c>
      <c r="Q384" s="1" t="s">
        <v>25</v>
      </c>
      <c r="R384" s="4" t="s">
        <v>61</v>
      </c>
      <c r="S384" s="25">
        <f>Table1[[#This Row],[Clicks]]/Table1[[#This Row],[Impressions]]</f>
        <v>6.68273381294964E-2</v>
      </c>
      <c r="T384" s="22">
        <f>Table1[[#This Row],[Sales]]/Table1[[#This Row],[USD_Spend]]</f>
        <v>11.806561647058157</v>
      </c>
      <c r="U384" s="1" t="str">
        <f>Outlier_Check!C394</f>
        <v>Normal</v>
      </c>
    </row>
    <row r="385" spans="1:21" x14ac:dyDescent="0.35">
      <c r="A385" s="3" t="s">
        <v>57</v>
      </c>
      <c r="B385" s="1" t="s">
        <v>48</v>
      </c>
      <c r="C385" s="1" t="s">
        <v>69</v>
      </c>
      <c r="D385" s="1" t="s">
        <v>21</v>
      </c>
      <c r="E385" s="1" t="s">
        <v>38</v>
      </c>
      <c r="F385" s="1" t="s">
        <v>49</v>
      </c>
      <c r="G385" s="2">
        <v>45248</v>
      </c>
      <c r="H385" s="2">
        <v>45264</v>
      </c>
      <c r="I385" s="1">
        <v>48264.160000000003</v>
      </c>
      <c r="J385" s="1">
        <v>1.1628000000000001</v>
      </c>
      <c r="K385" s="1">
        <v>56121.57</v>
      </c>
      <c r="L385" s="1">
        <v>315605</v>
      </c>
      <c r="M385" s="1">
        <v>48260</v>
      </c>
      <c r="N385" s="1">
        <v>175264.65</v>
      </c>
      <c r="O385" s="1">
        <v>2023</v>
      </c>
      <c r="P385" s="1" t="s">
        <v>65</v>
      </c>
      <c r="Q385" s="1" t="s">
        <v>25</v>
      </c>
      <c r="R385" s="4" t="s">
        <v>41</v>
      </c>
      <c r="S385" s="25">
        <f>Table1[[#This Row],[Clicks]]/Table1[[#This Row],[Impressions]]</f>
        <v>0.15291265981210692</v>
      </c>
      <c r="T385" s="22">
        <f>Table1[[#This Row],[Sales]]/Table1[[#This Row],[USD_Spend]]</f>
        <v>3.1229463110173148</v>
      </c>
      <c r="U385" s="1" t="str">
        <f>Outlier_Check!C395</f>
        <v>Outlier</v>
      </c>
    </row>
    <row r="386" spans="1:21" x14ac:dyDescent="0.35">
      <c r="A386" s="3" t="s">
        <v>113</v>
      </c>
      <c r="B386" s="1" t="s">
        <v>35</v>
      </c>
      <c r="C386" s="1" t="s">
        <v>29</v>
      </c>
      <c r="D386" s="1" t="s">
        <v>21</v>
      </c>
      <c r="E386" s="1" t="s">
        <v>38</v>
      </c>
      <c r="F386" s="1" t="s">
        <v>52</v>
      </c>
      <c r="G386" s="2">
        <v>45249</v>
      </c>
      <c r="H386" s="2">
        <v>45308</v>
      </c>
      <c r="I386" s="1">
        <v>19440.490000000002</v>
      </c>
      <c r="J386" s="1">
        <v>0.55700000000000005</v>
      </c>
      <c r="K386" s="1">
        <v>10828.35</v>
      </c>
      <c r="L386" s="1">
        <v>44455</v>
      </c>
      <c r="M386" s="1">
        <v>11691</v>
      </c>
      <c r="N386" s="1">
        <v>141383.29999999999</v>
      </c>
      <c r="O386" s="1">
        <v>2023</v>
      </c>
      <c r="P386" s="1" t="s">
        <v>65</v>
      </c>
      <c r="Q386" s="1" t="s">
        <v>25</v>
      </c>
      <c r="R386" s="4" t="s">
        <v>41</v>
      </c>
      <c r="S386" s="25">
        <f>Table1[[#This Row],[Clicks]]/Table1[[#This Row],[Impressions]]</f>
        <v>0.26298504105274995</v>
      </c>
      <c r="T386" s="22">
        <f>Table1[[#This Row],[Sales]]/Table1[[#This Row],[USD_Spend]]</f>
        <v>13.056772269089933</v>
      </c>
      <c r="U386" s="1" t="str">
        <f>Outlier_Check!C396</f>
        <v>Normal</v>
      </c>
    </row>
    <row r="387" spans="1:21" x14ac:dyDescent="0.35">
      <c r="A387" s="3" t="s">
        <v>91</v>
      </c>
      <c r="B387" s="1" t="s">
        <v>19</v>
      </c>
      <c r="C387" s="1" t="s">
        <v>36</v>
      </c>
      <c r="D387" s="1" t="s">
        <v>59</v>
      </c>
      <c r="E387" s="1" t="s">
        <v>30</v>
      </c>
      <c r="F387" s="1" t="s">
        <v>31</v>
      </c>
      <c r="G387" s="2">
        <v>45250</v>
      </c>
      <c r="H387" s="2">
        <v>45286</v>
      </c>
      <c r="I387" s="1">
        <v>43471.86</v>
      </c>
      <c r="J387" s="1">
        <v>0.64259999999999995</v>
      </c>
      <c r="K387" s="1">
        <v>27935.02</v>
      </c>
      <c r="L387" s="1">
        <v>205472</v>
      </c>
      <c r="M387" s="1">
        <v>13133</v>
      </c>
      <c r="N387" s="1">
        <v>127659.45</v>
      </c>
      <c r="O387" s="1">
        <v>2023</v>
      </c>
      <c r="P387" s="1" t="s">
        <v>65</v>
      </c>
      <c r="Q387" s="1" t="s">
        <v>25</v>
      </c>
      <c r="R387" s="4" t="s">
        <v>41</v>
      </c>
      <c r="S387" s="25">
        <f>Table1[[#This Row],[Clicks]]/Table1[[#This Row],[Impressions]]</f>
        <v>6.3916251362716087E-2</v>
      </c>
      <c r="T387" s="22">
        <f>Table1[[#This Row],[Sales]]/Table1[[#This Row],[USD_Spend]]</f>
        <v>4.5698714373571239</v>
      </c>
      <c r="U387" s="1" t="str">
        <f>Outlier_Check!C397</f>
        <v>Normal</v>
      </c>
    </row>
    <row r="388" spans="1:21" x14ac:dyDescent="0.35">
      <c r="A388" s="3" t="s">
        <v>119</v>
      </c>
      <c r="B388" s="1" t="s">
        <v>35</v>
      </c>
      <c r="C388" s="1" t="s">
        <v>20</v>
      </c>
      <c r="D388" s="1" t="s">
        <v>43</v>
      </c>
      <c r="E388" s="1" t="s">
        <v>38</v>
      </c>
      <c r="F388" s="1" t="s">
        <v>49</v>
      </c>
      <c r="G388" s="2">
        <v>45251</v>
      </c>
      <c r="H388" s="2">
        <v>45297</v>
      </c>
      <c r="I388" s="1">
        <v>15276.46</v>
      </c>
      <c r="J388" s="1">
        <v>0.32829999999999998</v>
      </c>
      <c r="K388" s="1">
        <v>5015.26</v>
      </c>
      <c r="L388" s="1">
        <v>685958</v>
      </c>
      <c r="M388" s="1">
        <v>26016</v>
      </c>
      <c r="N388" s="1">
        <v>71455.78</v>
      </c>
      <c r="O388" s="1">
        <v>2023</v>
      </c>
      <c r="P388" s="1" t="s">
        <v>65</v>
      </c>
      <c r="Q388" s="1" t="s">
        <v>25</v>
      </c>
      <c r="R388" s="4" t="s">
        <v>61</v>
      </c>
      <c r="S388" s="25">
        <f>Table1[[#This Row],[Clicks]]/Table1[[#This Row],[Impressions]]</f>
        <v>3.79265202825829E-2</v>
      </c>
      <c r="T388" s="22">
        <f>Table1[[#This Row],[Sales]]/Table1[[#This Row],[USD_Spend]]</f>
        <v>14.247672104736344</v>
      </c>
      <c r="U388" s="1" t="str">
        <f>Outlier_Check!C398</f>
        <v>Normal</v>
      </c>
    </row>
    <row r="389" spans="1:21" x14ac:dyDescent="0.35">
      <c r="A389" s="3" t="s">
        <v>86</v>
      </c>
      <c r="B389" s="1" t="s">
        <v>28</v>
      </c>
      <c r="C389" s="1" t="s">
        <v>69</v>
      </c>
      <c r="D389" s="1" t="s">
        <v>51</v>
      </c>
      <c r="E389" s="1" t="s">
        <v>22</v>
      </c>
      <c r="F389" s="1" t="s">
        <v>31</v>
      </c>
      <c r="G389" s="2">
        <v>45251</v>
      </c>
      <c r="H389" s="2">
        <v>45291</v>
      </c>
      <c r="I389" s="1">
        <v>39639.53</v>
      </c>
      <c r="J389" s="1">
        <v>0.91049999999999998</v>
      </c>
      <c r="K389" s="1">
        <v>36091.79</v>
      </c>
      <c r="L389" s="1">
        <v>854654</v>
      </c>
      <c r="M389" s="1">
        <v>28851</v>
      </c>
      <c r="N389" s="1">
        <v>184631.26</v>
      </c>
      <c r="O389" s="1">
        <v>2023</v>
      </c>
      <c r="P389" s="1" t="s">
        <v>65</v>
      </c>
      <c r="Q389" s="1" t="s">
        <v>25</v>
      </c>
      <c r="R389" s="4" t="s">
        <v>26</v>
      </c>
      <c r="S389" s="25">
        <f>Table1[[#This Row],[Clicks]]/Table1[[#This Row],[Impressions]]</f>
        <v>3.3757520587278593E-2</v>
      </c>
      <c r="T389" s="22">
        <f>Table1[[#This Row],[Sales]]/Table1[[#This Row],[USD_Spend]]</f>
        <v>5.1156027451118389</v>
      </c>
      <c r="U389" s="1" t="str">
        <f>Outlier_Check!C399</f>
        <v>Normal</v>
      </c>
    </row>
    <row r="390" spans="1:21" x14ac:dyDescent="0.35">
      <c r="A390" s="3" t="s">
        <v>66</v>
      </c>
      <c r="B390" s="1" t="s">
        <v>28</v>
      </c>
      <c r="C390" s="1" t="s">
        <v>69</v>
      </c>
      <c r="D390" s="1" t="s">
        <v>21</v>
      </c>
      <c r="E390" s="1" t="s">
        <v>38</v>
      </c>
      <c r="F390" s="1" t="s">
        <v>23</v>
      </c>
      <c r="G390" s="2">
        <v>45252</v>
      </c>
      <c r="H390" s="2">
        <v>45295</v>
      </c>
      <c r="I390" s="1">
        <v>30648.81</v>
      </c>
      <c r="J390" s="1">
        <v>1.1326000000000001</v>
      </c>
      <c r="K390" s="1">
        <v>34712.839999999997</v>
      </c>
      <c r="L390" s="1">
        <v>962575</v>
      </c>
      <c r="M390" s="1">
        <v>43797</v>
      </c>
      <c r="N390" s="1">
        <v>93460.89</v>
      </c>
      <c r="O390" s="1">
        <v>2023</v>
      </c>
      <c r="P390" s="1" t="s">
        <v>65</v>
      </c>
      <c r="Q390" s="1" t="s">
        <v>25</v>
      </c>
      <c r="R390" s="4" t="s">
        <v>41</v>
      </c>
      <c r="S390" s="25">
        <f>Table1[[#This Row],[Clicks]]/Table1[[#This Row],[Impressions]]</f>
        <v>4.549983118198582E-2</v>
      </c>
      <c r="T390" s="22">
        <f>Table1[[#This Row],[Sales]]/Table1[[#This Row],[USD_Spend]]</f>
        <v>2.692401140327326</v>
      </c>
      <c r="U390" s="1" t="str">
        <f>Outlier_Check!C400</f>
        <v>Normal</v>
      </c>
    </row>
    <row r="391" spans="1:21" x14ac:dyDescent="0.35">
      <c r="A391" s="3" t="s">
        <v>18</v>
      </c>
      <c r="B391" s="1" t="s">
        <v>28</v>
      </c>
      <c r="C391" s="1" t="s">
        <v>20</v>
      </c>
      <c r="D391" s="1" t="s">
        <v>59</v>
      </c>
      <c r="E391" s="1" t="s">
        <v>30</v>
      </c>
      <c r="F391" s="1" t="s">
        <v>31</v>
      </c>
      <c r="G391" s="2">
        <v>45255</v>
      </c>
      <c r="H391" s="2">
        <v>45306</v>
      </c>
      <c r="I391" s="1">
        <v>4103.75</v>
      </c>
      <c r="J391" s="1">
        <v>1.1609</v>
      </c>
      <c r="K391" s="1">
        <v>4764.04</v>
      </c>
      <c r="L391" s="1">
        <v>868835</v>
      </c>
      <c r="M391" s="1">
        <v>25494</v>
      </c>
      <c r="N391" s="1">
        <v>51518.02</v>
      </c>
      <c r="O391" s="1">
        <v>2023</v>
      </c>
      <c r="P391" s="1" t="s">
        <v>65</v>
      </c>
      <c r="Q391" s="1" t="s">
        <v>25</v>
      </c>
      <c r="R391" s="4" t="s">
        <v>41</v>
      </c>
      <c r="S391" s="25">
        <f>Table1[[#This Row],[Clicks]]/Table1[[#This Row],[Impressions]]</f>
        <v>2.9342740566390628E-2</v>
      </c>
      <c r="T391" s="22">
        <f>Table1[[#This Row],[Sales]]/Table1[[#This Row],[USD_Spend]]</f>
        <v>10.813935231442221</v>
      </c>
      <c r="U391" s="1" t="str">
        <f>Outlier_Check!C401</f>
        <v>Normal</v>
      </c>
    </row>
    <row r="392" spans="1:21" x14ac:dyDescent="0.35">
      <c r="A392" s="3" t="s">
        <v>68</v>
      </c>
      <c r="B392" s="1" t="s">
        <v>48</v>
      </c>
      <c r="C392" s="1" t="s">
        <v>58</v>
      </c>
      <c r="D392" s="1" t="s">
        <v>63</v>
      </c>
      <c r="E392" s="1" t="s">
        <v>38</v>
      </c>
      <c r="F392" s="1" t="s">
        <v>23</v>
      </c>
      <c r="G392" s="2">
        <v>45255</v>
      </c>
      <c r="H392" s="2">
        <v>45266</v>
      </c>
      <c r="I392" s="1">
        <v>4923.38</v>
      </c>
      <c r="J392" s="1">
        <v>0.79649999999999999</v>
      </c>
      <c r="K392" s="1">
        <v>3921.47</v>
      </c>
      <c r="L392" s="1">
        <v>331384</v>
      </c>
      <c r="M392" s="1">
        <v>29323</v>
      </c>
      <c r="N392" s="1">
        <v>152642.29999999999</v>
      </c>
      <c r="O392" s="1">
        <v>2023</v>
      </c>
      <c r="P392" s="1" t="s">
        <v>65</v>
      </c>
      <c r="Q392" s="1" t="s">
        <v>25</v>
      </c>
      <c r="R392" s="4" t="s">
        <v>41</v>
      </c>
      <c r="S392" s="25">
        <f>Table1[[#This Row],[Clicks]]/Table1[[#This Row],[Impressions]]</f>
        <v>8.8486468869951471E-2</v>
      </c>
      <c r="T392" s="22">
        <f>Table1[[#This Row],[Sales]]/Table1[[#This Row],[USD_Spend]]</f>
        <v>38.924765457851265</v>
      </c>
      <c r="U392" s="1" t="str">
        <f>Outlier_Check!C402</f>
        <v>Normal</v>
      </c>
    </row>
    <row r="393" spans="1:21" x14ac:dyDescent="0.35">
      <c r="A393" s="3" t="s">
        <v>97</v>
      </c>
      <c r="B393" s="1" t="s">
        <v>35</v>
      </c>
      <c r="C393" s="1" t="s">
        <v>29</v>
      </c>
      <c r="D393" s="1" t="s">
        <v>51</v>
      </c>
      <c r="E393" s="1" t="s">
        <v>38</v>
      </c>
      <c r="F393" s="1" t="s">
        <v>23</v>
      </c>
      <c r="G393" s="2">
        <v>45255</v>
      </c>
      <c r="H393" s="2">
        <v>45261</v>
      </c>
      <c r="I393" s="1">
        <v>8455.32</v>
      </c>
      <c r="J393" s="1">
        <v>1.1639999999999999</v>
      </c>
      <c r="K393" s="1">
        <v>9841.99</v>
      </c>
      <c r="L393" s="1">
        <v>33205</v>
      </c>
      <c r="M393" s="1">
        <v>12285</v>
      </c>
      <c r="N393" s="1">
        <v>243221.49</v>
      </c>
      <c r="O393" s="1">
        <v>2023</v>
      </c>
      <c r="P393" s="1" t="s">
        <v>65</v>
      </c>
      <c r="Q393" s="1" t="s">
        <v>25</v>
      </c>
      <c r="R393" s="4" t="s">
        <v>61</v>
      </c>
      <c r="S393" s="25">
        <f>Table1[[#This Row],[Clicks]]/Table1[[#This Row],[Impressions]]</f>
        <v>0.36997440144556543</v>
      </c>
      <c r="T393" s="22">
        <f>Table1[[#This Row],[Sales]]/Table1[[#This Row],[USD_Spend]]</f>
        <v>24.712633319074698</v>
      </c>
      <c r="U393" s="1" t="str">
        <f>Outlier_Check!C403</f>
        <v>Normal</v>
      </c>
    </row>
    <row r="394" spans="1:21" x14ac:dyDescent="0.35">
      <c r="A394" s="3" t="s">
        <v>91</v>
      </c>
      <c r="B394" s="1" t="s">
        <v>28</v>
      </c>
      <c r="C394" s="1" t="s">
        <v>69</v>
      </c>
      <c r="D394" s="1" t="s">
        <v>37</v>
      </c>
      <c r="E394" s="1" t="s">
        <v>38</v>
      </c>
      <c r="F394" s="1" t="s">
        <v>31</v>
      </c>
      <c r="G394" s="2">
        <v>45257</v>
      </c>
      <c r="H394" s="2">
        <v>45316</v>
      </c>
      <c r="I394" s="1">
        <v>13029.26</v>
      </c>
      <c r="J394" s="1">
        <v>1.1222000000000001</v>
      </c>
      <c r="K394" s="1">
        <v>14621.44</v>
      </c>
      <c r="L394" s="1">
        <v>302477</v>
      </c>
      <c r="M394" s="1">
        <v>29643</v>
      </c>
      <c r="N394" s="1">
        <v>64746.54</v>
      </c>
      <c r="O394" s="1">
        <v>2023</v>
      </c>
      <c r="P394" s="1" t="s">
        <v>65</v>
      </c>
      <c r="Q394" s="1" t="s">
        <v>25</v>
      </c>
      <c r="R394" s="4" t="s">
        <v>61</v>
      </c>
      <c r="S394" s="25">
        <f>Table1[[#This Row],[Clicks]]/Table1[[#This Row],[Impressions]]</f>
        <v>9.800083973326898E-2</v>
      </c>
      <c r="T394" s="22">
        <f>Table1[[#This Row],[Sales]]/Table1[[#This Row],[USD_Spend]]</f>
        <v>4.4281917512912541</v>
      </c>
      <c r="U394" s="1" t="str">
        <f>Outlier_Check!C404</f>
        <v>Normal</v>
      </c>
    </row>
    <row r="395" spans="1:21" x14ac:dyDescent="0.35">
      <c r="A395" s="3" t="s">
        <v>57</v>
      </c>
      <c r="B395" s="1" t="s">
        <v>35</v>
      </c>
      <c r="C395" s="1" t="s">
        <v>29</v>
      </c>
      <c r="D395" s="1" t="s">
        <v>43</v>
      </c>
      <c r="E395" s="1" t="s">
        <v>38</v>
      </c>
      <c r="F395" s="1" t="s">
        <v>31</v>
      </c>
      <c r="G395" s="2">
        <v>45257</v>
      </c>
      <c r="H395" s="2">
        <v>45298</v>
      </c>
      <c r="I395" s="1">
        <v>5788.56</v>
      </c>
      <c r="J395" s="1">
        <v>0.59109999999999996</v>
      </c>
      <c r="K395" s="1">
        <v>3421.62</v>
      </c>
      <c r="L395" s="1">
        <v>734423</v>
      </c>
      <c r="M395" s="1">
        <v>44344</v>
      </c>
      <c r="N395" s="1">
        <v>55447.54</v>
      </c>
      <c r="O395" s="1">
        <v>2023</v>
      </c>
      <c r="P395" s="1" t="s">
        <v>65</v>
      </c>
      <c r="Q395" s="1" t="s">
        <v>25</v>
      </c>
      <c r="R395" s="4" t="s">
        <v>54</v>
      </c>
      <c r="S395" s="25">
        <f>Table1[[#This Row],[Clicks]]/Table1[[#This Row],[Impressions]]</f>
        <v>6.0379372650366345E-2</v>
      </c>
      <c r="T395" s="22">
        <f>Table1[[#This Row],[Sales]]/Table1[[#This Row],[USD_Spend]]</f>
        <v>16.205054915507858</v>
      </c>
      <c r="U395" s="1" t="str">
        <f>Outlier_Check!C405</f>
        <v>Normal</v>
      </c>
    </row>
    <row r="396" spans="1:21" x14ac:dyDescent="0.35">
      <c r="A396" s="3" t="s">
        <v>98</v>
      </c>
      <c r="B396" s="1" t="s">
        <v>35</v>
      </c>
      <c r="C396" s="1" t="s">
        <v>58</v>
      </c>
      <c r="D396" s="1" t="s">
        <v>59</v>
      </c>
      <c r="E396" s="1" t="s">
        <v>22</v>
      </c>
      <c r="F396" s="1" t="s">
        <v>31</v>
      </c>
      <c r="G396" s="2">
        <v>45257</v>
      </c>
      <c r="H396" s="2">
        <v>45285</v>
      </c>
      <c r="I396" s="1">
        <v>44978.96</v>
      </c>
      <c r="J396" s="1">
        <v>0.98609999999999998</v>
      </c>
      <c r="K396" s="1">
        <v>44353.75</v>
      </c>
      <c r="L396" s="1">
        <v>805284</v>
      </c>
      <c r="M396" s="1">
        <v>28105</v>
      </c>
      <c r="N396" s="1">
        <v>211610.86</v>
      </c>
      <c r="O396" s="1">
        <v>2023</v>
      </c>
      <c r="P396" s="1" t="s">
        <v>65</v>
      </c>
      <c r="Q396" s="1" t="s">
        <v>25</v>
      </c>
      <c r="R396" s="4" t="s">
        <v>41</v>
      </c>
      <c r="S396" s="25">
        <f>Table1[[#This Row],[Clicks]]/Table1[[#This Row],[Impressions]]</f>
        <v>3.49007306738989E-2</v>
      </c>
      <c r="T396" s="22">
        <f>Table1[[#This Row],[Sales]]/Table1[[#This Row],[USD_Spend]]</f>
        <v>4.7709801313304956</v>
      </c>
      <c r="U396" s="1" t="str">
        <f>Outlier_Check!C406</f>
        <v>Normal</v>
      </c>
    </row>
    <row r="397" spans="1:21" x14ac:dyDescent="0.35">
      <c r="A397" s="3" t="s">
        <v>94</v>
      </c>
      <c r="B397" s="1" t="s">
        <v>28</v>
      </c>
      <c r="C397" s="1" t="s">
        <v>69</v>
      </c>
      <c r="D397" s="1" t="s">
        <v>21</v>
      </c>
      <c r="E397" s="1" t="s">
        <v>30</v>
      </c>
      <c r="F397" s="1" t="s">
        <v>23</v>
      </c>
      <c r="G397" s="2">
        <v>45260</v>
      </c>
      <c r="H397" s="2">
        <v>45300</v>
      </c>
      <c r="I397" s="1">
        <v>5785.04</v>
      </c>
      <c r="J397" s="1">
        <v>0.53979999999999995</v>
      </c>
      <c r="K397" s="1">
        <v>3122.76</v>
      </c>
      <c r="L397" s="1">
        <v>332998</v>
      </c>
      <c r="M397" s="1">
        <v>26694</v>
      </c>
      <c r="N397" s="1">
        <v>22053.87</v>
      </c>
      <c r="O397" s="1">
        <v>2023</v>
      </c>
      <c r="P397" s="1" t="s">
        <v>65</v>
      </c>
      <c r="Q397" s="1" t="s">
        <v>25</v>
      </c>
      <c r="R397" s="4" t="s">
        <v>26</v>
      </c>
      <c r="S397" s="25">
        <f>Table1[[#This Row],[Clicks]]/Table1[[#This Row],[Impressions]]</f>
        <v>8.0162643619481194E-2</v>
      </c>
      <c r="T397" s="22">
        <f>Table1[[#This Row],[Sales]]/Table1[[#This Row],[USD_Spend]]</f>
        <v>7.0623006571110167</v>
      </c>
      <c r="U397" s="1" t="str">
        <f>Outlier_Check!C407</f>
        <v>Normal</v>
      </c>
    </row>
    <row r="398" spans="1:21" x14ac:dyDescent="0.35">
      <c r="A398" s="3" t="s">
        <v>67</v>
      </c>
      <c r="B398" s="1" t="s">
        <v>28</v>
      </c>
      <c r="C398" s="1" t="s">
        <v>29</v>
      </c>
      <c r="D398" s="1" t="s">
        <v>21</v>
      </c>
      <c r="E398" s="1" t="s">
        <v>38</v>
      </c>
      <c r="F398" s="1" t="s">
        <v>52</v>
      </c>
      <c r="G398" s="2">
        <v>45261</v>
      </c>
      <c r="H398" s="2">
        <v>45308</v>
      </c>
      <c r="I398" s="1">
        <v>37685.129999999997</v>
      </c>
      <c r="J398" s="1">
        <v>0.58689999999999998</v>
      </c>
      <c r="K398" s="1">
        <v>22117.4</v>
      </c>
      <c r="L398" s="1">
        <v>81551</v>
      </c>
      <c r="M398" s="1">
        <v>5509</v>
      </c>
      <c r="N398" s="1">
        <v>139364.99</v>
      </c>
      <c r="O398" s="1">
        <v>2023</v>
      </c>
      <c r="P398" s="1" t="s">
        <v>73</v>
      </c>
      <c r="Q398" s="1" t="s">
        <v>25</v>
      </c>
      <c r="R398" s="4" t="s">
        <v>61</v>
      </c>
      <c r="S398" s="25">
        <f>Table1[[#This Row],[Clicks]]/Table1[[#This Row],[Impressions]]</f>
        <v>6.755281970791284E-2</v>
      </c>
      <c r="T398" s="22">
        <f>Table1[[#This Row],[Sales]]/Table1[[#This Row],[USD_Spend]]</f>
        <v>6.3011470606852518</v>
      </c>
      <c r="U398" s="1" t="str">
        <f>Outlier_Check!C408</f>
        <v>Normal</v>
      </c>
    </row>
    <row r="399" spans="1:21" x14ac:dyDescent="0.35">
      <c r="A399" s="3" t="s">
        <v>105</v>
      </c>
      <c r="B399" s="1" t="s">
        <v>28</v>
      </c>
      <c r="C399" s="1" t="s">
        <v>69</v>
      </c>
      <c r="D399" s="1" t="s">
        <v>63</v>
      </c>
      <c r="E399" s="1" t="s">
        <v>30</v>
      </c>
      <c r="F399" s="1" t="s">
        <v>31</v>
      </c>
      <c r="G399" s="2">
        <v>45261</v>
      </c>
      <c r="H399" s="2">
        <v>45285</v>
      </c>
      <c r="I399" s="1">
        <v>25518.38</v>
      </c>
      <c r="J399" s="1">
        <v>0.14960000000000001</v>
      </c>
      <c r="K399" s="1">
        <v>3817.55</v>
      </c>
      <c r="L399" s="1">
        <v>597354</v>
      </c>
      <c r="M399" s="1">
        <v>25871</v>
      </c>
      <c r="N399" s="1">
        <v>97440.84</v>
      </c>
      <c r="O399" s="1">
        <v>2023</v>
      </c>
      <c r="P399" s="1" t="s">
        <v>73</v>
      </c>
      <c r="Q399" s="1" t="s">
        <v>25</v>
      </c>
      <c r="R399" s="4" t="s">
        <v>26</v>
      </c>
      <c r="S399" s="25">
        <f>Table1[[#This Row],[Clicks]]/Table1[[#This Row],[Impressions]]</f>
        <v>4.3309327467464853E-2</v>
      </c>
      <c r="T399" s="22">
        <f>Table1[[#This Row],[Sales]]/Table1[[#This Row],[USD_Spend]]</f>
        <v>25.524443687705464</v>
      </c>
      <c r="U399" s="1" t="str">
        <f>Outlier_Check!C409</f>
        <v>Normal</v>
      </c>
    </row>
    <row r="400" spans="1:21" x14ac:dyDescent="0.35">
      <c r="A400" s="3" t="s">
        <v>42</v>
      </c>
      <c r="B400" s="1" t="s">
        <v>19</v>
      </c>
      <c r="C400" s="1" t="s">
        <v>69</v>
      </c>
      <c r="D400" s="1" t="s">
        <v>59</v>
      </c>
      <c r="E400" s="1" t="s">
        <v>22</v>
      </c>
      <c r="F400" s="1" t="s">
        <v>23</v>
      </c>
      <c r="G400" s="2">
        <v>45263</v>
      </c>
      <c r="H400" s="2">
        <v>45269</v>
      </c>
      <c r="I400" s="1">
        <v>14929.78</v>
      </c>
      <c r="J400" s="1">
        <v>1.1778</v>
      </c>
      <c r="K400" s="1">
        <v>17584.29</v>
      </c>
      <c r="L400" s="1">
        <v>137916</v>
      </c>
      <c r="M400" s="1">
        <v>25932</v>
      </c>
      <c r="N400" s="1">
        <v>96521.79</v>
      </c>
      <c r="O400" s="1">
        <v>2023</v>
      </c>
      <c r="P400" s="1" t="s">
        <v>73</v>
      </c>
      <c r="Q400" s="1" t="s">
        <v>25</v>
      </c>
      <c r="R400" s="4" t="s">
        <v>54</v>
      </c>
      <c r="S400" s="25">
        <f>Table1[[#This Row],[Clicks]]/Table1[[#This Row],[Impressions]]</f>
        <v>0.18802749499695467</v>
      </c>
      <c r="T400" s="22">
        <f>Table1[[#This Row],[Sales]]/Table1[[#This Row],[USD_Spend]]</f>
        <v>5.4890922522319636</v>
      </c>
      <c r="U400" s="1" t="str">
        <f>Outlier_Check!C410</f>
        <v>Normal</v>
      </c>
    </row>
    <row r="401" spans="1:21" x14ac:dyDescent="0.35">
      <c r="A401" s="3" t="s">
        <v>27</v>
      </c>
      <c r="B401" s="1" t="s">
        <v>35</v>
      </c>
      <c r="C401" s="1" t="s">
        <v>69</v>
      </c>
      <c r="D401" s="1" t="s">
        <v>63</v>
      </c>
      <c r="E401" s="1" t="s">
        <v>22</v>
      </c>
      <c r="F401" s="1" t="s">
        <v>23</v>
      </c>
      <c r="G401" s="2">
        <v>45266</v>
      </c>
      <c r="H401" s="2">
        <v>45284</v>
      </c>
      <c r="I401" s="1">
        <v>48745.52</v>
      </c>
      <c r="J401" s="1">
        <v>0.497</v>
      </c>
      <c r="K401" s="1">
        <v>24226.52</v>
      </c>
      <c r="L401" s="1">
        <v>591028</v>
      </c>
      <c r="M401" s="1">
        <v>47419</v>
      </c>
      <c r="N401" s="1">
        <v>231765.53</v>
      </c>
      <c r="O401" s="1">
        <v>2023</v>
      </c>
      <c r="P401" s="1" t="s">
        <v>73</v>
      </c>
      <c r="Q401" s="1" t="s">
        <v>25</v>
      </c>
      <c r="R401" s="4" t="s">
        <v>26</v>
      </c>
      <c r="S401" s="25">
        <f>Table1[[#This Row],[Clicks]]/Table1[[#This Row],[Impressions]]</f>
        <v>8.0231393436520776E-2</v>
      </c>
      <c r="T401" s="22">
        <f>Table1[[#This Row],[Sales]]/Table1[[#This Row],[USD_Spend]]</f>
        <v>9.5666042832400198</v>
      </c>
      <c r="U401" s="1" t="str">
        <f>Outlier_Check!C411</f>
        <v>Normal</v>
      </c>
    </row>
    <row r="402" spans="1:21" x14ac:dyDescent="0.35">
      <c r="A402" s="3" t="s">
        <v>86</v>
      </c>
      <c r="B402" s="1" t="s">
        <v>35</v>
      </c>
      <c r="C402" s="1" t="s">
        <v>29</v>
      </c>
      <c r="D402" s="1" t="s">
        <v>63</v>
      </c>
      <c r="E402" s="1" t="s">
        <v>22</v>
      </c>
      <c r="F402" s="1" t="s">
        <v>52</v>
      </c>
      <c r="G402" s="2">
        <v>45268</v>
      </c>
      <c r="H402" s="2">
        <v>45302</v>
      </c>
      <c r="I402" s="1">
        <v>44570.11</v>
      </c>
      <c r="J402" s="1">
        <v>0.13270000000000001</v>
      </c>
      <c r="K402" s="1">
        <v>5914.45</v>
      </c>
      <c r="L402" s="1">
        <v>813398</v>
      </c>
      <c r="M402" s="1">
        <v>43287</v>
      </c>
      <c r="N402" s="1">
        <v>187660.91</v>
      </c>
      <c r="O402" s="1">
        <v>2023</v>
      </c>
      <c r="P402" s="1" t="s">
        <v>73</v>
      </c>
      <c r="Q402" s="1" t="s">
        <v>25</v>
      </c>
      <c r="R402" s="4" t="s">
        <v>41</v>
      </c>
      <c r="S402" s="25">
        <f>Table1[[#This Row],[Clicks]]/Table1[[#This Row],[Impressions]]</f>
        <v>5.3217490084804732E-2</v>
      </c>
      <c r="T402" s="22">
        <f>Table1[[#This Row],[Sales]]/Table1[[#This Row],[USD_Spend]]</f>
        <v>31.729224188216996</v>
      </c>
      <c r="U402" s="1" t="str">
        <f>Outlier_Check!C412</f>
        <v>Normal</v>
      </c>
    </row>
    <row r="403" spans="1:21" x14ac:dyDescent="0.35">
      <c r="A403" s="3" t="s">
        <v>87</v>
      </c>
      <c r="B403" s="1" t="s">
        <v>35</v>
      </c>
      <c r="C403" s="1" t="s">
        <v>36</v>
      </c>
      <c r="D403" s="1" t="s">
        <v>21</v>
      </c>
      <c r="E403" s="1" t="s">
        <v>38</v>
      </c>
      <c r="F403" s="1" t="s">
        <v>49</v>
      </c>
      <c r="G403" s="2">
        <v>45268</v>
      </c>
      <c r="H403" s="2">
        <v>45273</v>
      </c>
      <c r="I403" s="1">
        <v>6030.51</v>
      </c>
      <c r="J403" s="1">
        <v>1.0186999999999999</v>
      </c>
      <c r="K403" s="1">
        <v>6143.28</v>
      </c>
      <c r="L403" s="1">
        <v>462762</v>
      </c>
      <c r="M403" s="1">
        <v>27342</v>
      </c>
      <c r="N403" s="1">
        <v>212910.98</v>
      </c>
      <c r="O403" s="1">
        <v>2023</v>
      </c>
      <c r="P403" s="1" t="s">
        <v>73</v>
      </c>
      <c r="Q403" s="1" t="s">
        <v>25</v>
      </c>
      <c r="R403" s="4" t="s">
        <v>54</v>
      </c>
      <c r="S403" s="25">
        <f>Table1[[#This Row],[Clicks]]/Table1[[#This Row],[Impressions]]</f>
        <v>5.9084367342175891E-2</v>
      </c>
      <c r="T403" s="22">
        <f>Table1[[#This Row],[Sales]]/Table1[[#This Row],[USD_Spend]]</f>
        <v>34.657541248323376</v>
      </c>
      <c r="U403" s="1" t="str">
        <f>Outlier_Check!C413</f>
        <v>Normal</v>
      </c>
    </row>
    <row r="404" spans="1:21" x14ac:dyDescent="0.35">
      <c r="A404" s="3" t="s">
        <v>85</v>
      </c>
      <c r="B404" s="1" t="s">
        <v>35</v>
      </c>
      <c r="C404" s="1" t="s">
        <v>69</v>
      </c>
      <c r="D404" s="1" t="s">
        <v>21</v>
      </c>
      <c r="E404" s="1" t="s">
        <v>22</v>
      </c>
      <c r="F404" s="1" t="s">
        <v>44</v>
      </c>
      <c r="G404" s="2">
        <v>45272</v>
      </c>
      <c r="H404" s="2">
        <v>45318</v>
      </c>
      <c r="I404" s="1">
        <v>1797.34</v>
      </c>
      <c r="J404" s="1">
        <v>0.56920000000000004</v>
      </c>
      <c r="K404" s="1">
        <v>1023.05</v>
      </c>
      <c r="L404" s="1">
        <v>880161</v>
      </c>
      <c r="M404" s="1">
        <v>27302</v>
      </c>
      <c r="N404" s="1">
        <v>182197.15</v>
      </c>
      <c r="O404" s="1">
        <v>2023</v>
      </c>
      <c r="P404" s="1" t="s">
        <v>73</v>
      </c>
      <c r="Q404" s="1" t="s">
        <v>25</v>
      </c>
      <c r="R404" s="4" t="s">
        <v>41</v>
      </c>
      <c r="S404" s="25">
        <f>Table1[[#This Row],[Clicks]]/Table1[[#This Row],[Impressions]]</f>
        <v>3.1019324873517457E-2</v>
      </c>
      <c r="T404" s="22">
        <f>Table1[[#This Row],[Sales]]/Table1[[#This Row],[USD_Spend]]</f>
        <v>178.09212648453155</v>
      </c>
      <c r="U404" s="1" t="str">
        <f>Outlier_Check!C414</f>
        <v>Normal</v>
      </c>
    </row>
    <row r="405" spans="1:21" x14ac:dyDescent="0.35">
      <c r="A405" s="3" t="s">
        <v>95</v>
      </c>
      <c r="B405" s="1" t="s">
        <v>28</v>
      </c>
      <c r="C405" s="1" t="s">
        <v>36</v>
      </c>
      <c r="D405" s="1" t="s">
        <v>51</v>
      </c>
      <c r="E405" s="1" t="s">
        <v>38</v>
      </c>
      <c r="F405" s="1" t="s">
        <v>44</v>
      </c>
      <c r="G405" s="2">
        <v>45275</v>
      </c>
      <c r="H405" s="2">
        <v>45333</v>
      </c>
      <c r="I405" s="1">
        <v>3667.21</v>
      </c>
      <c r="J405" s="1">
        <v>0.40699999999999997</v>
      </c>
      <c r="K405" s="1">
        <v>1492.55</v>
      </c>
      <c r="L405" s="1">
        <v>842685</v>
      </c>
      <c r="M405" s="1">
        <v>15615</v>
      </c>
      <c r="N405" s="1">
        <v>236169.16</v>
      </c>
      <c r="O405" s="1">
        <v>2023</v>
      </c>
      <c r="P405" s="1" t="s">
        <v>73</v>
      </c>
      <c r="Q405" s="1" t="s">
        <v>25</v>
      </c>
      <c r="R405" s="4" t="s">
        <v>26</v>
      </c>
      <c r="S405" s="25">
        <f>Table1[[#This Row],[Clicks]]/Table1[[#This Row],[Impressions]]</f>
        <v>1.8530055714768862E-2</v>
      </c>
      <c r="T405" s="22">
        <f>Table1[[#This Row],[Sales]]/Table1[[#This Row],[USD_Spend]]</f>
        <v>158.23199222806608</v>
      </c>
      <c r="U405" s="1" t="str">
        <f>Outlier_Check!C415</f>
        <v>Normal</v>
      </c>
    </row>
    <row r="406" spans="1:21" x14ac:dyDescent="0.35">
      <c r="A406" s="3" t="s">
        <v>114</v>
      </c>
      <c r="B406" s="1" t="s">
        <v>48</v>
      </c>
      <c r="C406" s="1" t="s">
        <v>20</v>
      </c>
      <c r="D406" s="1" t="s">
        <v>21</v>
      </c>
      <c r="E406" s="1" t="s">
        <v>30</v>
      </c>
      <c r="F406" s="1" t="s">
        <v>31</v>
      </c>
      <c r="G406" s="2">
        <v>45275</v>
      </c>
      <c r="H406" s="2">
        <v>45291</v>
      </c>
      <c r="I406" s="1">
        <v>34435.699999999997</v>
      </c>
      <c r="J406" s="1">
        <v>1.1496999999999999</v>
      </c>
      <c r="K406" s="1">
        <v>39590.720000000001</v>
      </c>
      <c r="L406" s="1">
        <v>773660</v>
      </c>
      <c r="M406" s="1">
        <v>42189</v>
      </c>
      <c r="N406" s="1">
        <v>134397.85</v>
      </c>
      <c r="O406" s="1">
        <v>2023</v>
      </c>
      <c r="P406" s="1" t="s">
        <v>73</v>
      </c>
      <c r="Q406" s="1" t="s">
        <v>25</v>
      </c>
      <c r="R406" s="4" t="s">
        <v>41</v>
      </c>
      <c r="S406" s="25">
        <f>Table1[[#This Row],[Clicks]]/Table1[[#This Row],[Impressions]]</f>
        <v>5.4531706434351006E-2</v>
      </c>
      <c r="T406" s="22">
        <f>Table1[[#This Row],[Sales]]/Table1[[#This Row],[USD_Spend]]</f>
        <v>3.394680622125589</v>
      </c>
      <c r="U406" s="1" t="str">
        <f>Outlier_Check!C416</f>
        <v>Normal</v>
      </c>
    </row>
    <row r="407" spans="1:21" x14ac:dyDescent="0.35">
      <c r="A407" s="3" t="s">
        <v>27</v>
      </c>
      <c r="B407" s="1" t="s">
        <v>48</v>
      </c>
      <c r="C407" s="1" t="s">
        <v>58</v>
      </c>
      <c r="D407" s="1" t="s">
        <v>63</v>
      </c>
      <c r="E407" s="1" t="s">
        <v>30</v>
      </c>
      <c r="F407" s="1" t="s">
        <v>44</v>
      </c>
      <c r="G407" s="2">
        <v>45277</v>
      </c>
      <c r="H407" s="2">
        <v>45330</v>
      </c>
      <c r="I407" s="1">
        <v>15548.34</v>
      </c>
      <c r="J407" s="1">
        <v>0.24629999999999999</v>
      </c>
      <c r="K407" s="1">
        <v>3829.56</v>
      </c>
      <c r="L407" s="1">
        <v>997697</v>
      </c>
      <c r="M407" s="1">
        <v>27566</v>
      </c>
      <c r="N407" s="1">
        <v>122998.19</v>
      </c>
      <c r="O407" s="1">
        <v>2023</v>
      </c>
      <c r="P407" s="1" t="s">
        <v>73</v>
      </c>
      <c r="Q407" s="1" t="s">
        <v>25</v>
      </c>
      <c r="R407" s="4" t="s">
        <v>54</v>
      </c>
      <c r="S407" s="25">
        <f>Table1[[#This Row],[Clicks]]/Table1[[#This Row],[Impressions]]</f>
        <v>2.7629631040285776E-2</v>
      </c>
      <c r="T407" s="22">
        <f>Table1[[#This Row],[Sales]]/Table1[[#This Row],[USD_Spend]]</f>
        <v>32.118099729472839</v>
      </c>
      <c r="U407" s="1" t="str">
        <f>Outlier_Check!C417</f>
        <v>Normal</v>
      </c>
    </row>
    <row r="408" spans="1:21" x14ac:dyDescent="0.35">
      <c r="A408" s="3" t="s">
        <v>62</v>
      </c>
      <c r="B408" s="1" t="s">
        <v>19</v>
      </c>
      <c r="C408" s="1" t="s">
        <v>69</v>
      </c>
      <c r="D408" s="1" t="s">
        <v>37</v>
      </c>
      <c r="E408" s="1" t="s">
        <v>38</v>
      </c>
      <c r="F408" s="1" t="s">
        <v>44</v>
      </c>
      <c r="G408" s="2">
        <v>45279</v>
      </c>
      <c r="H408" s="2">
        <v>45320</v>
      </c>
      <c r="I408" s="1">
        <v>25617.27</v>
      </c>
      <c r="J408" s="1">
        <v>0.47220000000000001</v>
      </c>
      <c r="K408" s="1">
        <v>12096.47</v>
      </c>
      <c r="L408" s="1">
        <v>198550</v>
      </c>
      <c r="M408" s="1">
        <v>1808</v>
      </c>
      <c r="N408" s="1">
        <v>83125</v>
      </c>
      <c r="O408" s="1">
        <v>2023</v>
      </c>
      <c r="P408" s="1" t="s">
        <v>73</v>
      </c>
      <c r="Q408" s="1" t="s">
        <v>25</v>
      </c>
      <c r="R408" s="4" t="s">
        <v>41</v>
      </c>
      <c r="S408" s="25">
        <f>Table1[[#This Row],[Clicks]]/Table1[[#This Row],[Impressions]]</f>
        <v>9.1060186351045076E-3</v>
      </c>
      <c r="T408" s="22">
        <f>Table1[[#This Row],[Sales]]/Table1[[#This Row],[USD_Spend]]</f>
        <v>6.8718394705232191</v>
      </c>
      <c r="U408" s="1" t="str">
        <f>Outlier_Check!C418</f>
        <v>Normal</v>
      </c>
    </row>
    <row r="409" spans="1:21" x14ac:dyDescent="0.35">
      <c r="A409" s="3" t="s">
        <v>81</v>
      </c>
      <c r="B409" s="1" t="s">
        <v>28</v>
      </c>
      <c r="C409" s="1" t="s">
        <v>58</v>
      </c>
      <c r="D409" s="1" t="s">
        <v>21</v>
      </c>
      <c r="E409" s="1" t="s">
        <v>38</v>
      </c>
      <c r="F409" s="1" t="s">
        <v>52</v>
      </c>
      <c r="G409" s="2">
        <v>45280</v>
      </c>
      <c r="H409" s="2">
        <v>45307</v>
      </c>
      <c r="I409" s="1">
        <v>16096.18</v>
      </c>
      <c r="J409" s="1">
        <v>0.54020000000000001</v>
      </c>
      <c r="K409" s="1">
        <v>8695.16</v>
      </c>
      <c r="L409" s="1">
        <v>598285</v>
      </c>
      <c r="M409" s="1">
        <v>5840</v>
      </c>
      <c r="N409" s="1">
        <v>57845.31</v>
      </c>
      <c r="O409" s="1">
        <v>2023</v>
      </c>
      <c r="P409" s="1" t="s">
        <v>73</v>
      </c>
      <c r="Q409" s="1" t="s">
        <v>25</v>
      </c>
      <c r="R409" s="4" t="s">
        <v>54</v>
      </c>
      <c r="S409" s="25">
        <f>Table1[[#This Row],[Clicks]]/Table1[[#This Row],[Impressions]]</f>
        <v>9.7612341944056762E-3</v>
      </c>
      <c r="T409" s="22">
        <f>Table1[[#This Row],[Sales]]/Table1[[#This Row],[USD_Spend]]</f>
        <v>6.6525871864347517</v>
      </c>
      <c r="U409" s="1" t="str">
        <f>Outlier_Check!C419</f>
        <v>Normal</v>
      </c>
    </row>
    <row r="410" spans="1:21" x14ac:dyDescent="0.35">
      <c r="A410" s="3" t="s">
        <v>115</v>
      </c>
      <c r="B410" s="1" t="s">
        <v>48</v>
      </c>
      <c r="C410" s="1" t="s">
        <v>69</v>
      </c>
      <c r="D410" s="1" t="s">
        <v>63</v>
      </c>
      <c r="E410" s="1" t="s">
        <v>38</v>
      </c>
      <c r="F410" s="1" t="s">
        <v>49</v>
      </c>
      <c r="G410" s="2">
        <v>45280</v>
      </c>
      <c r="H410" s="2">
        <v>45286</v>
      </c>
      <c r="I410" s="1">
        <v>24655.78</v>
      </c>
      <c r="J410" s="1">
        <v>0.36159999999999998</v>
      </c>
      <c r="K410" s="1">
        <v>8915.5300000000007</v>
      </c>
      <c r="L410" s="1">
        <v>975264</v>
      </c>
      <c r="M410" s="1">
        <v>5726</v>
      </c>
      <c r="N410" s="1">
        <v>33436.99</v>
      </c>
      <c r="O410" s="1">
        <v>2023</v>
      </c>
      <c r="P410" s="1" t="s">
        <v>73</v>
      </c>
      <c r="Q410" s="1" t="s">
        <v>25</v>
      </c>
      <c r="R410" s="4" t="s">
        <v>61</v>
      </c>
      <c r="S410" s="25">
        <f>Table1[[#This Row],[Clicks]]/Table1[[#This Row],[Impressions]]</f>
        <v>5.8712307641828262E-3</v>
      </c>
      <c r="T410" s="22">
        <f>Table1[[#This Row],[Sales]]/Table1[[#This Row],[USD_Spend]]</f>
        <v>3.7504208947757447</v>
      </c>
      <c r="U410" s="1" t="str">
        <f>Outlier_Check!C420</f>
        <v>Normal</v>
      </c>
    </row>
    <row r="411" spans="1:21" x14ac:dyDescent="0.35">
      <c r="A411" s="3" t="s">
        <v>101</v>
      </c>
      <c r="B411" s="1" t="s">
        <v>19</v>
      </c>
      <c r="C411" s="1" t="s">
        <v>69</v>
      </c>
      <c r="D411" s="1" t="s">
        <v>59</v>
      </c>
      <c r="E411" s="1" t="s">
        <v>38</v>
      </c>
      <c r="F411" s="1" t="s">
        <v>44</v>
      </c>
      <c r="G411" s="2">
        <v>45282</v>
      </c>
      <c r="H411" s="2">
        <v>45339</v>
      </c>
      <c r="I411" s="1">
        <v>14548.88</v>
      </c>
      <c r="J411" s="1">
        <v>0.73160000000000003</v>
      </c>
      <c r="K411" s="1">
        <v>10643.96</v>
      </c>
      <c r="L411" s="1">
        <v>213974</v>
      </c>
      <c r="M411" s="1">
        <v>29903</v>
      </c>
      <c r="N411" s="1">
        <v>232779.89</v>
      </c>
      <c r="O411" s="1">
        <v>2023</v>
      </c>
      <c r="P411" s="1" t="s">
        <v>73</v>
      </c>
      <c r="Q411" s="1" t="s">
        <v>25</v>
      </c>
      <c r="R411" s="4" t="s">
        <v>26</v>
      </c>
      <c r="S411" s="25">
        <f>Table1[[#This Row],[Clicks]]/Table1[[#This Row],[Impressions]]</f>
        <v>0.13975062390757756</v>
      </c>
      <c r="T411" s="22">
        <f>Table1[[#This Row],[Sales]]/Table1[[#This Row],[USD_Spend]]</f>
        <v>21.869669746973873</v>
      </c>
      <c r="U411" s="1" t="str">
        <f>Outlier_Check!C421</f>
        <v>Normal</v>
      </c>
    </row>
    <row r="412" spans="1:21" x14ac:dyDescent="0.35">
      <c r="A412" s="3" t="s">
        <v>42</v>
      </c>
      <c r="B412" s="1" t="s">
        <v>48</v>
      </c>
      <c r="C412" s="1" t="s">
        <v>20</v>
      </c>
      <c r="D412" s="1" t="s">
        <v>21</v>
      </c>
      <c r="E412" s="1" t="s">
        <v>22</v>
      </c>
      <c r="F412" s="1" t="s">
        <v>52</v>
      </c>
      <c r="G412" s="2">
        <v>45283</v>
      </c>
      <c r="H412" s="2">
        <v>45336</v>
      </c>
      <c r="I412" s="1">
        <v>20176.77</v>
      </c>
      <c r="J412" s="1">
        <v>9.5500000000000002E-2</v>
      </c>
      <c r="K412" s="1">
        <v>1926.88</v>
      </c>
      <c r="L412" s="1">
        <v>772057</v>
      </c>
      <c r="M412" s="1">
        <v>18649</v>
      </c>
      <c r="N412" s="1">
        <v>74179.199999999997</v>
      </c>
      <c r="O412" s="1">
        <v>2023</v>
      </c>
      <c r="P412" s="1" t="s">
        <v>73</v>
      </c>
      <c r="Q412" s="1" t="s">
        <v>25</v>
      </c>
      <c r="R412" s="4" t="s">
        <v>41</v>
      </c>
      <c r="S412" s="25">
        <f>Table1[[#This Row],[Clicks]]/Table1[[#This Row],[Impressions]]</f>
        <v>2.4154952289792076E-2</v>
      </c>
      <c r="T412" s="22">
        <f>Table1[[#This Row],[Sales]]/Table1[[#This Row],[USD_Spend]]</f>
        <v>38.497052229510913</v>
      </c>
      <c r="U412" s="1" t="str">
        <f>Outlier_Check!C422</f>
        <v>Normal</v>
      </c>
    </row>
    <row r="413" spans="1:21" x14ac:dyDescent="0.35">
      <c r="A413" s="3" t="s">
        <v>34</v>
      </c>
      <c r="B413" s="1" t="s">
        <v>28</v>
      </c>
      <c r="C413" s="1" t="s">
        <v>20</v>
      </c>
      <c r="D413" s="1" t="s">
        <v>51</v>
      </c>
      <c r="E413" s="1" t="s">
        <v>22</v>
      </c>
      <c r="F413" s="1" t="s">
        <v>23</v>
      </c>
      <c r="G413" s="2">
        <v>45284</v>
      </c>
      <c r="H413" s="2">
        <v>45303</v>
      </c>
      <c r="I413" s="1">
        <v>44286.44</v>
      </c>
      <c r="J413" s="1">
        <v>0.7994</v>
      </c>
      <c r="K413" s="1">
        <v>35402.58</v>
      </c>
      <c r="L413" s="1">
        <v>357148</v>
      </c>
      <c r="M413" s="1">
        <v>23745</v>
      </c>
      <c r="N413" s="1">
        <v>76925.72</v>
      </c>
      <c r="O413" s="1">
        <v>2023</v>
      </c>
      <c r="P413" s="1" t="s">
        <v>73</v>
      </c>
      <c r="Q413" s="1" t="s">
        <v>25</v>
      </c>
      <c r="R413" s="4" t="s">
        <v>41</v>
      </c>
      <c r="S413" s="25">
        <f>Table1[[#This Row],[Clicks]]/Table1[[#This Row],[Impressions]]</f>
        <v>6.6485042615386333E-2</v>
      </c>
      <c r="T413" s="22">
        <f>Table1[[#This Row],[Sales]]/Table1[[#This Row],[USD_Spend]]</f>
        <v>2.1728845750789914</v>
      </c>
      <c r="U413" s="1" t="str">
        <f>Outlier_Check!C423</f>
        <v>Normal</v>
      </c>
    </row>
    <row r="414" spans="1:21" x14ac:dyDescent="0.35">
      <c r="A414" s="3" t="s">
        <v>42</v>
      </c>
      <c r="B414" s="1" t="s">
        <v>48</v>
      </c>
      <c r="C414" s="1" t="s">
        <v>29</v>
      </c>
      <c r="D414" s="1" t="s">
        <v>51</v>
      </c>
      <c r="E414" s="1" t="s">
        <v>38</v>
      </c>
      <c r="F414" s="1" t="s">
        <v>52</v>
      </c>
      <c r="G414" s="2">
        <v>45285</v>
      </c>
      <c r="H414" s="2">
        <v>45329</v>
      </c>
      <c r="I414" s="1">
        <v>41257.620000000003</v>
      </c>
      <c r="J414" s="1">
        <v>0.96530000000000005</v>
      </c>
      <c r="K414" s="1">
        <v>39825.980000000003</v>
      </c>
      <c r="L414" s="1">
        <v>663453</v>
      </c>
      <c r="M414" s="1">
        <v>9656</v>
      </c>
      <c r="N414" s="1">
        <v>112913.54</v>
      </c>
      <c r="O414" s="1">
        <v>2023</v>
      </c>
      <c r="P414" s="1" t="s">
        <v>73</v>
      </c>
      <c r="Q414" s="1" t="s">
        <v>25</v>
      </c>
      <c r="R414" s="4" t="s">
        <v>26</v>
      </c>
      <c r="S414" s="25">
        <f>Table1[[#This Row],[Clicks]]/Table1[[#This Row],[Impressions]]</f>
        <v>1.4554158320182439E-2</v>
      </c>
      <c r="T414" s="22">
        <f>Table1[[#This Row],[Sales]]/Table1[[#This Row],[USD_Spend]]</f>
        <v>2.8351729197875355</v>
      </c>
      <c r="U414" s="1" t="str">
        <f>Outlier_Check!C424</f>
        <v>Normal</v>
      </c>
    </row>
    <row r="415" spans="1:21" x14ac:dyDescent="0.35">
      <c r="A415" s="3" t="s">
        <v>78</v>
      </c>
      <c r="B415" s="1" t="s">
        <v>35</v>
      </c>
      <c r="C415" s="1" t="s">
        <v>20</v>
      </c>
      <c r="D415" s="1" t="s">
        <v>21</v>
      </c>
      <c r="E415" s="1" t="s">
        <v>30</v>
      </c>
      <c r="F415" s="1" t="s">
        <v>31</v>
      </c>
      <c r="G415" s="2">
        <v>45285</v>
      </c>
      <c r="H415" s="2">
        <v>45309</v>
      </c>
      <c r="I415" s="1">
        <v>48417.13</v>
      </c>
      <c r="J415" s="1">
        <v>0.84119999999999995</v>
      </c>
      <c r="K415" s="1">
        <v>40728.49</v>
      </c>
      <c r="L415" s="1">
        <v>420997</v>
      </c>
      <c r="M415" s="1">
        <v>8550</v>
      </c>
      <c r="N415" s="1">
        <v>150785.1</v>
      </c>
      <c r="O415" s="1">
        <v>2023</v>
      </c>
      <c r="P415" s="1" t="s">
        <v>73</v>
      </c>
      <c r="Q415" s="1" t="s">
        <v>25</v>
      </c>
      <c r="R415" s="4" t="s">
        <v>61</v>
      </c>
      <c r="S415" s="25">
        <f>Table1[[#This Row],[Clicks]]/Table1[[#This Row],[Impressions]]</f>
        <v>2.0308933317814616E-2</v>
      </c>
      <c r="T415" s="22">
        <f>Table1[[#This Row],[Sales]]/Table1[[#This Row],[USD_Spend]]</f>
        <v>3.702202070344371</v>
      </c>
      <c r="U415" s="1" t="str">
        <f>Outlier_Check!C425</f>
        <v>Normal</v>
      </c>
    </row>
    <row r="416" spans="1:21" x14ac:dyDescent="0.35">
      <c r="A416" s="3" t="s">
        <v>87</v>
      </c>
      <c r="B416" s="1" t="s">
        <v>19</v>
      </c>
      <c r="C416" s="1" t="s">
        <v>69</v>
      </c>
      <c r="D416" s="1" t="s">
        <v>37</v>
      </c>
      <c r="E416" s="1" t="s">
        <v>38</v>
      </c>
      <c r="F416" s="1" t="s">
        <v>23</v>
      </c>
      <c r="G416" s="2">
        <v>45286</v>
      </c>
      <c r="H416" s="2">
        <v>45344</v>
      </c>
      <c r="I416" s="1">
        <v>31978.14</v>
      </c>
      <c r="J416" s="1">
        <v>0.70630000000000004</v>
      </c>
      <c r="K416" s="1">
        <v>22586.16</v>
      </c>
      <c r="L416" s="1">
        <v>545118</v>
      </c>
      <c r="M416" s="1">
        <v>18536</v>
      </c>
      <c r="N416" s="1">
        <v>16143.76</v>
      </c>
      <c r="O416" s="1">
        <v>2023</v>
      </c>
      <c r="P416" s="1" t="s">
        <v>73</v>
      </c>
      <c r="Q416" s="1" t="s">
        <v>25</v>
      </c>
      <c r="R416" s="4" t="s">
        <v>61</v>
      </c>
      <c r="S416" s="25">
        <f>Table1[[#This Row],[Clicks]]/Table1[[#This Row],[Impressions]]</f>
        <v>3.4003646916814338E-2</v>
      </c>
      <c r="T416" s="22">
        <f>Table1[[#This Row],[Sales]]/Table1[[#This Row],[USD_Spend]]</f>
        <v>0.71476337721861527</v>
      </c>
      <c r="U416" s="1" t="str">
        <f>Outlier_Check!C426</f>
        <v>Normal</v>
      </c>
    </row>
    <row r="417" spans="1:21" x14ac:dyDescent="0.35">
      <c r="A417" s="3" t="s">
        <v>92</v>
      </c>
      <c r="B417" s="1" t="s">
        <v>35</v>
      </c>
      <c r="C417" s="1" t="s">
        <v>29</v>
      </c>
      <c r="D417" s="1" t="s">
        <v>63</v>
      </c>
      <c r="E417" s="1" t="s">
        <v>38</v>
      </c>
      <c r="F417" s="1" t="s">
        <v>31</v>
      </c>
      <c r="G417" s="2">
        <v>45286</v>
      </c>
      <c r="H417" s="2">
        <v>45336</v>
      </c>
      <c r="I417" s="1">
        <v>21485.64</v>
      </c>
      <c r="J417" s="1">
        <v>0.3906</v>
      </c>
      <c r="K417" s="1">
        <v>8392.2900000000009</v>
      </c>
      <c r="L417" s="1">
        <v>59866</v>
      </c>
      <c r="M417" s="1">
        <v>12011</v>
      </c>
      <c r="N417" s="1">
        <v>15017.84</v>
      </c>
      <c r="O417" s="1">
        <v>2023</v>
      </c>
      <c r="P417" s="1" t="s">
        <v>73</v>
      </c>
      <c r="Q417" s="1" t="s">
        <v>25</v>
      </c>
      <c r="R417" s="4" t="s">
        <v>26</v>
      </c>
      <c r="S417" s="25">
        <f>Table1[[#This Row],[Clicks]]/Table1[[#This Row],[Impressions]]</f>
        <v>0.2006314101493335</v>
      </c>
      <c r="T417" s="22">
        <f>Table1[[#This Row],[Sales]]/Table1[[#This Row],[USD_Spend]]</f>
        <v>1.7894805827729974</v>
      </c>
      <c r="U417" s="1" t="str">
        <f>Outlier_Check!C427</f>
        <v>Normal</v>
      </c>
    </row>
    <row r="418" spans="1:21" x14ac:dyDescent="0.35">
      <c r="A418" s="3" t="s">
        <v>86</v>
      </c>
      <c r="B418" s="1" t="s">
        <v>19</v>
      </c>
      <c r="C418" s="1" t="s">
        <v>69</v>
      </c>
      <c r="D418" s="1" t="s">
        <v>59</v>
      </c>
      <c r="E418" s="1" t="s">
        <v>30</v>
      </c>
      <c r="F418" s="1" t="s">
        <v>31</v>
      </c>
      <c r="G418" s="2">
        <v>45286</v>
      </c>
      <c r="H418" s="2">
        <v>45332</v>
      </c>
      <c r="I418" s="1">
        <v>25960.880000000001</v>
      </c>
      <c r="J418" s="1">
        <v>0.81859999999999999</v>
      </c>
      <c r="K418" s="1">
        <v>21251.58</v>
      </c>
      <c r="L418" s="1">
        <v>894642</v>
      </c>
      <c r="M418" s="1">
        <v>35241</v>
      </c>
      <c r="N418" s="1">
        <v>86131.72</v>
      </c>
      <c r="O418" s="1">
        <v>2023</v>
      </c>
      <c r="P418" s="1" t="s">
        <v>73</v>
      </c>
      <c r="Q418" s="1" t="s">
        <v>25</v>
      </c>
      <c r="R418" s="4" t="s">
        <v>26</v>
      </c>
      <c r="S418" s="25">
        <f>Table1[[#This Row],[Clicks]]/Table1[[#This Row],[Impressions]]</f>
        <v>3.9391175464599248E-2</v>
      </c>
      <c r="T418" s="22">
        <f>Table1[[#This Row],[Sales]]/Table1[[#This Row],[USD_Spend]]</f>
        <v>4.0529560625609955</v>
      </c>
      <c r="U418" s="1" t="str">
        <f>Outlier_Check!C428</f>
        <v>Normal</v>
      </c>
    </row>
    <row r="419" spans="1:21" x14ac:dyDescent="0.35">
      <c r="A419" s="3" t="s">
        <v>71</v>
      </c>
      <c r="B419" s="1" t="s">
        <v>48</v>
      </c>
      <c r="C419" s="1" t="s">
        <v>36</v>
      </c>
      <c r="D419" s="1" t="s">
        <v>51</v>
      </c>
      <c r="E419" s="1" t="s">
        <v>38</v>
      </c>
      <c r="F419" s="1" t="s">
        <v>52</v>
      </c>
      <c r="G419" s="2">
        <v>45287</v>
      </c>
      <c r="H419" s="2">
        <v>45334</v>
      </c>
      <c r="I419" s="1">
        <v>41871.39</v>
      </c>
      <c r="J419" s="1">
        <v>6.9400000000000003E-2</v>
      </c>
      <c r="K419" s="1">
        <v>2905.87</v>
      </c>
      <c r="L419" s="1">
        <v>154408</v>
      </c>
      <c r="M419" s="1">
        <v>23051</v>
      </c>
      <c r="N419" s="1">
        <v>220286.91</v>
      </c>
      <c r="O419" s="1">
        <v>2023</v>
      </c>
      <c r="P419" s="1" t="s">
        <v>73</v>
      </c>
      <c r="Q419" s="1" t="s">
        <v>25</v>
      </c>
      <c r="R419" s="4" t="s">
        <v>61</v>
      </c>
      <c r="S419" s="25">
        <f>Table1[[#This Row],[Clicks]]/Table1[[#This Row],[Impressions]]</f>
        <v>0.14928630640899435</v>
      </c>
      <c r="T419" s="22">
        <f>Table1[[#This Row],[Sales]]/Table1[[#This Row],[USD_Spend]]</f>
        <v>75.807558493669717</v>
      </c>
      <c r="U419" s="1" t="str">
        <f>Outlier_Check!C429</f>
        <v>Normal</v>
      </c>
    </row>
    <row r="420" spans="1:21" x14ac:dyDescent="0.35">
      <c r="A420" s="3" t="s">
        <v>118</v>
      </c>
      <c r="B420" s="1" t="s">
        <v>19</v>
      </c>
      <c r="C420" s="1" t="s">
        <v>36</v>
      </c>
      <c r="D420" s="1" t="s">
        <v>21</v>
      </c>
      <c r="E420" s="1" t="s">
        <v>38</v>
      </c>
      <c r="F420" s="1" t="s">
        <v>52</v>
      </c>
      <c r="G420" s="2">
        <v>45288</v>
      </c>
      <c r="H420" s="2">
        <v>45345</v>
      </c>
      <c r="I420" s="1">
        <v>19442.45</v>
      </c>
      <c r="J420" s="1">
        <v>0.72560000000000002</v>
      </c>
      <c r="K420" s="1">
        <v>14107.44</v>
      </c>
      <c r="L420" s="1">
        <v>415537</v>
      </c>
      <c r="M420" s="1">
        <v>11712</v>
      </c>
      <c r="N420" s="1">
        <v>210590.72</v>
      </c>
      <c r="O420" s="1">
        <v>2023</v>
      </c>
      <c r="P420" s="1" t="s">
        <v>73</v>
      </c>
      <c r="Q420" s="1" t="s">
        <v>25</v>
      </c>
      <c r="R420" s="4" t="s">
        <v>54</v>
      </c>
      <c r="S420" s="25">
        <f>Table1[[#This Row],[Clicks]]/Table1[[#This Row],[Impressions]]</f>
        <v>2.8185215756960272E-2</v>
      </c>
      <c r="T420" s="22">
        <f>Table1[[#This Row],[Sales]]/Table1[[#This Row],[USD_Spend]]</f>
        <v>14.927635347022564</v>
      </c>
      <c r="U420" s="1" t="str">
        <f>Outlier_Check!C430</f>
        <v>Normal</v>
      </c>
    </row>
    <row r="421" spans="1:21" x14ac:dyDescent="0.35">
      <c r="A421" s="3" t="s">
        <v>89</v>
      </c>
      <c r="B421" s="1" t="s">
        <v>19</v>
      </c>
      <c r="C421" s="1" t="s">
        <v>36</v>
      </c>
      <c r="D421" s="1" t="s">
        <v>21</v>
      </c>
      <c r="E421" s="1" t="s">
        <v>22</v>
      </c>
      <c r="F421" s="1" t="s">
        <v>52</v>
      </c>
      <c r="G421" s="2">
        <v>45288</v>
      </c>
      <c r="H421" s="2">
        <v>45328</v>
      </c>
      <c r="I421" s="1">
        <v>41941.56</v>
      </c>
      <c r="J421" s="1">
        <v>0.2984</v>
      </c>
      <c r="K421" s="1">
        <v>12515.36</v>
      </c>
      <c r="L421" s="1">
        <v>688569</v>
      </c>
      <c r="M421" s="1">
        <v>48286</v>
      </c>
      <c r="N421" s="1">
        <v>214686.55</v>
      </c>
      <c r="O421" s="1">
        <v>2023</v>
      </c>
      <c r="P421" s="1" t="s">
        <v>73</v>
      </c>
      <c r="Q421" s="1" t="s">
        <v>25</v>
      </c>
      <c r="R421" s="4" t="s">
        <v>26</v>
      </c>
      <c r="S421" s="25">
        <f>Table1[[#This Row],[Clicks]]/Table1[[#This Row],[Impressions]]</f>
        <v>7.0125143594904793E-2</v>
      </c>
      <c r="T421" s="22">
        <f>Table1[[#This Row],[Sales]]/Table1[[#This Row],[USD_Spend]]</f>
        <v>17.153845354827986</v>
      </c>
      <c r="U421" s="1" t="str">
        <f>Outlier_Check!C431</f>
        <v>Normal</v>
      </c>
    </row>
    <row r="422" spans="1:21" x14ac:dyDescent="0.35">
      <c r="A422" s="3" t="s">
        <v>42</v>
      </c>
      <c r="B422" s="1" t="s">
        <v>48</v>
      </c>
      <c r="C422" s="1" t="s">
        <v>29</v>
      </c>
      <c r="D422" s="1" t="s">
        <v>59</v>
      </c>
      <c r="E422" s="1" t="s">
        <v>38</v>
      </c>
      <c r="F422" s="1" t="s">
        <v>23</v>
      </c>
      <c r="G422" s="2">
        <v>45289</v>
      </c>
      <c r="H422" s="2">
        <v>45343</v>
      </c>
      <c r="I422" s="1">
        <v>28434.29</v>
      </c>
      <c r="J422" s="1">
        <v>1.0508999999999999</v>
      </c>
      <c r="K422" s="1">
        <v>29881.599999999999</v>
      </c>
      <c r="L422" s="1">
        <v>660810</v>
      </c>
      <c r="M422" s="1">
        <v>49217</v>
      </c>
      <c r="N422" s="1">
        <v>42865.57</v>
      </c>
      <c r="O422" s="1">
        <v>2023</v>
      </c>
      <c r="P422" s="1" t="s">
        <v>73</v>
      </c>
      <c r="Q422" s="1" t="s">
        <v>25</v>
      </c>
      <c r="R422" s="4" t="s">
        <v>61</v>
      </c>
      <c r="S422" s="25">
        <f>Table1[[#This Row],[Clicks]]/Table1[[#This Row],[Impressions]]</f>
        <v>7.4479805087695403E-2</v>
      </c>
      <c r="T422" s="22">
        <f>Table1[[#This Row],[Sales]]/Table1[[#This Row],[USD_Spend]]</f>
        <v>1.4345138814521312</v>
      </c>
      <c r="U422" s="1" t="str">
        <f>Outlier_Check!C432</f>
        <v>Normal</v>
      </c>
    </row>
    <row r="423" spans="1:21" x14ac:dyDescent="0.35">
      <c r="A423" s="3" t="s">
        <v>72</v>
      </c>
      <c r="B423" s="1" t="s">
        <v>19</v>
      </c>
      <c r="C423" s="1" t="s">
        <v>36</v>
      </c>
      <c r="D423" s="1" t="s">
        <v>21</v>
      </c>
      <c r="E423" s="1" t="s">
        <v>30</v>
      </c>
      <c r="F423" s="1" t="s">
        <v>31</v>
      </c>
      <c r="G423" s="2">
        <v>45289</v>
      </c>
      <c r="H423" s="2">
        <v>45321</v>
      </c>
      <c r="I423" s="1">
        <v>21144.01</v>
      </c>
      <c r="J423" s="1">
        <v>1.038</v>
      </c>
      <c r="K423" s="1">
        <v>21947.48</v>
      </c>
      <c r="L423" s="1">
        <v>66802</v>
      </c>
      <c r="M423" s="1">
        <v>44229</v>
      </c>
      <c r="N423" s="1">
        <v>165096.59</v>
      </c>
      <c r="O423" s="1">
        <v>2023</v>
      </c>
      <c r="P423" s="1" t="s">
        <v>73</v>
      </c>
      <c r="Q423" s="1" t="s">
        <v>25</v>
      </c>
      <c r="R423" s="4" t="s">
        <v>26</v>
      </c>
      <c r="S423" s="25">
        <f>Table1[[#This Row],[Clicks]]/Table1[[#This Row],[Impressions]]</f>
        <v>0.66209095536061791</v>
      </c>
      <c r="T423" s="22">
        <f>Table1[[#This Row],[Sales]]/Table1[[#This Row],[USD_Spend]]</f>
        <v>7.5223483516102991</v>
      </c>
      <c r="U423" s="1" t="str">
        <f>Outlier_Check!C433</f>
        <v>Normal</v>
      </c>
    </row>
    <row r="424" spans="1:21" x14ac:dyDescent="0.35">
      <c r="A424" s="3" t="s">
        <v>111</v>
      </c>
      <c r="B424" s="1" t="s">
        <v>28</v>
      </c>
      <c r="C424" s="1" t="s">
        <v>58</v>
      </c>
      <c r="D424" s="1" t="s">
        <v>51</v>
      </c>
      <c r="E424" s="1" t="s">
        <v>38</v>
      </c>
      <c r="F424" s="1" t="s">
        <v>49</v>
      </c>
      <c r="G424" s="2">
        <v>45292</v>
      </c>
      <c r="H424" s="2">
        <v>45352</v>
      </c>
      <c r="I424" s="1">
        <v>39261.24</v>
      </c>
      <c r="J424" s="1">
        <v>1.0403</v>
      </c>
      <c r="K424" s="1">
        <v>40843.47</v>
      </c>
      <c r="L424" s="1">
        <v>358048</v>
      </c>
      <c r="M424" s="1">
        <v>18005</v>
      </c>
      <c r="N424" s="1">
        <v>35496.379999999997</v>
      </c>
      <c r="O424" s="1">
        <v>2024</v>
      </c>
      <c r="P424" s="1" t="s">
        <v>56</v>
      </c>
      <c r="Q424" s="1" t="s">
        <v>40</v>
      </c>
      <c r="R424" s="4" t="s">
        <v>41</v>
      </c>
      <c r="S424" s="25">
        <f>Table1[[#This Row],[Clicks]]/Table1[[#This Row],[Impressions]]</f>
        <v>5.0286553758155328E-2</v>
      </c>
      <c r="T424" s="22">
        <f>Table1[[#This Row],[Sales]]/Table1[[#This Row],[USD_Spend]]</f>
        <v>0.86908335653165603</v>
      </c>
      <c r="U424" s="1" t="str">
        <f>Outlier_Check!C434</f>
        <v>Normal</v>
      </c>
    </row>
    <row r="425" spans="1:21" x14ac:dyDescent="0.35">
      <c r="A425" s="3" t="s">
        <v>93</v>
      </c>
      <c r="B425" s="1" t="s">
        <v>35</v>
      </c>
      <c r="C425" s="1" t="s">
        <v>36</v>
      </c>
      <c r="D425" s="1" t="s">
        <v>59</v>
      </c>
      <c r="E425" s="1" t="s">
        <v>38</v>
      </c>
      <c r="F425" s="1" t="s">
        <v>52</v>
      </c>
      <c r="G425" s="2">
        <v>45292</v>
      </c>
      <c r="H425" s="2">
        <v>45342</v>
      </c>
      <c r="I425" s="1">
        <v>28481.87</v>
      </c>
      <c r="J425" s="1">
        <v>0.55469999999999997</v>
      </c>
      <c r="K425" s="1">
        <v>15798.89</v>
      </c>
      <c r="L425" s="1">
        <v>127955</v>
      </c>
      <c r="M425" s="1">
        <v>47270</v>
      </c>
      <c r="N425" s="1">
        <v>217385.43</v>
      </c>
      <c r="O425" s="1">
        <v>2024</v>
      </c>
      <c r="P425" s="1" t="s">
        <v>56</v>
      </c>
      <c r="Q425" s="1" t="s">
        <v>40</v>
      </c>
      <c r="R425" s="4" t="s">
        <v>61</v>
      </c>
      <c r="S425" s="25">
        <f>Table1[[#This Row],[Clicks]]/Table1[[#This Row],[Impressions]]</f>
        <v>0.36942675159235666</v>
      </c>
      <c r="T425" s="22">
        <f>Table1[[#This Row],[Sales]]/Table1[[#This Row],[USD_Spend]]</f>
        <v>13.759538170086632</v>
      </c>
      <c r="U425" s="1" t="str">
        <f>Outlier_Check!C435</f>
        <v>Normal</v>
      </c>
    </row>
    <row r="426" spans="1:21" x14ac:dyDescent="0.35">
      <c r="A426" s="3" t="s">
        <v>91</v>
      </c>
      <c r="B426" s="1" t="s">
        <v>48</v>
      </c>
      <c r="C426" s="1" t="s">
        <v>36</v>
      </c>
      <c r="D426" s="1" t="s">
        <v>51</v>
      </c>
      <c r="E426" s="1" t="s">
        <v>38</v>
      </c>
      <c r="F426" s="1" t="s">
        <v>44</v>
      </c>
      <c r="G426" s="2">
        <v>45292</v>
      </c>
      <c r="H426" s="2">
        <v>45317</v>
      </c>
      <c r="I426" s="1">
        <v>9507.4599999999991</v>
      </c>
      <c r="J426" s="1">
        <v>0.48849999999999999</v>
      </c>
      <c r="K426" s="1">
        <v>4644.3900000000003</v>
      </c>
      <c r="L426" s="1">
        <v>341601</v>
      </c>
      <c r="M426" s="1">
        <v>885</v>
      </c>
      <c r="N426" s="1">
        <v>100350.73</v>
      </c>
      <c r="O426" s="1">
        <v>2024</v>
      </c>
      <c r="P426" s="1" t="s">
        <v>56</v>
      </c>
      <c r="Q426" s="1" t="s">
        <v>40</v>
      </c>
      <c r="R426" s="4" t="s">
        <v>41</v>
      </c>
      <c r="S426" s="25">
        <f>Table1[[#This Row],[Clicks]]/Table1[[#This Row],[Impressions]]</f>
        <v>2.5907418303810588E-3</v>
      </c>
      <c r="T426" s="22">
        <f>Table1[[#This Row],[Sales]]/Table1[[#This Row],[USD_Spend]]</f>
        <v>21.606869793449729</v>
      </c>
      <c r="U426" s="1" t="str">
        <f>Outlier_Check!C436</f>
        <v>Normal</v>
      </c>
    </row>
    <row r="427" spans="1:21" x14ac:dyDescent="0.35">
      <c r="A427" s="3" t="s">
        <v>89</v>
      </c>
      <c r="B427" s="1" t="s">
        <v>28</v>
      </c>
      <c r="C427" s="1" t="s">
        <v>69</v>
      </c>
      <c r="D427" s="1" t="s">
        <v>59</v>
      </c>
      <c r="E427" s="1" t="s">
        <v>22</v>
      </c>
      <c r="F427" s="1" t="s">
        <v>23</v>
      </c>
      <c r="G427" s="2">
        <v>45293</v>
      </c>
      <c r="H427" s="2">
        <v>45343</v>
      </c>
      <c r="I427" s="1">
        <v>21078.06</v>
      </c>
      <c r="J427" s="1">
        <v>0.20080000000000001</v>
      </c>
      <c r="K427" s="1">
        <v>4232.47</v>
      </c>
      <c r="L427" s="1">
        <v>584765</v>
      </c>
      <c r="M427" s="1">
        <v>32629</v>
      </c>
      <c r="N427" s="1">
        <v>228037.37</v>
      </c>
      <c r="O427" s="1">
        <v>2024</v>
      </c>
      <c r="P427" s="1" t="s">
        <v>56</v>
      </c>
      <c r="Q427" s="1" t="s">
        <v>40</v>
      </c>
      <c r="R427" s="4" t="s">
        <v>26</v>
      </c>
      <c r="S427" s="25">
        <f>Table1[[#This Row],[Clicks]]/Table1[[#This Row],[Impressions]]</f>
        <v>5.57984831513514E-2</v>
      </c>
      <c r="T427" s="22">
        <f>Table1[[#This Row],[Sales]]/Table1[[#This Row],[USD_Spend]]</f>
        <v>53.878083010629723</v>
      </c>
      <c r="U427" s="1" t="str">
        <f>Outlier_Check!C437</f>
        <v>Normal</v>
      </c>
    </row>
    <row r="428" spans="1:21" x14ac:dyDescent="0.35">
      <c r="A428" s="3" t="s">
        <v>89</v>
      </c>
      <c r="B428" s="1" t="s">
        <v>19</v>
      </c>
      <c r="C428" s="1" t="s">
        <v>20</v>
      </c>
      <c r="D428" s="1" t="s">
        <v>51</v>
      </c>
      <c r="E428" s="1" t="s">
        <v>30</v>
      </c>
      <c r="F428" s="1" t="s">
        <v>23</v>
      </c>
      <c r="G428" s="2">
        <v>45293</v>
      </c>
      <c r="H428" s="2">
        <v>45309</v>
      </c>
      <c r="I428" s="1">
        <v>11616.95</v>
      </c>
      <c r="J428" s="1">
        <v>5.0999999999999997E-2</v>
      </c>
      <c r="K428" s="1">
        <v>592.46</v>
      </c>
      <c r="L428" s="1">
        <v>717835</v>
      </c>
      <c r="M428" s="1">
        <v>34984</v>
      </c>
      <c r="N428" s="1">
        <v>57960.79</v>
      </c>
      <c r="O428" s="1">
        <v>2024</v>
      </c>
      <c r="P428" s="1" t="s">
        <v>56</v>
      </c>
      <c r="Q428" s="1" t="s">
        <v>40</v>
      </c>
      <c r="R428" s="4" t="s">
        <v>54</v>
      </c>
      <c r="S428" s="25">
        <f>Table1[[#This Row],[Clicks]]/Table1[[#This Row],[Impressions]]</f>
        <v>4.8735433630291085E-2</v>
      </c>
      <c r="T428" s="22">
        <f>Table1[[#This Row],[Sales]]/Table1[[#This Row],[USD_Spend]]</f>
        <v>97.830722749215127</v>
      </c>
      <c r="U428" s="1" t="str">
        <f>Outlier_Check!C438</f>
        <v>Normal</v>
      </c>
    </row>
    <row r="429" spans="1:21" x14ac:dyDescent="0.35">
      <c r="A429" s="3" t="s">
        <v>18</v>
      </c>
      <c r="B429" s="1" t="s">
        <v>48</v>
      </c>
      <c r="C429" s="1" t="s">
        <v>58</v>
      </c>
      <c r="D429" s="1" t="s">
        <v>37</v>
      </c>
      <c r="E429" s="1" t="s">
        <v>22</v>
      </c>
      <c r="F429" s="1" t="s">
        <v>44</v>
      </c>
      <c r="G429" s="2">
        <v>45296</v>
      </c>
      <c r="H429" s="2">
        <v>45321</v>
      </c>
      <c r="I429" s="1">
        <v>7467.16</v>
      </c>
      <c r="J429" s="1">
        <v>1.0344</v>
      </c>
      <c r="K429" s="1">
        <v>7724.03</v>
      </c>
      <c r="L429" s="1">
        <v>605990</v>
      </c>
      <c r="M429" s="1">
        <v>27681</v>
      </c>
      <c r="N429" s="1">
        <v>94526.05</v>
      </c>
      <c r="O429" s="1">
        <v>2024</v>
      </c>
      <c r="P429" s="1" t="s">
        <v>56</v>
      </c>
      <c r="Q429" s="1" t="s">
        <v>40</v>
      </c>
      <c r="R429" s="4" t="s">
        <v>26</v>
      </c>
      <c r="S429" s="25">
        <f>Table1[[#This Row],[Clicks]]/Table1[[#This Row],[Impressions]]</f>
        <v>4.5678971600191423E-2</v>
      </c>
      <c r="T429" s="22">
        <f>Table1[[#This Row],[Sales]]/Table1[[#This Row],[USD_Spend]]</f>
        <v>12.237918547701137</v>
      </c>
      <c r="U429" s="1" t="str">
        <f>Outlier_Check!C439</f>
        <v>Normal</v>
      </c>
    </row>
    <row r="430" spans="1:21" x14ac:dyDescent="0.35">
      <c r="A430" s="3" t="s">
        <v>91</v>
      </c>
      <c r="B430" s="1" t="s">
        <v>19</v>
      </c>
      <c r="C430" s="1" t="s">
        <v>29</v>
      </c>
      <c r="D430" s="1" t="s">
        <v>63</v>
      </c>
      <c r="E430" s="1" t="s">
        <v>22</v>
      </c>
      <c r="F430" s="1" t="s">
        <v>49</v>
      </c>
      <c r="G430" s="2">
        <v>45296</v>
      </c>
      <c r="H430" s="2">
        <v>45317</v>
      </c>
      <c r="I430" s="1">
        <v>47266.89</v>
      </c>
      <c r="J430" s="1">
        <v>0.8679</v>
      </c>
      <c r="K430" s="1">
        <v>41022.93</v>
      </c>
      <c r="L430" s="1">
        <v>529886</v>
      </c>
      <c r="M430" s="1">
        <v>39015</v>
      </c>
      <c r="N430" s="1">
        <v>156083.85</v>
      </c>
      <c r="O430" s="1">
        <v>2024</v>
      </c>
      <c r="P430" s="1" t="s">
        <v>56</v>
      </c>
      <c r="Q430" s="1" t="s">
        <v>40</v>
      </c>
      <c r="R430" s="4" t="s">
        <v>41</v>
      </c>
      <c r="S430" s="25">
        <f>Table1[[#This Row],[Clicks]]/Table1[[#This Row],[Impressions]]</f>
        <v>7.3629044737924768E-2</v>
      </c>
      <c r="T430" s="22">
        <f>Table1[[#This Row],[Sales]]/Table1[[#This Row],[USD_Spend]]</f>
        <v>3.8047952693773945</v>
      </c>
      <c r="U430" s="1" t="str">
        <f>Outlier_Check!C440</f>
        <v>Normal</v>
      </c>
    </row>
    <row r="431" spans="1:21" x14ac:dyDescent="0.35">
      <c r="A431" s="3" t="s">
        <v>88</v>
      </c>
      <c r="B431" s="1" t="s">
        <v>19</v>
      </c>
      <c r="C431" s="1" t="s">
        <v>29</v>
      </c>
      <c r="D431" s="1" t="s">
        <v>63</v>
      </c>
      <c r="E431" s="1" t="s">
        <v>30</v>
      </c>
      <c r="F431" s="1" t="s">
        <v>23</v>
      </c>
      <c r="G431" s="2">
        <v>45296</v>
      </c>
      <c r="H431" s="2">
        <v>45304</v>
      </c>
      <c r="I431" s="1">
        <v>43319.23</v>
      </c>
      <c r="J431" s="1">
        <v>0.26919999999999999</v>
      </c>
      <c r="K431" s="1">
        <v>11661.54</v>
      </c>
      <c r="L431" s="1">
        <v>128414</v>
      </c>
      <c r="M431" s="1">
        <v>15564</v>
      </c>
      <c r="N431" s="1">
        <v>160062.70000000001</v>
      </c>
      <c r="O431" s="1">
        <v>2024</v>
      </c>
      <c r="P431" s="1" t="s">
        <v>56</v>
      </c>
      <c r="Q431" s="1" t="s">
        <v>40</v>
      </c>
      <c r="R431" s="4" t="s">
        <v>54</v>
      </c>
      <c r="S431" s="25">
        <f>Table1[[#This Row],[Clicks]]/Table1[[#This Row],[Impressions]]</f>
        <v>0.12120173812824146</v>
      </c>
      <c r="T431" s="22">
        <f>Table1[[#This Row],[Sales]]/Table1[[#This Row],[USD_Spend]]</f>
        <v>13.725691460990573</v>
      </c>
      <c r="U431" s="1" t="str">
        <f>Outlier_Check!C441</f>
        <v>Normal</v>
      </c>
    </row>
    <row r="432" spans="1:21" x14ac:dyDescent="0.35">
      <c r="A432" s="3" t="s">
        <v>96</v>
      </c>
      <c r="B432" s="1" t="s">
        <v>28</v>
      </c>
      <c r="C432" s="1" t="s">
        <v>69</v>
      </c>
      <c r="D432" s="1" t="s">
        <v>37</v>
      </c>
      <c r="E432" s="1" t="s">
        <v>38</v>
      </c>
      <c r="F432" s="1" t="s">
        <v>52</v>
      </c>
      <c r="G432" s="2">
        <v>45297</v>
      </c>
      <c r="H432" s="2">
        <v>45335</v>
      </c>
      <c r="I432" s="1">
        <v>38192.06</v>
      </c>
      <c r="J432" s="1">
        <v>1.0617000000000001</v>
      </c>
      <c r="K432" s="1">
        <v>40548.51</v>
      </c>
      <c r="L432" s="1">
        <v>245455</v>
      </c>
      <c r="M432" s="1">
        <v>3177</v>
      </c>
      <c r="N432" s="1">
        <v>73093.59</v>
      </c>
      <c r="O432" s="1">
        <v>2024</v>
      </c>
      <c r="P432" s="1" t="s">
        <v>56</v>
      </c>
      <c r="Q432" s="1" t="s">
        <v>40</v>
      </c>
      <c r="R432" s="4" t="s">
        <v>41</v>
      </c>
      <c r="S432" s="25">
        <f>Table1[[#This Row],[Clicks]]/Table1[[#This Row],[Impressions]]</f>
        <v>1.2943309364241918E-2</v>
      </c>
      <c r="T432" s="22">
        <f>Table1[[#This Row],[Sales]]/Table1[[#This Row],[USD_Spend]]</f>
        <v>1.8026208607911856</v>
      </c>
      <c r="U432" s="1" t="str">
        <f>Outlier_Check!C442</f>
        <v>Normal</v>
      </c>
    </row>
    <row r="433" spans="1:21" x14ac:dyDescent="0.35">
      <c r="A433" s="3" t="s">
        <v>114</v>
      </c>
      <c r="B433" s="1" t="s">
        <v>35</v>
      </c>
      <c r="C433" s="1" t="s">
        <v>36</v>
      </c>
      <c r="D433" s="1" t="s">
        <v>37</v>
      </c>
      <c r="E433" s="1" t="s">
        <v>22</v>
      </c>
      <c r="F433" s="1" t="s">
        <v>52</v>
      </c>
      <c r="G433" s="2">
        <v>45298</v>
      </c>
      <c r="H433" s="2">
        <v>45303</v>
      </c>
      <c r="I433" s="1">
        <v>4612.83</v>
      </c>
      <c r="J433" s="1">
        <v>4.5699999999999998E-2</v>
      </c>
      <c r="K433" s="1">
        <v>210.81</v>
      </c>
      <c r="L433" s="1">
        <v>130784</v>
      </c>
      <c r="M433" s="1">
        <v>9432</v>
      </c>
      <c r="N433" s="1">
        <v>76191.17</v>
      </c>
      <c r="O433" s="1">
        <v>2024</v>
      </c>
      <c r="P433" s="1" t="s">
        <v>56</v>
      </c>
      <c r="Q433" s="1" t="s">
        <v>40</v>
      </c>
      <c r="R433" s="4" t="s">
        <v>41</v>
      </c>
      <c r="S433" s="25">
        <f>Table1[[#This Row],[Clicks]]/Table1[[#This Row],[Impressions]]</f>
        <v>7.2118913628578418E-2</v>
      </c>
      <c r="T433" s="22">
        <f>Table1[[#This Row],[Sales]]/Table1[[#This Row],[USD_Spend]]</f>
        <v>361.42104264503581</v>
      </c>
      <c r="U433" s="1" t="str">
        <f>Outlier_Check!C443</f>
        <v>Normal</v>
      </c>
    </row>
    <row r="434" spans="1:21" x14ac:dyDescent="0.35">
      <c r="A434" s="3" t="s">
        <v>107</v>
      </c>
      <c r="B434" s="1" t="s">
        <v>28</v>
      </c>
      <c r="C434" s="1" t="s">
        <v>69</v>
      </c>
      <c r="D434" s="1" t="s">
        <v>51</v>
      </c>
      <c r="E434" s="1" t="s">
        <v>38</v>
      </c>
      <c r="F434" s="1" t="s">
        <v>23</v>
      </c>
      <c r="G434" s="2">
        <v>45299</v>
      </c>
      <c r="H434" s="2">
        <v>45356</v>
      </c>
      <c r="I434" s="1">
        <v>3659.49</v>
      </c>
      <c r="J434" s="1">
        <v>0.27529999999999999</v>
      </c>
      <c r="K434" s="1">
        <v>1007.46</v>
      </c>
      <c r="L434" s="1">
        <v>486535</v>
      </c>
      <c r="M434" s="1">
        <v>21856</v>
      </c>
      <c r="N434" s="1">
        <v>142236.96</v>
      </c>
      <c r="O434" s="1">
        <v>2024</v>
      </c>
      <c r="P434" s="1" t="s">
        <v>56</v>
      </c>
      <c r="Q434" s="1" t="s">
        <v>40</v>
      </c>
      <c r="R434" s="4" t="s">
        <v>26</v>
      </c>
      <c r="S434" s="25">
        <f>Table1[[#This Row],[Clicks]]/Table1[[#This Row],[Impressions]]</f>
        <v>4.4921742526231413E-2</v>
      </c>
      <c r="T434" s="22">
        <f>Table1[[#This Row],[Sales]]/Table1[[#This Row],[USD_Spend]]</f>
        <v>141.18372937883387</v>
      </c>
      <c r="U434" s="1" t="str">
        <f>Outlier_Check!C444</f>
        <v>Normal</v>
      </c>
    </row>
    <row r="435" spans="1:21" x14ac:dyDescent="0.35">
      <c r="A435" s="3" t="s">
        <v>67</v>
      </c>
      <c r="B435" s="1" t="s">
        <v>19</v>
      </c>
      <c r="C435" s="1" t="s">
        <v>20</v>
      </c>
      <c r="D435" s="1" t="s">
        <v>51</v>
      </c>
      <c r="E435" s="1" t="s">
        <v>30</v>
      </c>
      <c r="F435" s="1" t="s">
        <v>23</v>
      </c>
      <c r="G435" s="2">
        <v>45299</v>
      </c>
      <c r="H435" s="2">
        <v>45346</v>
      </c>
      <c r="I435" s="1">
        <v>33214.1</v>
      </c>
      <c r="J435" s="1">
        <v>0.11749999999999999</v>
      </c>
      <c r="K435" s="1">
        <v>3902.66</v>
      </c>
      <c r="L435" s="1">
        <v>998977</v>
      </c>
      <c r="M435" s="1">
        <v>47563</v>
      </c>
      <c r="N435" s="1">
        <v>211473.82</v>
      </c>
      <c r="O435" s="1">
        <v>2024</v>
      </c>
      <c r="P435" s="1" t="s">
        <v>56</v>
      </c>
      <c r="Q435" s="1" t="s">
        <v>40</v>
      </c>
      <c r="R435" s="4" t="s">
        <v>41</v>
      </c>
      <c r="S435" s="25">
        <f>Table1[[#This Row],[Clicks]]/Table1[[#This Row],[Impressions]]</f>
        <v>4.7611706776031881E-2</v>
      </c>
      <c r="T435" s="22">
        <f>Table1[[#This Row],[Sales]]/Table1[[#This Row],[USD_Spend]]</f>
        <v>54.18709803057402</v>
      </c>
      <c r="U435" s="1" t="str">
        <f>Outlier_Check!C445</f>
        <v>Normal</v>
      </c>
    </row>
    <row r="436" spans="1:21" x14ac:dyDescent="0.35">
      <c r="A436" s="3" t="s">
        <v>103</v>
      </c>
      <c r="B436" s="1" t="s">
        <v>28</v>
      </c>
      <c r="C436" s="1" t="s">
        <v>29</v>
      </c>
      <c r="D436" s="1" t="s">
        <v>63</v>
      </c>
      <c r="E436" s="1" t="s">
        <v>22</v>
      </c>
      <c r="F436" s="1" t="s">
        <v>49</v>
      </c>
      <c r="G436" s="2">
        <v>45299</v>
      </c>
      <c r="H436" s="2">
        <v>45328</v>
      </c>
      <c r="I436" s="1">
        <v>46091.1</v>
      </c>
      <c r="J436" s="1">
        <v>0.223</v>
      </c>
      <c r="K436" s="1">
        <v>10278.32</v>
      </c>
      <c r="L436" s="1">
        <v>909138</v>
      </c>
      <c r="M436" s="1">
        <v>2417</v>
      </c>
      <c r="N436" s="1">
        <v>140451.87</v>
      </c>
      <c r="O436" s="1">
        <v>2024</v>
      </c>
      <c r="P436" s="1" t="s">
        <v>56</v>
      </c>
      <c r="Q436" s="1" t="s">
        <v>40</v>
      </c>
      <c r="R436" s="4" t="s">
        <v>41</v>
      </c>
      <c r="S436" s="25">
        <f>Table1[[#This Row],[Clicks]]/Table1[[#This Row],[Impressions]]</f>
        <v>2.6585622864735607E-3</v>
      </c>
      <c r="T436" s="22">
        <f>Table1[[#This Row],[Sales]]/Table1[[#This Row],[USD_Spend]]</f>
        <v>13.664866437316604</v>
      </c>
      <c r="U436" s="1" t="str">
        <f>Outlier_Check!C446</f>
        <v>Normal</v>
      </c>
    </row>
    <row r="437" spans="1:21" x14ac:dyDescent="0.35">
      <c r="A437" s="3" t="s">
        <v>96</v>
      </c>
      <c r="B437" s="1" t="s">
        <v>35</v>
      </c>
      <c r="C437" s="1" t="s">
        <v>36</v>
      </c>
      <c r="D437" s="1" t="s">
        <v>51</v>
      </c>
      <c r="E437" s="1" t="s">
        <v>22</v>
      </c>
      <c r="F437" s="1" t="s">
        <v>49</v>
      </c>
      <c r="G437" s="2">
        <v>45300</v>
      </c>
      <c r="H437" s="2">
        <v>45334</v>
      </c>
      <c r="I437" s="1">
        <v>8239.44</v>
      </c>
      <c r="J437" s="1">
        <v>0.18909999999999999</v>
      </c>
      <c r="K437" s="1">
        <v>1558.08</v>
      </c>
      <c r="L437" s="1">
        <v>728596</v>
      </c>
      <c r="M437" s="1">
        <v>19778</v>
      </c>
      <c r="N437" s="1">
        <v>211809.89</v>
      </c>
      <c r="O437" s="1">
        <v>2024</v>
      </c>
      <c r="P437" s="1" t="s">
        <v>56</v>
      </c>
      <c r="Q437" s="1" t="s">
        <v>40</v>
      </c>
      <c r="R437" s="4" t="s">
        <v>41</v>
      </c>
      <c r="S437" s="25">
        <f>Table1[[#This Row],[Clicks]]/Table1[[#This Row],[Impressions]]</f>
        <v>2.7145359019264449E-2</v>
      </c>
      <c r="T437" s="22">
        <f>Table1[[#This Row],[Sales]]/Table1[[#This Row],[USD_Spend]]</f>
        <v>135.94288483261451</v>
      </c>
      <c r="U437" s="1" t="str">
        <f>Outlier_Check!C447</f>
        <v>Normal</v>
      </c>
    </row>
    <row r="438" spans="1:21" x14ac:dyDescent="0.35">
      <c r="A438" s="3" t="s">
        <v>104</v>
      </c>
      <c r="B438" s="1" t="s">
        <v>19</v>
      </c>
      <c r="C438" s="1" t="s">
        <v>29</v>
      </c>
      <c r="D438" s="1" t="s">
        <v>43</v>
      </c>
      <c r="E438" s="1" t="s">
        <v>38</v>
      </c>
      <c r="F438" s="1" t="s">
        <v>52</v>
      </c>
      <c r="G438" s="2">
        <v>45301</v>
      </c>
      <c r="H438" s="2">
        <v>45334</v>
      </c>
      <c r="I438" s="1">
        <v>31863.37</v>
      </c>
      <c r="J438" s="1">
        <v>0.1497</v>
      </c>
      <c r="K438" s="1">
        <v>4769.95</v>
      </c>
      <c r="L438" s="1">
        <v>467311</v>
      </c>
      <c r="M438" s="1">
        <v>4537</v>
      </c>
      <c r="N438" s="1">
        <v>123291.05</v>
      </c>
      <c r="O438" s="1">
        <v>2024</v>
      </c>
      <c r="P438" s="1" t="s">
        <v>56</v>
      </c>
      <c r="Q438" s="1" t="s">
        <v>40</v>
      </c>
      <c r="R438" s="4" t="s">
        <v>41</v>
      </c>
      <c r="S438" s="25">
        <f>Table1[[#This Row],[Clicks]]/Table1[[#This Row],[Impressions]]</f>
        <v>9.7087378640776691E-3</v>
      </c>
      <c r="T438" s="22">
        <f>Table1[[#This Row],[Sales]]/Table1[[#This Row],[USD_Spend]]</f>
        <v>25.847451231144984</v>
      </c>
      <c r="U438" s="1" t="str">
        <f>Outlier_Check!C448</f>
        <v>Normal</v>
      </c>
    </row>
    <row r="439" spans="1:21" x14ac:dyDescent="0.35">
      <c r="A439" s="3" t="s">
        <v>98</v>
      </c>
      <c r="B439" s="1" t="s">
        <v>28</v>
      </c>
      <c r="C439" s="1" t="s">
        <v>20</v>
      </c>
      <c r="D439" s="1" t="s">
        <v>21</v>
      </c>
      <c r="E439" s="1" t="s">
        <v>30</v>
      </c>
      <c r="F439" s="1" t="s">
        <v>31</v>
      </c>
      <c r="G439" s="2">
        <v>45301</v>
      </c>
      <c r="H439" s="2">
        <v>45308</v>
      </c>
      <c r="I439" s="1">
        <v>20628.5</v>
      </c>
      <c r="J439" s="1">
        <v>0.68859999999999999</v>
      </c>
      <c r="K439" s="1">
        <v>14204.79</v>
      </c>
      <c r="L439" s="1">
        <v>214110</v>
      </c>
      <c r="M439" s="1">
        <v>23858</v>
      </c>
      <c r="N439" s="1">
        <v>140539.62</v>
      </c>
      <c r="O439" s="1">
        <v>2024</v>
      </c>
      <c r="P439" s="1" t="s">
        <v>56</v>
      </c>
      <c r="Q439" s="1" t="s">
        <v>40</v>
      </c>
      <c r="R439" s="4" t="s">
        <v>26</v>
      </c>
      <c r="S439" s="25">
        <f>Table1[[#This Row],[Clicks]]/Table1[[#This Row],[Impressions]]</f>
        <v>0.11142870487132782</v>
      </c>
      <c r="T439" s="22">
        <f>Table1[[#This Row],[Sales]]/Table1[[#This Row],[USD_Spend]]</f>
        <v>9.8938189160135401</v>
      </c>
      <c r="U439" s="1" t="str">
        <f>Outlier_Check!C449</f>
        <v>Normal</v>
      </c>
    </row>
    <row r="440" spans="1:21" x14ac:dyDescent="0.35">
      <c r="A440" s="3" t="s">
        <v>83</v>
      </c>
      <c r="B440" s="1" t="s">
        <v>19</v>
      </c>
      <c r="C440" s="1" t="s">
        <v>69</v>
      </c>
      <c r="D440" s="1" t="s">
        <v>37</v>
      </c>
      <c r="E440" s="1" t="s">
        <v>38</v>
      </c>
      <c r="F440" s="1" t="s">
        <v>44</v>
      </c>
      <c r="G440" s="2">
        <v>45303</v>
      </c>
      <c r="H440" s="2">
        <v>45359</v>
      </c>
      <c r="I440" s="1">
        <v>25379.61</v>
      </c>
      <c r="J440" s="1">
        <v>0.33489999999999998</v>
      </c>
      <c r="K440" s="1">
        <v>8499.6299999999992</v>
      </c>
      <c r="L440" s="1">
        <v>35918</v>
      </c>
      <c r="M440" s="1">
        <v>11868</v>
      </c>
      <c r="N440" s="1">
        <v>113213.68</v>
      </c>
      <c r="O440" s="1">
        <v>2024</v>
      </c>
      <c r="P440" s="1" t="s">
        <v>56</v>
      </c>
      <c r="Q440" s="1" t="s">
        <v>40</v>
      </c>
      <c r="R440" s="4" t="s">
        <v>26</v>
      </c>
      <c r="S440" s="25">
        <f>Table1[[#This Row],[Clicks]]/Table1[[#This Row],[Impressions]]</f>
        <v>0.33041928837908568</v>
      </c>
      <c r="T440" s="22">
        <f>Table1[[#This Row],[Sales]]/Table1[[#This Row],[USD_Spend]]</f>
        <v>13.319836275226098</v>
      </c>
      <c r="U440" s="1" t="str">
        <f>Outlier_Check!C450</f>
        <v>Normal</v>
      </c>
    </row>
    <row r="441" spans="1:21" x14ac:dyDescent="0.35">
      <c r="A441" s="3" t="s">
        <v>50</v>
      </c>
      <c r="B441" s="1" t="s">
        <v>35</v>
      </c>
      <c r="C441" s="1" t="s">
        <v>58</v>
      </c>
      <c r="D441" s="1" t="s">
        <v>51</v>
      </c>
      <c r="E441" s="1" t="s">
        <v>30</v>
      </c>
      <c r="F441" s="1" t="s">
        <v>49</v>
      </c>
      <c r="G441" s="2">
        <v>45303</v>
      </c>
      <c r="H441" s="2">
        <v>45347</v>
      </c>
      <c r="I441" s="1">
        <v>11821.61</v>
      </c>
      <c r="J441" s="1">
        <v>1.1493</v>
      </c>
      <c r="K441" s="1">
        <v>13586.58</v>
      </c>
      <c r="L441" s="1">
        <v>511410</v>
      </c>
      <c r="M441" s="1">
        <v>10139</v>
      </c>
      <c r="N441" s="1">
        <v>116469.77</v>
      </c>
      <c r="O441" s="1">
        <v>2024</v>
      </c>
      <c r="P441" s="1" t="s">
        <v>56</v>
      </c>
      <c r="Q441" s="1" t="s">
        <v>40</v>
      </c>
      <c r="R441" s="4" t="s">
        <v>61</v>
      </c>
      <c r="S441" s="25">
        <f>Table1[[#This Row],[Clicks]]/Table1[[#This Row],[Impressions]]</f>
        <v>1.9825580258501008E-2</v>
      </c>
      <c r="T441" s="22">
        <f>Table1[[#This Row],[Sales]]/Table1[[#This Row],[USD_Spend]]</f>
        <v>8.5724126306988229</v>
      </c>
      <c r="U441" s="1" t="str">
        <f>Outlier_Check!C451</f>
        <v>Normal</v>
      </c>
    </row>
    <row r="442" spans="1:21" x14ac:dyDescent="0.35">
      <c r="A442" s="3" t="s">
        <v>62</v>
      </c>
      <c r="B442" s="1" t="s">
        <v>19</v>
      </c>
      <c r="C442" s="1" t="s">
        <v>36</v>
      </c>
      <c r="D442" s="1" t="s">
        <v>37</v>
      </c>
      <c r="E442" s="1" t="s">
        <v>22</v>
      </c>
      <c r="F442" s="1" t="s">
        <v>23</v>
      </c>
      <c r="G442" s="2">
        <v>45303</v>
      </c>
      <c r="H442" s="2">
        <v>45318</v>
      </c>
      <c r="I442" s="1">
        <v>13500.69</v>
      </c>
      <c r="J442" s="1">
        <v>0.13250000000000001</v>
      </c>
      <c r="K442" s="1">
        <v>1788.84</v>
      </c>
      <c r="L442" s="1">
        <v>611790</v>
      </c>
      <c r="M442" s="1">
        <v>44279</v>
      </c>
      <c r="N442" s="1">
        <v>182080.7</v>
      </c>
      <c r="O442" s="1">
        <v>2024</v>
      </c>
      <c r="P442" s="1" t="s">
        <v>56</v>
      </c>
      <c r="Q442" s="1" t="s">
        <v>40</v>
      </c>
      <c r="R442" s="4" t="s">
        <v>54</v>
      </c>
      <c r="S442" s="25">
        <f>Table1[[#This Row],[Clicks]]/Table1[[#This Row],[Impressions]]</f>
        <v>7.2376142140276892E-2</v>
      </c>
      <c r="T442" s="22">
        <f>Table1[[#This Row],[Sales]]/Table1[[#This Row],[USD_Spend]]</f>
        <v>101.78702399320231</v>
      </c>
      <c r="U442" s="1" t="str">
        <f>Outlier_Check!C452</f>
        <v>Normal</v>
      </c>
    </row>
    <row r="443" spans="1:21" x14ac:dyDescent="0.35">
      <c r="A443" s="3" t="s">
        <v>72</v>
      </c>
      <c r="B443" s="1" t="s">
        <v>28</v>
      </c>
      <c r="C443" s="1" t="s">
        <v>58</v>
      </c>
      <c r="D443" s="1" t="s">
        <v>37</v>
      </c>
      <c r="E443" s="1" t="s">
        <v>30</v>
      </c>
      <c r="F443" s="1" t="s">
        <v>31</v>
      </c>
      <c r="G443" s="2">
        <v>45304</v>
      </c>
      <c r="H443" s="2">
        <v>45325</v>
      </c>
      <c r="I443" s="1">
        <v>25636.87</v>
      </c>
      <c r="J443" s="1">
        <v>2.5499999999999998E-2</v>
      </c>
      <c r="K443" s="1">
        <v>653.74</v>
      </c>
      <c r="L443" s="1">
        <v>296290</v>
      </c>
      <c r="M443" s="1">
        <v>2297</v>
      </c>
      <c r="N443" s="1">
        <v>163568.44</v>
      </c>
      <c r="O443" s="1">
        <v>2024</v>
      </c>
      <c r="P443" s="1" t="s">
        <v>56</v>
      </c>
      <c r="Q443" s="1" t="s">
        <v>40</v>
      </c>
      <c r="R443" s="4" t="s">
        <v>41</v>
      </c>
      <c r="S443" s="25">
        <f>Table1[[#This Row],[Clicks]]/Table1[[#This Row],[Impressions]]</f>
        <v>7.7525397414695066E-3</v>
      </c>
      <c r="T443" s="22">
        <f>Table1[[#This Row],[Sales]]/Table1[[#This Row],[USD_Spend]]</f>
        <v>250.20411784501485</v>
      </c>
      <c r="U443" s="1" t="str">
        <f>Outlier_Check!C453</f>
        <v>Normal</v>
      </c>
    </row>
    <row r="444" spans="1:21" x14ac:dyDescent="0.35">
      <c r="A444" s="3" t="s">
        <v>88</v>
      </c>
      <c r="B444" s="1" t="s">
        <v>28</v>
      </c>
      <c r="C444" s="1" t="s">
        <v>29</v>
      </c>
      <c r="D444" s="1" t="s">
        <v>51</v>
      </c>
      <c r="E444" s="1" t="s">
        <v>38</v>
      </c>
      <c r="F444" s="1" t="s">
        <v>49</v>
      </c>
      <c r="G444" s="2">
        <v>45305</v>
      </c>
      <c r="H444" s="2">
        <v>45347</v>
      </c>
      <c r="I444" s="1">
        <v>34529.089999999997</v>
      </c>
      <c r="J444" s="1">
        <v>0.55520000000000003</v>
      </c>
      <c r="K444" s="1">
        <v>19170.55</v>
      </c>
      <c r="L444" s="1">
        <v>20821</v>
      </c>
      <c r="M444" s="1">
        <v>30828</v>
      </c>
      <c r="N444" s="1">
        <v>37635.21</v>
      </c>
      <c r="O444" s="1">
        <v>2024</v>
      </c>
      <c r="P444" s="1" t="s">
        <v>56</v>
      </c>
      <c r="Q444" s="1" t="s">
        <v>40</v>
      </c>
      <c r="R444" s="4" t="s">
        <v>41</v>
      </c>
      <c r="S444" s="25">
        <f>Table1[[#This Row],[Clicks]]/Table1[[#This Row],[Impressions]]</f>
        <v>1.4806205273521924</v>
      </c>
      <c r="T444" s="22">
        <f>Table1[[#This Row],[Sales]]/Table1[[#This Row],[USD_Spend]]</f>
        <v>1.963178416894664</v>
      </c>
      <c r="U444" s="1" t="str">
        <f>Outlier_Check!C454</f>
        <v>Normal</v>
      </c>
    </row>
    <row r="445" spans="1:21" x14ac:dyDescent="0.35">
      <c r="A445" s="3" t="s">
        <v>66</v>
      </c>
      <c r="B445" s="1" t="s">
        <v>35</v>
      </c>
      <c r="C445" s="1" t="s">
        <v>58</v>
      </c>
      <c r="D445" s="1" t="s">
        <v>43</v>
      </c>
      <c r="E445" s="1" t="s">
        <v>22</v>
      </c>
      <c r="F445" s="1" t="s">
        <v>44</v>
      </c>
      <c r="G445" s="2">
        <v>45305</v>
      </c>
      <c r="H445" s="2">
        <v>45321</v>
      </c>
      <c r="I445" s="1">
        <v>11052.61</v>
      </c>
      <c r="J445" s="1">
        <v>0.85150000000000003</v>
      </c>
      <c r="K445" s="1">
        <v>9411.2999999999993</v>
      </c>
      <c r="L445" s="1">
        <v>707883</v>
      </c>
      <c r="M445" s="1">
        <v>20871</v>
      </c>
      <c r="N445" s="1">
        <v>244615.53</v>
      </c>
      <c r="O445" s="1">
        <v>2024</v>
      </c>
      <c r="P445" s="1" t="s">
        <v>56</v>
      </c>
      <c r="Q445" s="1" t="s">
        <v>40</v>
      </c>
      <c r="R445" s="4" t="s">
        <v>41</v>
      </c>
      <c r="S445" s="25">
        <f>Table1[[#This Row],[Clicks]]/Table1[[#This Row],[Impressions]]</f>
        <v>2.9483685863341824E-2</v>
      </c>
      <c r="T445" s="22">
        <f>Table1[[#This Row],[Sales]]/Table1[[#This Row],[USD_Spend]]</f>
        <v>25.99168340186797</v>
      </c>
      <c r="U445" s="1" t="str">
        <f>Outlier_Check!C455</f>
        <v>Normal</v>
      </c>
    </row>
    <row r="446" spans="1:21" x14ac:dyDescent="0.35">
      <c r="A446" s="3" t="s">
        <v>82</v>
      </c>
      <c r="B446" s="1" t="s">
        <v>48</v>
      </c>
      <c r="C446" s="1" t="s">
        <v>69</v>
      </c>
      <c r="D446" s="1" t="s">
        <v>37</v>
      </c>
      <c r="E446" s="1" t="s">
        <v>22</v>
      </c>
      <c r="F446" s="1" t="s">
        <v>44</v>
      </c>
      <c r="G446" s="2">
        <v>45310</v>
      </c>
      <c r="H446" s="2">
        <v>45339</v>
      </c>
      <c r="I446" s="1">
        <v>22978.32</v>
      </c>
      <c r="J446" s="1">
        <v>1.1013999999999999</v>
      </c>
      <c r="K446" s="1">
        <v>25308.32</v>
      </c>
      <c r="L446" s="1">
        <v>405833</v>
      </c>
      <c r="M446" s="1">
        <v>24718</v>
      </c>
      <c r="N446" s="1">
        <v>24661.25</v>
      </c>
      <c r="O446" s="1">
        <v>2024</v>
      </c>
      <c r="P446" s="1" t="s">
        <v>56</v>
      </c>
      <c r="Q446" s="1" t="s">
        <v>40</v>
      </c>
      <c r="R446" s="4" t="s">
        <v>54</v>
      </c>
      <c r="S446" s="25">
        <f>Table1[[#This Row],[Clicks]]/Table1[[#This Row],[Impressions]]</f>
        <v>6.0906826206838773E-2</v>
      </c>
      <c r="T446" s="22">
        <f>Table1[[#This Row],[Sales]]/Table1[[#This Row],[USD_Spend]]</f>
        <v>0.97443251863418834</v>
      </c>
      <c r="U446" s="1" t="str">
        <f>Outlier_Check!C456</f>
        <v>Normal</v>
      </c>
    </row>
    <row r="447" spans="1:21" x14ac:dyDescent="0.35">
      <c r="A447" s="3" t="s">
        <v>93</v>
      </c>
      <c r="B447" s="1" t="s">
        <v>35</v>
      </c>
      <c r="C447" s="1" t="s">
        <v>69</v>
      </c>
      <c r="D447" s="1" t="s">
        <v>51</v>
      </c>
      <c r="E447" s="1" t="s">
        <v>22</v>
      </c>
      <c r="F447" s="1" t="s">
        <v>31</v>
      </c>
      <c r="G447" s="2">
        <v>45311</v>
      </c>
      <c r="H447" s="2">
        <v>45356</v>
      </c>
      <c r="I447" s="1">
        <v>27179.39</v>
      </c>
      <c r="J447" s="1">
        <v>0.20749999999999999</v>
      </c>
      <c r="K447" s="1">
        <v>5639.72</v>
      </c>
      <c r="L447" s="1">
        <v>645111</v>
      </c>
      <c r="M447" s="1">
        <v>25630</v>
      </c>
      <c r="N447" s="1">
        <v>50907.83</v>
      </c>
      <c r="O447" s="1">
        <v>2024</v>
      </c>
      <c r="P447" s="1" t="s">
        <v>56</v>
      </c>
      <c r="Q447" s="1" t="s">
        <v>40</v>
      </c>
      <c r="R447" s="4" t="s">
        <v>54</v>
      </c>
      <c r="S447" s="25">
        <f>Table1[[#This Row],[Clicks]]/Table1[[#This Row],[Impressions]]</f>
        <v>3.9729596922080078E-2</v>
      </c>
      <c r="T447" s="22">
        <f>Table1[[#This Row],[Sales]]/Table1[[#This Row],[USD_Spend]]</f>
        <v>9.0266591249210961</v>
      </c>
      <c r="U447" s="1" t="str">
        <f>Outlier_Check!C457</f>
        <v>Normal</v>
      </c>
    </row>
    <row r="448" spans="1:21" x14ac:dyDescent="0.35">
      <c r="A448" s="3" t="s">
        <v>105</v>
      </c>
      <c r="B448" s="1" t="s">
        <v>48</v>
      </c>
      <c r="C448" s="1" t="s">
        <v>20</v>
      </c>
      <c r="D448" s="1" t="s">
        <v>21</v>
      </c>
      <c r="E448" s="1" t="s">
        <v>38</v>
      </c>
      <c r="F448" s="1" t="s">
        <v>31</v>
      </c>
      <c r="G448" s="2">
        <v>45312</v>
      </c>
      <c r="H448" s="2">
        <v>45358</v>
      </c>
      <c r="I448" s="1">
        <v>19547.41</v>
      </c>
      <c r="J448" s="1">
        <v>0.70930000000000004</v>
      </c>
      <c r="K448" s="1">
        <v>13864.98</v>
      </c>
      <c r="L448" s="1">
        <v>951858</v>
      </c>
      <c r="M448" s="1">
        <v>5201</v>
      </c>
      <c r="N448" s="1">
        <v>131582.41</v>
      </c>
      <c r="O448" s="1">
        <v>2024</v>
      </c>
      <c r="P448" s="1" t="s">
        <v>56</v>
      </c>
      <c r="Q448" s="1" t="s">
        <v>40</v>
      </c>
      <c r="R448" s="4" t="s">
        <v>54</v>
      </c>
      <c r="S448" s="25">
        <f>Table1[[#This Row],[Clicks]]/Table1[[#This Row],[Impressions]]</f>
        <v>5.4640503100252345E-3</v>
      </c>
      <c r="T448" s="22">
        <f>Table1[[#This Row],[Sales]]/Table1[[#This Row],[USD_Spend]]</f>
        <v>9.4902704511654541</v>
      </c>
      <c r="U448" s="1" t="str">
        <f>Outlier_Check!C458</f>
        <v>Normal</v>
      </c>
    </row>
    <row r="449" spans="1:21" x14ac:dyDescent="0.35">
      <c r="A449" s="3" t="s">
        <v>114</v>
      </c>
      <c r="B449" s="1" t="s">
        <v>35</v>
      </c>
      <c r="C449" s="1" t="s">
        <v>36</v>
      </c>
      <c r="D449" s="1" t="s">
        <v>21</v>
      </c>
      <c r="E449" s="1" t="s">
        <v>30</v>
      </c>
      <c r="F449" s="1" t="s">
        <v>23</v>
      </c>
      <c r="G449" s="2">
        <v>45312</v>
      </c>
      <c r="H449" s="2">
        <v>45354</v>
      </c>
      <c r="I449" s="1">
        <v>45395.97</v>
      </c>
      <c r="J449" s="1">
        <v>0.63690000000000002</v>
      </c>
      <c r="K449" s="1">
        <v>28912.69</v>
      </c>
      <c r="L449" s="1">
        <v>277865</v>
      </c>
      <c r="M449" s="1">
        <v>11262</v>
      </c>
      <c r="N449" s="1">
        <v>19726.96</v>
      </c>
      <c r="O449" s="1">
        <v>2024</v>
      </c>
      <c r="P449" s="1" t="s">
        <v>56</v>
      </c>
      <c r="Q449" s="1" t="s">
        <v>40</v>
      </c>
      <c r="R449" s="4" t="s">
        <v>26</v>
      </c>
      <c r="S449" s="25">
        <f>Table1[[#This Row],[Clicks]]/Table1[[#This Row],[Impressions]]</f>
        <v>4.0530473431342556E-2</v>
      </c>
      <c r="T449" s="22">
        <f>Table1[[#This Row],[Sales]]/Table1[[#This Row],[USD_Spend]]</f>
        <v>0.68229417601752029</v>
      </c>
      <c r="U449" s="1" t="str">
        <f>Outlier_Check!C459</f>
        <v>Normal</v>
      </c>
    </row>
    <row r="450" spans="1:21" x14ac:dyDescent="0.35">
      <c r="A450" s="3" t="s">
        <v>103</v>
      </c>
      <c r="B450" s="1" t="s">
        <v>28</v>
      </c>
      <c r="C450" s="1" t="s">
        <v>20</v>
      </c>
      <c r="D450" s="1" t="s">
        <v>59</v>
      </c>
      <c r="E450" s="1" t="s">
        <v>38</v>
      </c>
      <c r="F450" s="1" t="s">
        <v>31</v>
      </c>
      <c r="G450" s="2">
        <v>45313</v>
      </c>
      <c r="H450" s="2">
        <v>45358</v>
      </c>
      <c r="I450" s="1">
        <v>6288.65</v>
      </c>
      <c r="J450" s="1">
        <v>0.33600000000000002</v>
      </c>
      <c r="K450" s="1">
        <v>2112.9899999999998</v>
      </c>
      <c r="L450" s="1">
        <v>667343</v>
      </c>
      <c r="M450" s="1">
        <v>44585</v>
      </c>
      <c r="N450" s="1">
        <v>138504.51999999999</v>
      </c>
      <c r="O450" s="1">
        <v>2024</v>
      </c>
      <c r="P450" s="1" t="s">
        <v>56</v>
      </c>
      <c r="Q450" s="1" t="s">
        <v>40</v>
      </c>
      <c r="R450" s="4" t="s">
        <v>41</v>
      </c>
      <c r="S450" s="25">
        <f>Table1[[#This Row],[Clicks]]/Table1[[#This Row],[Impressions]]</f>
        <v>6.68097215375002E-2</v>
      </c>
      <c r="T450" s="22">
        <f>Table1[[#This Row],[Sales]]/Table1[[#This Row],[USD_Spend]]</f>
        <v>65.549065542193759</v>
      </c>
      <c r="U450" s="1" t="str">
        <f>Outlier_Check!C460</f>
        <v>Normal</v>
      </c>
    </row>
    <row r="451" spans="1:21" x14ac:dyDescent="0.35">
      <c r="A451" s="3" t="s">
        <v>67</v>
      </c>
      <c r="B451" s="1" t="s">
        <v>35</v>
      </c>
      <c r="C451" s="1" t="s">
        <v>69</v>
      </c>
      <c r="D451" s="1" t="s">
        <v>51</v>
      </c>
      <c r="E451" s="1" t="s">
        <v>22</v>
      </c>
      <c r="F451" s="1" t="s">
        <v>44</v>
      </c>
      <c r="G451" s="2">
        <v>45315</v>
      </c>
      <c r="H451" s="2">
        <v>45361</v>
      </c>
      <c r="I451" s="1">
        <v>39583.29</v>
      </c>
      <c r="J451" s="1">
        <v>0.1421</v>
      </c>
      <c r="K451" s="1">
        <v>5624.79</v>
      </c>
      <c r="L451" s="1">
        <v>991586</v>
      </c>
      <c r="M451" s="1">
        <v>13878</v>
      </c>
      <c r="N451" s="1">
        <v>79742.73</v>
      </c>
      <c r="O451" s="1">
        <v>2024</v>
      </c>
      <c r="P451" s="1" t="s">
        <v>56</v>
      </c>
      <c r="Q451" s="1" t="s">
        <v>40</v>
      </c>
      <c r="R451" s="4" t="s">
        <v>54</v>
      </c>
      <c r="S451" s="25">
        <f>Table1[[#This Row],[Clicks]]/Table1[[#This Row],[Impressions]]</f>
        <v>1.3995760327394699E-2</v>
      </c>
      <c r="T451" s="22">
        <f>Table1[[#This Row],[Sales]]/Table1[[#This Row],[USD_Spend]]</f>
        <v>14.177014608545385</v>
      </c>
      <c r="U451" s="1" t="str">
        <f>Outlier_Check!C461</f>
        <v>Normal</v>
      </c>
    </row>
    <row r="452" spans="1:21" x14ac:dyDescent="0.35">
      <c r="A452" s="3" t="s">
        <v>55</v>
      </c>
      <c r="B452" s="1" t="s">
        <v>19</v>
      </c>
      <c r="C452" s="1" t="s">
        <v>29</v>
      </c>
      <c r="D452" s="1" t="s">
        <v>37</v>
      </c>
      <c r="E452" s="1" t="s">
        <v>38</v>
      </c>
      <c r="F452" s="1" t="s">
        <v>49</v>
      </c>
      <c r="G452" s="2">
        <v>45315</v>
      </c>
      <c r="H452" s="2">
        <v>45337</v>
      </c>
      <c r="I452" s="1">
        <v>49486.64</v>
      </c>
      <c r="J452" s="1">
        <v>0.77159999999999995</v>
      </c>
      <c r="K452" s="1">
        <v>38183.89</v>
      </c>
      <c r="L452" s="1">
        <v>594004</v>
      </c>
      <c r="M452" s="1">
        <v>14492</v>
      </c>
      <c r="N452" s="1">
        <v>172730.49</v>
      </c>
      <c r="O452" s="1">
        <v>2024</v>
      </c>
      <c r="P452" s="1" t="s">
        <v>56</v>
      </c>
      <c r="Q452" s="1" t="s">
        <v>40</v>
      </c>
      <c r="R452" s="4" t="s">
        <v>41</v>
      </c>
      <c r="S452" s="25">
        <f>Table1[[#This Row],[Clicks]]/Table1[[#This Row],[Impressions]]</f>
        <v>2.4397142106787159E-2</v>
      </c>
      <c r="T452" s="22">
        <f>Table1[[#This Row],[Sales]]/Table1[[#This Row],[USD_Spend]]</f>
        <v>4.5236483239397556</v>
      </c>
      <c r="U452" s="1" t="str">
        <f>Outlier_Check!C462</f>
        <v>Normal</v>
      </c>
    </row>
    <row r="453" spans="1:21" x14ac:dyDescent="0.35">
      <c r="A453" s="3" t="s">
        <v>89</v>
      </c>
      <c r="B453" s="1" t="s">
        <v>19</v>
      </c>
      <c r="C453" s="1" t="s">
        <v>20</v>
      </c>
      <c r="D453" s="1" t="s">
        <v>51</v>
      </c>
      <c r="E453" s="1" t="s">
        <v>22</v>
      </c>
      <c r="F453" s="1" t="s">
        <v>49</v>
      </c>
      <c r="G453" s="2">
        <v>45317</v>
      </c>
      <c r="H453" s="2">
        <v>45360</v>
      </c>
      <c r="I453" s="1">
        <v>26997.29</v>
      </c>
      <c r="J453" s="1">
        <v>0.54990000000000006</v>
      </c>
      <c r="K453" s="1">
        <v>14845.81</v>
      </c>
      <c r="L453" s="1">
        <v>644836</v>
      </c>
      <c r="M453" s="1">
        <v>28293</v>
      </c>
      <c r="N453" s="1">
        <v>29298.720000000001</v>
      </c>
      <c r="O453" s="1">
        <v>2024</v>
      </c>
      <c r="P453" s="1" t="s">
        <v>56</v>
      </c>
      <c r="Q453" s="1" t="s">
        <v>40</v>
      </c>
      <c r="R453" s="4" t="s">
        <v>54</v>
      </c>
      <c r="S453" s="25">
        <f>Table1[[#This Row],[Clicks]]/Table1[[#This Row],[Impressions]]</f>
        <v>4.3876272416552425E-2</v>
      </c>
      <c r="T453" s="22">
        <f>Table1[[#This Row],[Sales]]/Table1[[#This Row],[USD_Spend]]</f>
        <v>1.9735346202059707</v>
      </c>
      <c r="U453" s="1" t="str">
        <f>Outlier_Check!C463</f>
        <v>Normal</v>
      </c>
    </row>
    <row r="454" spans="1:21" x14ac:dyDescent="0.35">
      <c r="A454" s="3" t="s">
        <v>97</v>
      </c>
      <c r="B454" s="1" t="s">
        <v>35</v>
      </c>
      <c r="C454" s="1" t="s">
        <v>29</v>
      </c>
      <c r="D454" s="1" t="s">
        <v>37</v>
      </c>
      <c r="E454" s="1" t="s">
        <v>30</v>
      </c>
      <c r="F454" s="1" t="s">
        <v>31</v>
      </c>
      <c r="G454" s="2">
        <v>45317</v>
      </c>
      <c r="H454" s="2">
        <v>45331</v>
      </c>
      <c r="I454" s="1">
        <v>3600.18</v>
      </c>
      <c r="J454" s="1">
        <v>7.7399999999999997E-2</v>
      </c>
      <c r="K454" s="1">
        <v>278.64999999999998</v>
      </c>
      <c r="L454" s="1">
        <v>289947</v>
      </c>
      <c r="M454" s="1">
        <v>49264</v>
      </c>
      <c r="N454" s="1">
        <v>197455.39</v>
      </c>
      <c r="O454" s="1">
        <v>2024</v>
      </c>
      <c r="P454" s="1" t="s">
        <v>56</v>
      </c>
      <c r="Q454" s="1" t="s">
        <v>40</v>
      </c>
      <c r="R454" s="4" t="s">
        <v>61</v>
      </c>
      <c r="S454" s="25">
        <f>Table1[[#This Row],[Clicks]]/Table1[[#This Row],[Impressions]]</f>
        <v>0.16990691402221786</v>
      </c>
      <c r="T454" s="22">
        <f>Table1[[#This Row],[Sales]]/Table1[[#This Row],[USD_Spend]]</f>
        <v>708.61435492553392</v>
      </c>
      <c r="U454" s="1" t="str">
        <f>Outlier_Check!C464</f>
        <v>Normal</v>
      </c>
    </row>
    <row r="455" spans="1:21" x14ac:dyDescent="0.35">
      <c r="A455" s="3" t="s">
        <v>62</v>
      </c>
      <c r="B455" s="1" t="s">
        <v>19</v>
      </c>
      <c r="C455" s="1" t="s">
        <v>20</v>
      </c>
      <c r="D455" s="1" t="s">
        <v>37</v>
      </c>
      <c r="E455" s="1" t="s">
        <v>38</v>
      </c>
      <c r="F455" s="1" t="s">
        <v>52</v>
      </c>
      <c r="G455" s="2">
        <v>45318</v>
      </c>
      <c r="H455" s="2">
        <v>45355</v>
      </c>
      <c r="I455" s="1">
        <v>32389.01</v>
      </c>
      <c r="J455" s="1">
        <v>0.28660000000000002</v>
      </c>
      <c r="K455" s="1">
        <v>9282.69</v>
      </c>
      <c r="L455" s="1">
        <v>626005</v>
      </c>
      <c r="M455" s="1">
        <v>46278</v>
      </c>
      <c r="N455" s="1">
        <v>247153.31</v>
      </c>
      <c r="O455" s="1">
        <v>2024</v>
      </c>
      <c r="P455" s="1" t="s">
        <v>56</v>
      </c>
      <c r="Q455" s="1" t="s">
        <v>40</v>
      </c>
      <c r="R455" s="4" t="s">
        <v>54</v>
      </c>
      <c r="S455" s="25">
        <f>Table1[[#This Row],[Clicks]]/Table1[[#This Row],[Impressions]]</f>
        <v>7.3925927109208395E-2</v>
      </c>
      <c r="T455" s="22">
        <f>Table1[[#This Row],[Sales]]/Table1[[#This Row],[USD_Spend]]</f>
        <v>26.625181924636067</v>
      </c>
      <c r="U455" s="1" t="str">
        <f>Outlier_Check!C465</f>
        <v>Normal</v>
      </c>
    </row>
    <row r="456" spans="1:21" x14ac:dyDescent="0.35">
      <c r="A456" s="3" t="s">
        <v>98</v>
      </c>
      <c r="B456" s="1" t="s">
        <v>28</v>
      </c>
      <c r="C456" s="1" t="s">
        <v>29</v>
      </c>
      <c r="D456" s="1" t="s">
        <v>43</v>
      </c>
      <c r="E456" s="1" t="s">
        <v>38</v>
      </c>
      <c r="F456" s="1" t="s">
        <v>52</v>
      </c>
      <c r="G456" s="2">
        <v>45318</v>
      </c>
      <c r="H456" s="2">
        <v>45347</v>
      </c>
      <c r="I456" s="1">
        <v>17300.080000000002</v>
      </c>
      <c r="J456" s="1">
        <v>8.1500000000000003E-2</v>
      </c>
      <c r="K456" s="1">
        <v>1409.96</v>
      </c>
      <c r="L456" s="1">
        <v>862283</v>
      </c>
      <c r="M456" s="1">
        <v>17445</v>
      </c>
      <c r="N456" s="1">
        <v>48592.72</v>
      </c>
      <c r="O456" s="1">
        <v>2024</v>
      </c>
      <c r="P456" s="1" t="s">
        <v>56</v>
      </c>
      <c r="Q456" s="1" t="s">
        <v>40</v>
      </c>
      <c r="R456" s="4" t="s">
        <v>54</v>
      </c>
      <c r="S456" s="25">
        <f>Table1[[#This Row],[Clicks]]/Table1[[#This Row],[Impressions]]</f>
        <v>2.0231177003373603E-2</v>
      </c>
      <c r="T456" s="22">
        <f>Table1[[#This Row],[Sales]]/Table1[[#This Row],[USD_Spend]]</f>
        <v>34.463899685097452</v>
      </c>
      <c r="U456" s="1" t="str">
        <f>Outlier_Check!C466</f>
        <v>Normal</v>
      </c>
    </row>
    <row r="457" spans="1:21" x14ac:dyDescent="0.35">
      <c r="A457" s="3" t="s">
        <v>104</v>
      </c>
      <c r="B457" s="1" t="s">
        <v>48</v>
      </c>
      <c r="C457" s="1" t="s">
        <v>36</v>
      </c>
      <c r="D457" s="1" t="s">
        <v>43</v>
      </c>
      <c r="E457" s="1" t="s">
        <v>38</v>
      </c>
      <c r="F457" s="1" t="s">
        <v>31</v>
      </c>
      <c r="G457" s="2">
        <v>45318</v>
      </c>
      <c r="H457" s="2">
        <v>45346</v>
      </c>
      <c r="I457" s="1">
        <v>9771.27</v>
      </c>
      <c r="J457" s="1">
        <v>0.89970000000000006</v>
      </c>
      <c r="K457" s="1">
        <v>8791.2099999999991</v>
      </c>
      <c r="L457" s="1">
        <v>21190</v>
      </c>
      <c r="M457" s="1">
        <v>12934</v>
      </c>
      <c r="N457" s="1">
        <v>113309.74</v>
      </c>
      <c r="O457" s="1">
        <v>2024</v>
      </c>
      <c r="P457" s="1" t="s">
        <v>56</v>
      </c>
      <c r="Q457" s="1" t="s">
        <v>40</v>
      </c>
      <c r="R457" s="4" t="s">
        <v>26</v>
      </c>
      <c r="S457" s="25">
        <f>Table1[[#This Row],[Clicks]]/Table1[[#This Row],[Impressions]]</f>
        <v>0.61038225578102878</v>
      </c>
      <c r="T457" s="22">
        <f>Table1[[#This Row],[Sales]]/Table1[[#This Row],[USD_Spend]]</f>
        <v>12.888981152765094</v>
      </c>
      <c r="U457" s="1" t="str">
        <f>Outlier_Check!C467</f>
        <v>Normal</v>
      </c>
    </row>
    <row r="458" spans="1:21" x14ac:dyDescent="0.35">
      <c r="A458" s="3" t="s">
        <v>42</v>
      </c>
      <c r="B458" s="1" t="s">
        <v>35</v>
      </c>
      <c r="C458" s="1" t="s">
        <v>29</v>
      </c>
      <c r="D458" s="1" t="s">
        <v>59</v>
      </c>
      <c r="E458" s="1" t="s">
        <v>38</v>
      </c>
      <c r="F458" s="1" t="s">
        <v>44</v>
      </c>
      <c r="G458" s="2">
        <v>45320</v>
      </c>
      <c r="H458" s="2">
        <v>45380</v>
      </c>
      <c r="I458" s="1">
        <v>31153.49</v>
      </c>
      <c r="J458" s="1">
        <v>0.3054</v>
      </c>
      <c r="K458" s="1">
        <v>9514.2800000000007</v>
      </c>
      <c r="L458" s="1">
        <v>917340</v>
      </c>
      <c r="M458" s="1">
        <v>10566</v>
      </c>
      <c r="N458" s="1">
        <v>204302.07</v>
      </c>
      <c r="O458" s="1">
        <v>2024</v>
      </c>
      <c r="P458" s="1" t="s">
        <v>56</v>
      </c>
      <c r="Q458" s="1" t="s">
        <v>40</v>
      </c>
      <c r="R458" s="4" t="s">
        <v>54</v>
      </c>
      <c r="S458" s="25">
        <f>Table1[[#This Row],[Clicks]]/Table1[[#This Row],[Impressions]]</f>
        <v>1.1518084897638826E-2</v>
      </c>
      <c r="T458" s="22">
        <f>Table1[[#This Row],[Sales]]/Table1[[#This Row],[USD_Spend]]</f>
        <v>21.47320343735942</v>
      </c>
      <c r="U458" s="1" t="str">
        <f>Outlier_Check!C468</f>
        <v>Normal</v>
      </c>
    </row>
    <row r="459" spans="1:21" x14ac:dyDescent="0.35">
      <c r="A459" s="3" t="s">
        <v>50</v>
      </c>
      <c r="B459" s="1" t="s">
        <v>48</v>
      </c>
      <c r="C459" s="1" t="s">
        <v>69</v>
      </c>
      <c r="D459" s="1" t="s">
        <v>21</v>
      </c>
      <c r="E459" s="1" t="s">
        <v>38</v>
      </c>
      <c r="F459" s="1" t="s">
        <v>31</v>
      </c>
      <c r="G459" s="2">
        <v>45323</v>
      </c>
      <c r="H459" s="2">
        <v>45370</v>
      </c>
      <c r="I459" s="1">
        <v>30426.76</v>
      </c>
      <c r="J459" s="1">
        <v>1.0604</v>
      </c>
      <c r="K459" s="1">
        <v>32264.54</v>
      </c>
      <c r="L459" s="1">
        <v>538597</v>
      </c>
      <c r="M459" s="1">
        <v>25309</v>
      </c>
      <c r="N459" s="1">
        <v>107572.86</v>
      </c>
      <c r="O459" s="1">
        <v>2024</v>
      </c>
      <c r="P459" s="1" t="s">
        <v>39</v>
      </c>
      <c r="Q459" s="1" t="s">
        <v>40</v>
      </c>
      <c r="R459" s="4" t="s">
        <v>54</v>
      </c>
      <c r="S459" s="25">
        <f>Table1[[#This Row],[Clicks]]/Table1[[#This Row],[Impressions]]</f>
        <v>4.6990607077276703E-2</v>
      </c>
      <c r="T459" s="22">
        <f>Table1[[#This Row],[Sales]]/Table1[[#This Row],[USD_Spend]]</f>
        <v>3.3340893748988827</v>
      </c>
      <c r="U459" s="1" t="str">
        <f>Outlier_Check!C469</f>
        <v>Normal</v>
      </c>
    </row>
    <row r="460" spans="1:21" x14ac:dyDescent="0.35">
      <c r="A460" s="3" t="s">
        <v>86</v>
      </c>
      <c r="B460" s="1" t="s">
        <v>35</v>
      </c>
      <c r="C460" s="1" t="s">
        <v>58</v>
      </c>
      <c r="D460" s="1" t="s">
        <v>59</v>
      </c>
      <c r="E460" s="1" t="s">
        <v>38</v>
      </c>
      <c r="F460" s="1" t="s">
        <v>44</v>
      </c>
      <c r="G460" s="2">
        <v>45324</v>
      </c>
      <c r="H460" s="2">
        <v>45371</v>
      </c>
      <c r="I460" s="1">
        <v>14294.21</v>
      </c>
      <c r="J460" s="1">
        <v>1.024</v>
      </c>
      <c r="K460" s="1">
        <v>14637.27</v>
      </c>
      <c r="L460" s="1">
        <v>702165</v>
      </c>
      <c r="M460" s="1">
        <v>23707</v>
      </c>
      <c r="N460" s="1">
        <v>216749.16</v>
      </c>
      <c r="O460" s="1">
        <v>2024</v>
      </c>
      <c r="P460" s="1" t="s">
        <v>39</v>
      </c>
      <c r="Q460" s="1" t="s">
        <v>40</v>
      </c>
      <c r="R460" s="4" t="s">
        <v>26</v>
      </c>
      <c r="S460" s="25">
        <f>Table1[[#This Row],[Clicks]]/Table1[[#This Row],[Impressions]]</f>
        <v>3.3762719588700661E-2</v>
      </c>
      <c r="T460" s="22">
        <f>Table1[[#This Row],[Sales]]/Table1[[#This Row],[USD_Spend]]</f>
        <v>14.808031825606824</v>
      </c>
      <c r="U460" s="1" t="str">
        <f>Outlier_Check!C470</f>
        <v>Normal</v>
      </c>
    </row>
    <row r="461" spans="1:21" x14ac:dyDescent="0.35">
      <c r="A461" s="3" t="s">
        <v>109</v>
      </c>
      <c r="B461" s="1" t="s">
        <v>35</v>
      </c>
      <c r="C461" s="1" t="s">
        <v>69</v>
      </c>
      <c r="D461" s="1" t="s">
        <v>43</v>
      </c>
      <c r="E461" s="1" t="s">
        <v>30</v>
      </c>
      <c r="F461" s="1" t="s">
        <v>44</v>
      </c>
      <c r="G461" s="2">
        <v>45324</v>
      </c>
      <c r="H461" s="2">
        <v>45359</v>
      </c>
      <c r="I461" s="1">
        <v>45977.2</v>
      </c>
      <c r="J461" s="1">
        <v>1.0589999999999999</v>
      </c>
      <c r="K461" s="1">
        <v>48689.85</v>
      </c>
      <c r="L461" s="1">
        <v>51843</v>
      </c>
      <c r="M461" s="1">
        <v>42601</v>
      </c>
      <c r="N461" s="1">
        <v>84397.42</v>
      </c>
      <c r="O461" s="1">
        <v>2024</v>
      </c>
      <c r="P461" s="1" t="s">
        <v>39</v>
      </c>
      <c r="Q461" s="1" t="s">
        <v>40</v>
      </c>
      <c r="R461" s="4" t="s">
        <v>61</v>
      </c>
      <c r="S461" s="25">
        <f>Table1[[#This Row],[Clicks]]/Table1[[#This Row],[Impressions]]</f>
        <v>0.82173099550566131</v>
      </c>
      <c r="T461" s="22">
        <f>Table1[[#This Row],[Sales]]/Table1[[#This Row],[USD_Spend]]</f>
        <v>1.7333678374445598</v>
      </c>
      <c r="U461" s="1" t="str">
        <f>Outlier_Check!C471</f>
        <v>Normal</v>
      </c>
    </row>
    <row r="462" spans="1:21" x14ac:dyDescent="0.35">
      <c r="A462" s="3" t="s">
        <v>104</v>
      </c>
      <c r="B462" s="1" t="s">
        <v>35</v>
      </c>
      <c r="C462" s="1" t="s">
        <v>20</v>
      </c>
      <c r="D462" s="1" t="s">
        <v>37</v>
      </c>
      <c r="E462" s="1" t="s">
        <v>38</v>
      </c>
      <c r="F462" s="1" t="s">
        <v>49</v>
      </c>
      <c r="G462" s="2">
        <v>45327</v>
      </c>
      <c r="H462" s="2">
        <v>45369</v>
      </c>
      <c r="I462" s="1">
        <v>21447.42</v>
      </c>
      <c r="J462" s="1">
        <v>1.1928000000000001</v>
      </c>
      <c r="K462" s="1">
        <v>25582.48</v>
      </c>
      <c r="L462" s="1">
        <v>334348</v>
      </c>
      <c r="M462" s="1">
        <v>12589</v>
      </c>
      <c r="N462" s="1">
        <v>15069.49</v>
      </c>
      <c r="O462" s="1">
        <v>2024</v>
      </c>
      <c r="P462" s="1" t="s">
        <v>39</v>
      </c>
      <c r="Q462" s="1" t="s">
        <v>40</v>
      </c>
      <c r="R462" s="4" t="s">
        <v>41</v>
      </c>
      <c r="S462" s="25">
        <f>Table1[[#This Row],[Clicks]]/Table1[[#This Row],[Impressions]]</f>
        <v>3.7652386136600192E-2</v>
      </c>
      <c r="T462" s="22">
        <f>Table1[[#This Row],[Sales]]/Table1[[#This Row],[USD_Spend]]</f>
        <v>0.58905508770064519</v>
      </c>
      <c r="U462" s="1" t="str">
        <f>Outlier_Check!C472</f>
        <v>Normal</v>
      </c>
    </row>
    <row r="463" spans="1:21" x14ac:dyDescent="0.35">
      <c r="A463" s="3" t="s">
        <v>97</v>
      </c>
      <c r="B463" s="1" t="s">
        <v>35</v>
      </c>
      <c r="C463" s="1" t="s">
        <v>36</v>
      </c>
      <c r="D463" s="1" t="s">
        <v>37</v>
      </c>
      <c r="E463" s="1" t="s">
        <v>30</v>
      </c>
      <c r="F463" s="1" t="s">
        <v>23</v>
      </c>
      <c r="G463" s="2">
        <v>45327</v>
      </c>
      <c r="H463" s="2">
        <v>45348</v>
      </c>
      <c r="I463" s="1">
        <v>25239.87</v>
      </c>
      <c r="J463" s="1">
        <v>1.1653</v>
      </c>
      <c r="K463" s="1">
        <v>29412.02</v>
      </c>
      <c r="L463" s="1">
        <v>656908</v>
      </c>
      <c r="M463" s="1">
        <v>44434</v>
      </c>
      <c r="N463" s="1">
        <v>91427.12</v>
      </c>
      <c r="O463" s="1">
        <v>2024</v>
      </c>
      <c r="P463" s="1" t="s">
        <v>39</v>
      </c>
      <c r="Q463" s="1" t="s">
        <v>40</v>
      </c>
      <c r="R463" s="4" t="s">
        <v>61</v>
      </c>
      <c r="S463" s="25">
        <f>Table1[[#This Row],[Clicks]]/Table1[[#This Row],[Impressions]]</f>
        <v>6.7641130873729652E-2</v>
      </c>
      <c r="T463" s="22">
        <f>Table1[[#This Row],[Sales]]/Table1[[#This Row],[USD_Spend]]</f>
        <v>3.108495098262547</v>
      </c>
      <c r="U463" s="1" t="str">
        <f>Outlier_Check!C473</f>
        <v>Normal</v>
      </c>
    </row>
    <row r="464" spans="1:21" x14ac:dyDescent="0.35">
      <c r="A464" s="3" t="s">
        <v>78</v>
      </c>
      <c r="B464" s="1" t="s">
        <v>35</v>
      </c>
      <c r="C464" s="1" t="s">
        <v>20</v>
      </c>
      <c r="D464" s="1" t="s">
        <v>21</v>
      </c>
      <c r="E464" s="1" t="s">
        <v>22</v>
      </c>
      <c r="F464" s="1" t="s">
        <v>23</v>
      </c>
      <c r="G464" s="2">
        <v>45329</v>
      </c>
      <c r="H464" s="2">
        <v>45370</v>
      </c>
      <c r="I464" s="1">
        <v>27933.47</v>
      </c>
      <c r="J464" s="1">
        <v>0.59419999999999995</v>
      </c>
      <c r="K464" s="1">
        <v>16598.07</v>
      </c>
      <c r="L464" s="1">
        <v>67152</v>
      </c>
      <c r="M464" s="1">
        <v>23747</v>
      </c>
      <c r="N464" s="1">
        <v>5934.82</v>
      </c>
      <c r="O464" s="1">
        <v>2024</v>
      </c>
      <c r="P464" s="1" t="s">
        <v>39</v>
      </c>
      <c r="Q464" s="1" t="s">
        <v>40</v>
      </c>
      <c r="R464" s="4" t="s">
        <v>26</v>
      </c>
      <c r="S464" s="25">
        <f>Table1[[#This Row],[Clicks]]/Table1[[#This Row],[Impressions]]</f>
        <v>0.35363056945437216</v>
      </c>
      <c r="T464" s="22">
        <f>Table1[[#This Row],[Sales]]/Table1[[#This Row],[USD_Spend]]</f>
        <v>0.35756084894207579</v>
      </c>
      <c r="U464" s="1" t="str">
        <f>Outlier_Check!C474</f>
        <v>Normal</v>
      </c>
    </row>
    <row r="465" spans="1:21" x14ac:dyDescent="0.35">
      <c r="A465" s="3" t="s">
        <v>94</v>
      </c>
      <c r="B465" s="1" t="s">
        <v>28</v>
      </c>
      <c r="C465" s="1" t="s">
        <v>58</v>
      </c>
      <c r="D465" s="1" t="s">
        <v>59</v>
      </c>
      <c r="E465" s="1" t="s">
        <v>22</v>
      </c>
      <c r="F465" s="1" t="s">
        <v>31</v>
      </c>
      <c r="G465" s="2">
        <v>45331</v>
      </c>
      <c r="H465" s="2">
        <v>45359</v>
      </c>
      <c r="I465" s="1">
        <v>15664.96</v>
      </c>
      <c r="J465" s="1">
        <v>0.51970000000000005</v>
      </c>
      <c r="K465" s="1">
        <v>8141.08</v>
      </c>
      <c r="L465" s="1">
        <v>201031</v>
      </c>
      <c r="M465" s="1">
        <v>35255</v>
      </c>
      <c r="N465" s="1">
        <v>203828.24</v>
      </c>
      <c r="O465" s="1">
        <v>2024</v>
      </c>
      <c r="P465" s="1" t="s">
        <v>39</v>
      </c>
      <c r="Q465" s="1" t="s">
        <v>40</v>
      </c>
      <c r="R465" s="4" t="s">
        <v>54</v>
      </c>
      <c r="S465" s="25">
        <f>Table1[[#This Row],[Clicks]]/Table1[[#This Row],[Impressions]]</f>
        <v>0.17537096268734673</v>
      </c>
      <c r="T465" s="22">
        <f>Table1[[#This Row],[Sales]]/Table1[[#This Row],[USD_Spend]]</f>
        <v>25.037002461589861</v>
      </c>
      <c r="U465" s="1" t="str">
        <f>Outlier_Check!C475</f>
        <v>Normal</v>
      </c>
    </row>
    <row r="466" spans="1:21" x14ac:dyDescent="0.35">
      <c r="A466" s="3" t="s">
        <v>82</v>
      </c>
      <c r="B466" s="1" t="s">
        <v>28</v>
      </c>
      <c r="C466" s="1" t="s">
        <v>69</v>
      </c>
      <c r="D466" s="1" t="s">
        <v>43</v>
      </c>
      <c r="E466" s="1" t="s">
        <v>30</v>
      </c>
      <c r="F466" s="1" t="s">
        <v>31</v>
      </c>
      <c r="G466" s="2">
        <v>45331</v>
      </c>
      <c r="H466" s="2">
        <v>45343</v>
      </c>
      <c r="I466" s="1">
        <v>1651.93</v>
      </c>
      <c r="J466" s="1">
        <v>0.79039999999999999</v>
      </c>
      <c r="K466" s="1">
        <v>1305.69</v>
      </c>
      <c r="L466" s="1">
        <v>492515</v>
      </c>
      <c r="M466" s="1">
        <v>45438</v>
      </c>
      <c r="N466" s="1">
        <v>104247.44</v>
      </c>
      <c r="O466" s="1">
        <v>2024</v>
      </c>
      <c r="P466" s="1" t="s">
        <v>39</v>
      </c>
      <c r="Q466" s="1" t="s">
        <v>40</v>
      </c>
      <c r="R466" s="4" t="s">
        <v>54</v>
      </c>
      <c r="S466" s="25">
        <f>Table1[[#This Row],[Clicks]]/Table1[[#This Row],[Impressions]]</f>
        <v>9.2257088616590363E-2</v>
      </c>
      <c r="T466" s="22">
        <f>Table1[[#This Row],[Sales]]/Table1[[#This Row],[USD_Spend]]</f>
        <v>79.840881066715681</v>
      </c>
      <c r="U466" s="1" t="str">
        <f>Outlier_Check!C476</f>
        <v>Normal</v>
      </c>
    </row>
    <row r="467" spans="1:21" x14ac:dyDescent="0.35">
      <c r="A467" s="3" t="s">
        <v>99</v>
      </c>
      <c r="B467" s="1" t="s">
        <v>19</v>
      </c>
      <c r="C467" s="1" t="s">
        <v>20</v>
      </c>
      <c r="D467" s="1" t="s">
        <v>43</v>
      </c>
      <c r="E467" s="1" t="s">
        <v>22</v>
      </c>
      <c r="F467" s="1" t="s">
        <v>31</v>
      </c>
      <c r="G467" s="2">
        <v>45332</v>
      </c>
      <c r="H467" s="2">
        <v>45392</v>
      </c>
      <c r="I467" s="1">
        <v>16203.45</v>
      </c>
      <c r="J467" s="1">
        <v>0.41399999999999998</v>
      </c>
      <c r="K467" s="1">
        <v>6708.23</v>
      </c>
      <c r="L467" s="1">
        <v>359247</v>
      </c>
      <c r="M467" s="1">
        <v>11118</v>
      </c>
      <c r="N467" s="1">
        <v>23712.95</v>
      </c>
      <c r="O467" s="1">
        <v>2024</v>
      </c>
      <c r="P467" s="1" t="s">
        <v>39</v>
      </c>
      <c r="Q467" s="1" t="s">
        <v>40</v>
      </c>
      <c r="R467" s="4" t="s">
        <v>41</v>
      </c>
      <c r="S467" s="25">
        <f>Table1[[#This Row],[Clicks]]/Table1[[#This Row],[Impressions]]</f>
        <v>3.0948066372161773E-2</v>
      </c>
      <c r="T467" s="22">
        <f>Table1[[#This Row],[Sales]]/Table1[[#This Row],[USD_Spend]]</f>
        <v>3.5349041401383081</v>
      </c>
      <c r="U467" s="1" t="str">
        <f>Outlier_Check!C477</f>
        <v>Normal</v>
      </c>
    </row>
    <row r="468" spans="1:21" x14ac:dyDescent="0.35">
      <c r="A468" s="3" t="s">
        <v>75</v>
      </c>
      <c r="B468" s="1" t="s">
        <v>28</v>
      </c>
      <c r="C468" s="1" t="s">
        <v>20</v>
      </c>
      <c r="D468" s="1" t="s">
        <v>51</v>
      </c>
      <c r="E468" s="1" t="s">
        <v>30</v>
      </c>
      <c r="F468" s="1" t="s">
        <v>52</v>
      </c>
      <c r="G468" s="2">
        <v>45332</v>
      </c>
      <c r="H468" s="2">
        <v>45369</v>
      </c>
      <c r="I468" s="1">
        <v>3398.58</v>
      </c>
      <c r="J468" s="1">
        <v>0.36559999999999998</v>
      </c>
      <c r="K468" s="1">
        <v>1242.52</v>
      </c>
      <c r="L468" s="1">
        <v>869926</v>
      </c>
      <c r="M468" s="1">
        <v>11494</v>
      </c>
      <c r="N468" s="1">
        <v>12615.11</v>
      </c>
      <c r="O468" s="1">
        <v>2024</v>
      </c>
      <c r="P468" s="1" t="s">
        <v>39</v>
      </c>
      <c r="Q468" s="1" t="s">
        <v>40</v>
      </c>
      <c r="R468" s="4" t="s">
        <v>26</v>
      </c>
      <c r="S468" s="25">
        <f>Table1[[#This Row],[Clicks]]/Table1[[#This Row],[Impressions]]</f>
        <v>1.3212618084756635E-2</v>
      </c>
      <c r="T468" s="22">
        <f>Table1[[#This Row],[Sales]]/Table1[[#This Row],[USD_Spend]]</f>
        <v>10.152842610179313</v>
      </c>
      <c r="U468" s="1" t="str">
        <f>Outlier_Check!C478</f>
        <v>Normal</v>
      </c>
    </row>
    <row r="469" spans="1:21" x14ac:dyDescent="0.35">
      <c r="A469" s="3" t="s">
        <v>34</v>
      </c>
      <c r="B469" s="1" t="s">
        <v>48</v>
      </c>
      <c r="C469" s="1" t="s">
        <v>58</v>
      </c>
      <c r="D469" s="1" t="s">
        <v>59</v>
      </c>
      <c r="E469" s="1" t="s">
        <v>22</v>
      </c>
      <c r="F469" s="1" t="s">
        <v>44</v>
      </c>
      <c r="G469" s="2">
        <v>45333</v>
      </c>
      <c r="H469" s="2">
        <v>45361</v>
      </c>
      <c r="I469" s="1">
        <v>25606.2</v>
      </c>
      <c r="J469" s="1">
        <v>0.79859999999999998</v>
      </c>
      <c r="K469" s="1">
        <v>20449.11</v>
      </c>
      <c r="L469" s="1">
        <v>899173</v>
      </c>
      <c r="M469" s="1">
        <v>40341</v>
      </c>
      <c r="N469" s="1">
        <v>172619.61</v>
      </c>
      <c r="O469" s="1">
        <v>2024</v>
      </c>
      <c r="P469" s="1" t="s">
        <v>39</v>
      </c>
      <c r="Q469" s="1" t="s">
        <v>40</v>
      </c>
      <c r="R469" s="4" t="s">
        <v>61</v>
      </c>
      <c r="S469" s="25">
        <f>Table1[[#This Row],[Clicks]]/Table1[[#This Row],[Impressions]]</f>
        <v>4.486455887799122E-2</v>
      </c>
      <c r="T469" s="22">
        <f>Table1[[#This Row],[Sales]]/Table1[[#This Row],[USD_Spend]]</f>
        <v>8.4414241010977982</v>
      </c>
      <c r="U469" s="1" t="str">
        <f>Outlier_Check!C479</f>
        <v>Normal</v>
      </c>
    </row>
    <row r="470" spans="1:21" x14ac:dyDescent="0.35">
      <c r="A470" s="3" t="s">
        <v>112</v>
      </c>
      <c r="B470" s="1" t="s">
        <v>35</v>
      </c>
      <c r="C470" s="1" t="s">
        <v>69</v>
      </c>
      <c r="D470" s="1" t="s">
        <v>63</v>
      </c>
      <c r="E470" s="1" t="s">
        <v>30</v>
      </c>
      <c r="F470" s="1" t="s">
        <v>49</v>
      </c>
      <c r="G470" s="2">
        <v>45333</v>
      </c>
      <c r="H470" s="2">
        <v>45353</v>
      </c>
      <c r="I470" s="1">
        <v>28051.89</v>
      </c>
      <c r="J470" s="1">
        <v>0.93289999999999995</v>
      </c>
      <c r="K470" s="1">
        <v>26169.61</v>
      </c>
      <c r="L470" s="1">
        <v>409152</v>
      </c>
      <c r="M470" s="1">
        <v>30656</v>
      </c>
      <c r="N470" s="1">
        <v>135744.28</v>
      </c>
      <c r="O470" s="1">
        <v>2024</v>
      </c>
      <c r="P470" s="1" t="s">
        <v>39</v>
      </c>
      <c r="Q470" s="1" t="s">
        <v>40</v>
      </c>
      <c r="R470" s="4" t="s">
        <v>54</v>
      </c>
      <c r="S470" s="25">
        <f>Table1[[#This Row],[Clicks]]/Table1[[#This Row],[Impressions]]</f>
        <v>7.4925699984357885E-2</v>
      </c>
      <c r="T470" s="22">
        <f>Table1[[#This Row],[Sales]]/Table1[[#This Row],[USD_Spend]]</f>
        <v>5.1870960247401472</v>
      </c>
      <c r="U470" s="1" t="str">
        <f>Outlier_Check!C480</f>
        <v>Normal</v>
      </c>
    </row>
    <row r="471" spans="1:21" x14ac:dyDescent="0.35">
      <c r="A471" s="3" t="s">
        <v>62</v>
      </c>
      <c r="B471" s="1" t="s">
        <v>19</v>
      </c>
      <c r="C471" s="1" t="s">
        <v>69</v>
      </c>
      <c r="D471" s="1" t="s">
        <v>37</v>
      </c>
      <c r="E471" s="1" t="s">
        <v>30</v>
      </c>
      <c r="F471" s="1" t="s">
        <v>44</v>
      </c>
      <c r="G471" s="2">
        <v>45335</v>
      </c>
      <c r="H471" s="2">
        <v>45382</v>
      </c>
      <c r="I471" s="1">
        <v>32844.019999999997</v>
      </c>
      <c r="J471" s="1">
        <v>0.53129999999999999</v>
      </c>
      <c r="K471" s="1">
        <v>17450.03</v>
      </c>
      <c r="L471" s="1">
        <v>552717</v>
      </c>
      <c r="M471" s="1">
        <v>29688</v>
      </c>
      <c r="N471" s="1">
        <v>34646.03</v>
      </c>
      <c r="O471" s="1">
        <v>2024</v>
      </c>
      <c r="P471" s="1" t="s">
        <v>39</v>
      </c>
      <c r="Q471" s="1" t="s">
        <v>40</v>
      </c>
      <c r="R471" s="4" t="s">
        <v>61</v>
      </c>
      <c r="S471" s="25">
        <f>Table1[[#This Row],[Clicks]]/Table1[[#This Row],[Impressions]]</f>
        <v>5.3712840386671658E-2</v>
      </c>
      <c r="T471" s="22">
        <f>Table1[[#This Row],[Sales]]/Table1[[#This Row],[USD_Spend]]</f>
        <v>1.9854424319041286</v>
      </c>
      <c r="U471" s="1" t="str">
        <f>Outlier_Check!C481</f>
        <v>Normal</v>
      </c>
    </row>
    <row r="472" spans="1:21" x14ac:dyDescent="0.35">
      <c r="A472" s="3" t="s">
        <v>89</v>
      </c>
      <c r="B472" s="1" t="s">
        <v>19</v>
      </c>
      <c r="C472" s="1" t="s">
        <v>20</v>
      </c>
      <c r="D472" s="1" t="s">
        <v>21</v>
      </c>
      <c r="E472" s="1" t="s">
        <v>30</v>
      </c>
      <c r="F472" s="1" t="s">
        <v>44</v>
      </c>
      <c r="G472" s="2">
        <v>45337</v>
      </c>
      <c r="H472" s="2">
        <v>45380</v>
      </c>
      <c r="I472" s="1">
        <v>14303.22</v>
      </c>
      <c r="J472" s="1">
        <v>0.22900000000000001</v>
      </c>
      <c r="K472" s="1">
        <v>3275.44</v>
      </c>
      <c r="L472" s="1">
        <v>177775</v>
      </c>
      <c r="M472" s="1">
        <v>37579</v>
      </c>
      <c r="N472" s="1">
        <v>58362.89</v>
      </c>
      <c r="O472" s="1">
        <v>2024</v>
      </c>
      <c r="P472" s="1" t="s">
        <v>39</v>
      </c>
      <c r="Q472" s="1" t="s">
        <v>40</v>
      </c>
      <c r="R472" s="4" t="s">
        <v>41</v>
      </c>
      <c r="S472" s="25">
        <f>Table1[[#This Row],[Clicks]]/Table1[[#This Row],[Impressions]]</f>
        <v>0.21138517789340458</v>
      </c>
      <c r="T472" s="22">
        <f>Table1[[#This Row],[Sales]]/Table1[[#This Row],[USD_Spend]]</f>
        <v>17.818335857167281</v>
      </c>
      <c r="U472" s="1" t="str">
        <f>Outlier_Check!C482</f>
        <v>Normal</v>
      </c>
    </row>
    <row r="473" spans="1:21" x14ac:dyDescent="0.35">
      <c r="A473" s="3" t="s">
        <v>118</v>
      </c>
      <c r="B473" s="1" t="s">
        <v>28</v>
      </c>
      <c r="C473" s="1" t="s">
        <v>29</v>
      </c>
      <c r="D473" s="1" t="s">
        <v>37</v>
      </c>
      <c r="E473" s="1" t="s">
        <v>22</v>
      </c>
      <c r="F473" s="1" t="s">
        <v>23</v>
      </c>
      <c r="G473" s="2">
        <v>45337</v>
      </c>
      <c r="H473" s="2">
        <v>45367</v>
      </c>
      <c r="I473" s="1">
        <v>48153.19</v>
      </c>
      <c r="J473" s="1">
        <v>0.33350000000000002</v>
      </c>
      <c r="K473" s="1">
        <v>16059.09</v>
      </c>
      <c r="L473" s="1">
        <v>414452</v>
      </c>
      <c r="M473" s="1">
        <v>45313</v>
      </c>
      <c r="N473" s="1">
        <v>213414.54</v>
      </c>
      <c r="O473" s="1">
        <v>2024</v>
      </c>
      <c r="P473" s="1" t="s">
        <v>39</v>
      </c>
      <c r="Q473" s="1" t="s">
        <v>40</v>
      </c>
      <c r="R473" s="4" t="s">
        <v>61</v>
      </c>
      <c r="S473" s="25">
        <f>Table1[[#This Row],[Clicks]]/Table1[[#This Row],[Impressions]]</f>
        <v>0.10933232316408173</v>
      </c>
      <c r="T473" s="22">
        <f>Table1[[#This Row],[Sales]]/Table1[[#This Row],[USD_Spend]]</f>
        <v>13.289329594640792</v>
      </c>
      <c r="U473" s="1" t="str">
        <f>Outlier_Check!C483</f>
        <v>Normal</v>
      </c>
    </row>
    <row r="474" spans="1:21" x14ac:dyDescent="0.35">
      <c r="A474" s="3" t="s">
        <v>72</v>
      </c>
      <c r="B474" s="1" t="s">
        <v>48</v>
      </c>
      <c r="C474" s="1" t="s">
        <v>20</v>
      </c>
      <c r="D474" s="1" t="s">
        <v>37</v>
      </c>
      <c r="E474" s="1" t="s">
        <v>30</v>
      </c>
      <c r="F474" s="1" t="s">
        <v>44</v>
      </c>
      <c r="G474" s="2">
        <v>45338</v>
      </c>
      <c r="H474" s="2">
        <v>45392</v>
      </c>
      <c r="I474" s="1">
        <v>9051.91</v>
      </c>
      <c r="J474" s="1">
        <v>8.3099999999999993E-2</v>
      </c>
      <c r="K474" s="1">
        <v>752.21</v>
      </c>
      <c r="L474" s="1">
        <v>806070</v>
      </c>
      <c r="M474" s="1">
        <v>2530</v>
      </c>
      <c r="N474" s="1">
        <v>166743.16</v>
      </c>
      <c r="O474" s="1">
        <v>2024</v>
      </c>
      <c r="P474" s="1" t="s">
        <v>39</v>
      </c>
      <c r="Q474" s="1" t="s">
        <v>40</v>
      </c>
      <c r="R474" s="4" t="s">
        <v>41</v>
      </c>
      <c r="S474" s="25">
        <f>Table1[[#This Row],[Clicks]]/Table1[[#This Row],[Impressions]]</f>
        <v>3.1386852258488717E-3</v>
      </c>
      <c r="T474" s="22">
        <f>Table1[[#This Row],[Sales]]/Table1[[#This Row],[USD_Spend]]</f>
        <v>221.67102271971922</v>
      </c>
      <c r="U474" s="1" t="str">
        <f>Outlier_Check!C484</f>
        <v>Normal</v>
      </c>
    </row>
    <row r="475" spans="1:21" x14ac:dyDescent="0.35">
      <c r="A475" s="3" t="s">
        <v>57</v>
      </c>
      <c r="B475" s="1" t="s">
        <v>35</v>
      </c>
      <c r="C475" s="1" t="s">
        <v>20</v>
      </c>
      <c r="D475" s="1" t="s">
        <v>37</v>
      </c>
      <c r="E475" s="1" t="s">
        <v>30</v>
      </c>
      <c r="F475" s="1" t="s">
        <v>23</v>
      </c>
      <c r="G475" s="2">
        <v>45339</v>
      </c>
      <c r="H475" s="2">
        <v>45376</v>
      </c>
      <c r="I475" s="1">
        <v>37740.32</v>
      </c>
      <c r="J475" s="1">
        <v>0.8367</v>
      </c>
      <c r="K475" s="1">
        <v>31577.33</v>
      </c>
      <c r="L475" s="1">
        <v>929933</v>
      </c>
      <c r="M475" s="1">
        <v>24287</v>
      </c>
      <c r="N475" s="1">
        <v>116400.43</v>
      </c>
      <c r="O475" s="1">
        <v>2024</v>
      </c>
      <c r="P475" s="1" t="s">
        <v>39</v>
      </c>
      <c r="Q475" s="1" t="s">
        <v>40</v>
      </c>
      <c r="R475" s="4" t="s">
        <v>54</v>
      </c>
      <c r="S475" s="25">
        <f>Table1[[#This Row],[Clicks]]/Table1[[#This Row],[Impressions]]</f>
        <v>2.6116935306091944E-2</v>
      </c>
      <c r="T475" s="22">
        <f>Table1[[#This Row],[Sales]]/Table1[[#This Row],[USD_Spend]]</f>
        <v>3.6862024116668506</v>
      </c>
      <c r="U475" s="1" t="str">
        <f>Outlier_Check!C485</f>
        <v>Normal</v>
      </c>
    </row>
    <row r="476" spans="1:21" x14ac:dyDescent="0.35">
      <c r="A476" s="3" t="s">
        <v>107</v>
      </c>
      <c r="B476" s="1" t="s">
        <v>35</v>
      </c>
      <c r="C476" s="1" t="s">
        <v>20</v>
      </c>
      <c r="D476" s="1" t="s">
        <v>43</v>
      </c>
      <c r="E476" s="1" t="s">
        <v>22</v>
      </c>
      <c r="F476" s="1" t="s">
        <v>49</v>
      </c>
      <c r="G476" s="2">
        <v>45340</v>
      </c>
      <c r="H476" s="2">
        <v>45371</v>
      </c>
      <c r="I476" s="1">
        <v>2755.76</v>
      </c>
      <c r="J476" s="1">
        <v>0.66339999999999999</v>
      </c>
      <c r="K476" s="1">
        <v>1828.17</v>
      </c>
      <c r="L476" s="1">
        <v>876028</v>
      </c>
      <c r="M476" s="1">
        <v>6056</v>
      </c>
      <c r="N476" s="1">
        <v>198986.9</v>
      </c>
      <c r="O476" s="1">
        <v>2024</v>
      </c>
      <c r="P476" s="1" t="s">
        <v>39</v>
      </c>
      <c r="Q476" s="1" t="s">
        <v>40</v>
      </c>
      <c r="R476" s="4" t="s">
        <v>41</v>
      </c>
      <c r="S476" s="25">
        <f>Table1[[#This Row],[Clicks]]/Table1[[#This Row],[Impressions]]</f>
        <v>6.9130210449894298E-3</v>
      </c>
      <c r="T476" s="22">
        <f>Table1[[#This Row],[Sales]]/Table1[[#This Row],[USD_Spend]]</f>
        <v>108.84485578474649</v>
      </c>
      <c r="U476" s="1" t="str">
        <f>Outlier_Check!C486</f>
        <v>Normal</v>
      </c>
    </row>
    <row r="477" spans="1:21" x14ac:dyDescent="0.35">
      <c r="A477" s="3" t="s">
        <v>78</v>
      </c>
      <c r="B477" s="1" t="s">
        <v>28</v>
      </c>
      <c r="C477" s="1" t="s">
        <v>20</v>
      </c>
      <c r="D477" s="1" t="s">
        <v>43</v>
      </c>
      <c r="E477" s="1" t="s">
        <v>30</v>
      </c>
      <c r="F477" s="1" t="s">
        <v>31</v>
      </c>
      <c r="G477" s="2">
        <v>45340</v>
      </c>
      <c r="H477" s="2">
        <v>45352</v>
      </c>
      <c r="I477" s="1">
        <v>47138.21</v>
      </c>
      <c r="J477" s="1">
        <v>0.68789999999999996</v>
      </c>
      <c r="K477" s="1">
        <v>32426.37</v>
      </c>
      <c r="L477" s="1">
        <v>617040</v>
      </c>
      <c r="M477" s="1">
        <v>39062</v>
      </c>
      <c r="N477" s="1">
        <v>14736.71</v>
      </c>
      <c r="O477" s="1">
        <v>2024</v>
      </c>
      <c r="P477" s="1" t="s">
        <v>39</v>
      </c>
      <c r="Q477" s="1" t="s">
        <v>40</v>
      </c>
      <c r="R477" s="4" t="s">
        <v>41</v>
      </c>
      <c r="S477" s="25">
        <f>Table1[[#This Row],[Clicks]]/Table1[[#This Row],[Impressions]]</f>
        <v>6.3305458317126931E-2</v>
      </c>
      <c r="T477" s="22">
        <f>Table1[[#This Row],[Sales]]/Table1[[#This Row],[USD_Spend]]</f>
        <v>0.45446684288127226</v>
      </c>
      <c r="U477" s="1" t="str">
        <f>Outlier_Check!C487</f>
        <v>Normal</v>
      </c>
    </row>
    <row r="478" spans="1:21" x14ac:dyDescent="0.35">
      <c r="A478" s="3" t="s">
        <v>34</v>
      </c>
      <c r="B478" s="1" t="s">
        <v>48</v>
      </c>
      <c r="C478" s="1" t="s">
        <v>58</v>
      </c>
      <c r="D478" s="1" t="s">
        <v>59</v>
      </c>
      <c r="E478" s="1" t="s">
        <v>22</v>
      </c>
      <c r="F478" s="1" t="s">
        <v>52</v>
      </c>
      <c r="G478" s="2">
        <v>45342</v>
      </c>
      <c r="H478" s="2">
        <v>45399</v>
      </c>
      <c r="I478" s="1">
        <v>29417.74</v>
      </c>
      <c r="J478" s="1">
        <v>0.78979999999999995</v>
      </c>
      <c r="K478" s="1">
        <v>23234.13</v>
      </c>
      <c r="L478" s="1">
        <v>504932</v>
      </c>
      <c r="M478" s="1">
        <v>42966</v>
      </c>
      <c r="N478" s="1">
        <v>130598.51</v>
      </c>
      <c r="O478" s="1">
        <v>2024</v>
      </c>
      <c r="P478" s="1" t="s">
        <v>39</v>
      </c>
      <c r="Q478" s="1" t="s">
        <v>40</v>
      </c>
      <c r="R478" s="4" t="s">
        <v>54</v>
      </c>
      <c r="S478" s="25">
        <f>Table1[[#This Row],[Clicks]]/Table1[[#This Row],[Impressions]]</f>
        <v>8.5092646138489936E-2</v>
      </c>
      <c r="T478" s="22">
        <f>Table1[[#This Row],[Sales]]/Table1[[#This Row],[USD_Spend]]</f>
        <v>5.6209769851507243</v>
      </c>
      <c r="U478" s="1" t="str">
        <f>Outlier_Check!C488</f>
        <v>Normal</v>
      </c>
    </row>
    <row r="479" spans="1:21" x14ac:dyDescent="0.35">
      <c r="A479" s="3" t="s">
        <v>47</v>
      </c>
      <c r="B479" s="1" t="s">
        <v>19</v>
      </c>
      <c r="C479" s="1" t="s">
        <v>36</v>
      </c>
      <c r="D479" s="1" t="s">
        <v>37</v>
      </c>
      <c r="E479" s="1" t="s">
        <v>38</v>
      </c>
      <c r="F479" s="1" t="s">
        <v>49</v>
      </c>
      <c r="G479" s="2">
        <v>45342</v>
      </c>
      <c r="H479" s="2">
        <v>45376</v>
      </c>
      <c r="I479" s="1">
        <v>28685.11</v>
      </c>
      <c r="J479" s="1">
        <v>1.1883999999999999</v>
      </c>
      <c r="K479" s="1">
        <v>34089.379999999997</v>
      </c>
      <c r="L479" s="1">
        <v>246828</v>
      </c>
      <c r="M479" s="1">
        <v>19759</v>
      </c>
      <c r="N479" s="1">
        <v>172590.2</v>
      </c>
      <c r="O479" s="1">
        <v>2024</v>
      </c>
      <c r="P479" s="1" t="s">
        <v>39</v>
      </c>
      <c r="Q479" s="1" t="s">
        <v>40</v>
      </c>
      <c r="R479" s="4" t="s">
        <v>54</v>
      </c>
      <c r="S479" s="25">
        <f>Table1[[#This Row],[Clicks]]/Table1[[#This Row],[Impressions]]</f>
        <v>8.0051695917805116E-2</v>
      </c>
      <c r="T479" s="22">
        <f>Table1[[#This Row],[Sales]]/Table1[[#This Row],[USD_Spend]]</f>
        <v>5.0628729533948702</v>
      </c>
      <c r="U479" s="1" t="str">
        <f>Outlier_Check!C489</f>
        <v>Normal</v>
      </c>
    </row>
    <row r="480" spans="1:21" x14ac:dyDescent="0.35">
      <c r="A480" s="3" t="s">
        <v>89</v>
      </c>
      <c r="B480" s="1" t="s">
        <v>35</v>
      </c>
      <c r="C480" s="1" t="s">
        <v>29</v>
      </c>
      <c r="D480" s="1" t="s">
        <v>51</v>
      </c>
      <c r="E480" s="1" t="s">
        <v>30</v>
      </c>
      <c r="F480" s="1" t="s">
        <v>44</v>
      </c>
      <c r="G480" s="2">
        <v>45342</v>
      </c>
      <c r="H480" s="2">
        <v>45347</v>
      </c>
      <c r="I480" s="1">
        <v>31198.04</v>
      </c>
      <c r="J480" s="1">
        <v>1.0940000000000001</v>
      </c>
      <c r="K480" s="1">
        <v>34130.660000000003</v>
      </c>
      <c r="L480" s="1">
        <v>792150</v>
      </c>
      <c r="M480" s="1">
        <v>577</v>
      </c>
      <c r="N480" s="1">
        <v>179969.22</v>
      </c>
      <c r="O480" s="1">
        <v>2024</v>
      </c>
      <c r="P480" s="1" t="s">
        <v>39</v>
      </c>
      <c r="Q480" s="1" t="s">
        <v>40</v>
      </c>
      <c r="R480" s="4" t="s">
        <v>26</v>
      </c>
      <c r="S480" s="25">
        <f>Table1[[#This Row],[Clicks]]/Table1[[#This Row],[Impressions]]</f>
        <v>7.283973994824213E-4</v>
      </c>
      <c r="T480" s="22">
        <f>Table1[[#This Row],[Sales]]/Table1[[#This Row],[USD_Spend]]</f>
        <v>5.272948721179139</v>
      </c>
      <c r="U480" s="1" t="str">
        <f>Outlier_Check!C490</f>
        <v>Normal</v>
      </c>
    </row>
    <row r="481" spans="1:21" x14ac:dyDescent="0.35">
      <c r="A481" s="3" t="s">
        <v>106</v>
      </c>
      <c r="B481" s="1" t="s">
        <v>48</v>
      </c>
      <c r="C481" s="1" t="s">
        <v>36</v>
      </c>
      <c r="D481" s="1" t="s">
        <v>59</v>
      </c>
      <c r="E481" s="1" t="s">
        <v>22</v>
      </c>
      <c r="F481" s="1" t="s">
        <v>49</v>
      </c>
      <c r="G481" s="2">
        <v>45346</v>
      </c>
      <c r="H481" s="2">
        <v>45392</v>
      </c>
      <c r="I481" s="1">
        <v>16779.18</v>
      </c>
      <c r="J481" s="1">
        <v>0.1245</v>
      </c>
      <c r="K481" s="1">
        <v>2089.0100000000002</v>
      </c>
      <c r="L481" s="1">
        <v>700897</v>
      </c>
      <c r="M481" s="1">
        <v>4469</v>
      </c>
      <c r="N481" s="1">
        <v>15725.43</v>
      </c>
      <c r="O481" s="1">
        <v>2024</v>
      </c>
      <c r="P481" s="1" t="s">
        <v>39</v>
      </c>
      <c r="Q481" s="1" t="s">
        <v>40</v>
      </c>
      <c r="R481" s="4" t="s">
        <v>61</v>
      </c>
      <c r="S481" s="25">
        <f>Table1[[#This Row],[Clicks]]/Table1[[#This Row],[Impressions]]</f>
        <v>6.3761151781217499E-3</v>
      </c>
      <c r="T481" s="22">
        <f>Table1[[#This Row],[Sales]]/Table1[[#This Row],[USD_Spend]]</f>
        <v>7.5276949368361086</v>
      </c>
      <c r="U481" s="1" t="str">
        <f>Outlier_Check!C491</f>
        <v>Normal</v>
      </c>
    </row>
    <row r="482" spans="1:21" x14ac:dyDescent="0.35">
      <c r="A482" s="3" t="s">
        <v>34</v>
      </c>
      <c r="B482" s="1" t="s">
        <v>48</v>
      </c>
      <c r="C482" s="1" t="s">
        <v>29</v>
      </c>
      <c r="D482" s="1" t="s">
        <v>59</v>
      </c>
      <c r="E482" s="1" t="s">
        <v>38</v>
      </c>
      <c r="F482" s="1" t="s">
        <v>31</v>
      </c>
      <c r="G482" s="2">
        <v>45346</v>
      </c>
      <c r="H482" s="2">
        <v>45391</v>
      </c>
      <c r="I482" s="1">
        <v>45806.11</v>
      </c>
      <c r="J482" s="1">
        <v>0.50329999999999997</v>
      </c>
      <c r="K482" s="1">
        <v>23054.22</v>
      </c>
      <c r="L482" s="1">
        <v>592813</v>
      </c>
      <c r="M482" s="1">
        <v>30385</v>
      </c>
      <c r="N482" s="1">
        <v>179010.52</v>
      </c>
      <c r="O482" s="1">
        <v>2024</v>
      </c>
      <c r="P482" s="1" t="s">
        <v>39</v>
      </c>
      <c r="Q482" s="1" t="s">
        <v>40</v>
      </c>
      <c r="R482" s="4" t="s">
        <v>54</v>
      </c>
      <c r="S482" s="25">
        <f>Table1[[#This Row],[Clicks]]/Table1[[#This Row],[Impressions]]</f>
        <v>5.1255623611493002E-2</v>
      </c>
      <c r="T482" s="22">
        <f>Table1[[#This Row],[Sales]]/Table1[[#This Row],[USD_Spend]]</f>
        <v>7.7647615057026425</v>
      </c>
      <c r="U482" s="1" t="str">
        <f>Outlier_Check!C492</f>
        <v>Normal</v>
      </c>
    </row>
    <row r="483" spans="1:21" x14ac:dyDescent="0.35">
      <c r="A483" s="3" t="s">
        <v>111</v>
      </c>
      <c r="B483" s="1" t="s">
        <v>19</v>
      </c>
      <c r="C483" s="1" t="s">
        <v>20</v>
      </c>
      <c r="D483" s="1" t="s">
        <v>21</v>
      </c>
      <c r="E483" s="1" t="s">
        <v>30</v>
      </c>
      <c r="F483" s="1" t="s">
        <v>23</v>
      </c>
      <c r="G483" s="2">
        <v>45347</v>
      </c>
      <c r="H483" s="2">
        <v>45386</v>
      </c>
      <c r="I483" s="1">
        <v>29241.27</v>
      </c>
      <c r="J483" s="1">
        <v>4.9799999999999997E-2</v>
      </c>
      <c r="K483" s="1">
        <v>1456.22</v>
      </c>
      <c r="L483" s="1">
        <v>49704</v>
      </c>
      <c r="M483" s="1">
        <v>37334</v>
      </c>
      <c r="N483" s="1">
        <v>123400.69</v>
      </c>
      <c r="O483" s="1">
        <v>2024</v>
      </c>
      <c r="P483" s="1" t="s">
        <v>39</v>
      </c>
      <c r="Q483" s="1" t="s">
        <v>40</v>
      </c>
      <c r="R483" s="4" t="s">
        <v>61</v>
      </c>
      <c r="S483" s="25">
        <f>Table1[[#This Row],[Clicks]]/Table1[[#This Row],[Impressions]]</f>
        <v>0.75112666988572352</v>
      </c>
      <c r="T483" s="22">
        <f>Table1[[#This Row],[Sales]]/Table1[[#This Row],[USD_Spend]]</f>
        <v>84.740416969963334</v>
      </c>
      <c r="U483" s="1" t="str">
        <f>Outlier_Check!C493</f>
        <v>Normal</v>
      </c>
    </row>
    <row r="484" spans="1:21" x14ac:dyDescent="0.35">
      <c r="A484" s="3" t="s">
        <v>97</v>
      </c>
      <c r="B484" s="1" t="s">
        <v>35</v>
      </c>
      <c r="C484" s="1" t="s">
        <v>69</v>
      </c>
      <c r="D484" s="1" t="s">
        <v>37</v>
      </c>
      <c r="E484" s="1" t="s">
        <v>30</v>
      </c>
      <c r="F484" s="1" t="s">
        <v>44</v>
      </c>
      <c r="G484" s="2">
        <v>45347</v>
      </c>
      <c r="H484" s="2">
        <v>45374</v>
      </c>
      <c r="I484" s="1">
        <v>43806.76</v>
      </c>
      <c r="J484" s="1">
        <v>1.1298999999999999</v>
      </c>
      <c r="K484" s="1">
        <v>49497.26</v>
      </c>
      <c r="L484" s="1">
        <v>453481</v>
      </c>
      <c r="M484" s="1">
        <v>47355</v>
      </c>
      <c r="N484" s="1">
        <v>17604.29</v>
      </c>
      <c r="O484" s="1">
        <v>2024</v>
      </c>
      <c r="P484" s="1" t="s">
        <v>39</v>
      </c>
      <c r="Q484" s="1" t="s">
        <v>40</v>
      </c>
      <c r="R484" s="4" t="s">
        <v>61</v>
      </c>
      <c r="S484" s="25">
        <f>Table1[[#This Row],[Clicks]]/Table1[[#This Row],[Impressions]]</f>
        <v>0.10442554373832641</v>
      </c>
      <c r="T484" s="22">
        <f>Table1[[#This Row],[Sales]]/Table1[[#This Row],[USD_Spend]]</f>
        <v>0.35566190936629621</v>
      </c>
      <c r="U484" s="1" t="str">
        <f>Outlier_Check!C494</f>
        <v>Normal</v>
      </c>
    </row>
    <row r="485" spans="1:21" x14ac:dyDescent="0.35">
      <c r="A485" s="3" t="s">
        <v>107</v>
      </c>
      <c r="B485" s="1" t="s">
        <v>28</v>
      </c>
      <c r="C485" s="1" t="s">
        <v>69</v>
      </c>
      <c r="D485" s="1" t="s">
        <v>51</v>
      </c>
      <c r="E485" s="1" t="s">
        <v>30</v>
      </c>
      <c r="F485" s="1" t="s">
        <v>49</v>
      </c>
      <c r="G485" s="2">
        <v>45349</v>
      </c>
      <c r="H485" s="2">
        <v>45366</v>
      </c>
      <c r="I485" s="1">
        <v>42820.62</v>
      </c>
      <c r="J485" s="1">
        <v>0.2271</v>
      </c>
      <c r="K485" s="1">
        <v>9724.56</v>
      </c>
      <c r="L485" s="1">
        <v>313662</v>
      </c>
      <c r="M485" s="1">
        <v>7332</v>
      </c>
      <c r="N485" s="1">
        <v>161038.71</v>
      </c>
      <c r="O485" s="1">
        <v>2024</v>
      </c>
      <c r="P485" s="1" t="s">
        <v>39</v>
      </c>
      <c r="Q485" s="1" t="s">
        <v>40</v>
      </c>
      <c r="R485" s="4" t="s">
        <v>61</v>
      </c>
      <c r="S485" s="25">
        <f>Table1[[#This Row],[Clicks]]/Table1[[#This Row],[Impressions]]</f>
        <v>2.3375480612889032E-2</v>
      </c>
      <c r="T485" s="22">
        <f>Table1[[#This Row],[Sales]]/Table1[[#This Row],[USD_Spend]]</f>
        <v>16.559999629803301</v>
      </c>
      <c r="U485" s="1" t="str">
        <f>Outlier_Check!C495</f>
        <v>Normal</v>
      </c>
    </row>
    <row r="486" spans="1:21" x14ac:dyDescent="0.35">
      <c r="A486" s="3" t="s">
        <v>99</v>
      </c>
      <c r="B486" s="1" t="s">
        <v>28</v>
      </c>
      <c r="C486" s="1" t="s">
        <v>20</v>
      </c>
      <c r="D486" s="1" t="s">
        <v>21</v>
      </c>
      <c r="E486" s="1" t="s">
        <v>22</v>
      </c>
      <c r="F486" s="1" t="s">
        <v>31</v>
      </c>
      <c r="G486" s="2">
        <v>45350</v>
      </c>
      <c r="H486" s="2">
        <v>45374</v>
      </c>
      <c r="I486" s="1">
        <v>14482.54</v>
      </c>
      <c r="J486" s="1">
        <v>0.67249999999999999</v>
      </c>
      <c r="K486" s="1">
        <v>9739.51</v>
      </c>
      <c r="L486" s="1">
        <v>630407</v>
      </c>
      <c r="M486" s="1">
        <v>48282</v>
      </c>
      <c r="N486" s="1">
        <v>228336.53</v>
      </c>
      <c r="O486" s="1">
        <v>2024</v>
      </c>
      <c r="P486" s="1" t="s">
        <v>39</v>
      </c>
      <c r="Q486" s="1" t="s">
        <v>40</v>
      </c>
      <c r="R486" s="4" t="s">
        <v>54</v>
      </c>
      <c r="S486" s="25">
        <f>Table1[[#This Row],[Clicks]]/Table1[[#This Row],[Impressions]]</f>
        <v>7.6588616560412562E-2</v>
      </c>
      <c r="T486" s="22">
        <f>Table1[[#This Row],[Sales]]/Table1[[#This Row],[USD_Spend]]</f>
        <v>23.4443550034858</v>
      </c>
      <c r="U486" s="1" t="str">
        <f>Outlier_Check!C496</f>
        <v>Normal</v>
      </c>
    </row>
    <row r="487" spans="1:21" x14ac:dyDescent="0.35">
      <c r="A487" s="3" t="s">
        <v>114</v>
      </c>
      <c r="B487" s="1" t="s">
        <v>35</v>
      </c>
      <c r="C487" s="1" t="s">
        <v>69</v>
      </c>
      <c r="D487" s="1" t="s">
        <v>37</v>
      </c>
      <c r="E487" s="1" t="s">
        <v>38</v>
      </c>
      <c r="F487" s="1" t="s">
        <v>31</v>
      </c>
      <c r="G487" s="2">
        <v>45350</v>
      </c>
      <c r="H487" s="2">
        <v>45357</v>
      </c>
      <c r="I487" s="1">
        <v>17355.82</v>
      </c>
      <c r="J487" s="1">
        <v>0.67689999999999995</v>
      </c>
      <c r="K487" s="1">
        <v>11748.15</v>
      </c>
      <c r="L487" s="1">
        <v>678470</v>
      </c>
      <c r="M487" s="1">
        <v>14015</v>
      </c>
      <c r="N487" s="1">
        <v>7767.83</v>
      </c>
      <c r="O487" s="1">
        <v>2024</v>
      </c>
      <c r="P487" s="1" t="s">
        <v>39</v>
      </c>
      <c r="Q487" s="1" t="s">
        <v>40</v>
      </c>
      <c r="R487" s="4" t="s">
        <v>41</v>
      </c>
      <c r="S487" s="25">
        <f>Table1[[#This Row],[Clicks]]/Table1[[#This Row],[Impressions]]</f>
        <v>2.0656771854319276E-2</v>
      </c>
      <c r="T487" s="22">
        <f>Table1[[#This Row],[Sales]]/Table1[[#This Row],[USD_Spend]]</f>
        <v>0.66119601809646622</v>
      </c>
      <c r="U487" s="1" t="str">
        <f>Outlier_Check!C497</f>
        <v>Normal</v>
      </c>
    </row>
    <row r="488" spans="1:21" x14ac:dyDescent="0.35">
      <c r="A488" s="3" t="s">
        <v>50</v>
      </c>
      <c r="B488" s="1" t="s">
        <v>28</v>
      </c>
      <c r="C488" s="1" t="s">
        <v>69</v>
      </c>
      <c r="D488" s="1" t="s">
        <v>51</v>
      </c>
      <c r="E488" s="1" t="s">
        <v>30</v>
      </c>
      <c r="F488" s="1" t="s">
        <v>44</v>
      </c>
      <c r="G488" s="2">
        <v>45353</v>
      </c>
      <c r="H488" s="2">
        <v>45395</v>
      </c>
      <c r="I488" s="1">
        <v>16076.21</v>
      </c>
      <c r="J488" s="1">
        <v>1.0794999999999999</v>
      </c>
      <c r="K488" s="1">
        <v>17354.27</v>
      </c>
      <c r="L488" s="1">
        <v>924462</v>
      </c>
      <c r="M488" s="1">
        <v>45191</v>
      </c>
      <c r="N488" s="1">
        <v>159168.82</v>
      </c>
      <c r="O488" s="1">
        <v>2024</v>
      </c>
      <c r="P488" s="1" t="s">
        <v>60</v>
      </c>
      <c r="Q488" s="1" t="s">
        <v>40</v>
      </c>
      <c r="R488" s="4" t="s">
        <v>61</v>
      </c>
      <c r="S488" s="25">
        <f>Table1[[#This Row],[Clicks]]/Table1[[#This Row],[Impressions]]</f>
        <v>4.888356687457137E-2</v>
      </c>
      <c r="T488" s="22">
        <f>Table1[[#This Row],[Sales]]/Table1[[#This Row],[USD_Spend]]</f>
        <v>9.1717381370694362</v>
      </c>
      <c r="U488" s="1" t="str">
        <f>Outlier_Check!C498</f>
        <v>Normal</v>
      </c>
    </row>
    <row r="489" spans="1:21" x14ac:dyDescent="0.35">
      <c r="A489" s="3" t="s">
        <v>27</v>
      </c>
      <c r="B489" s="1" t="s">
        <v>48</v>
      </c>
      <c r="C489" s="1" t="s">
        <v>29</v>
      </c>
      <c r="D489" s="1" t="s">
        <v>51</v>
      </c>
      <c r="E489" s="1" t="s">
        <v>22</v>
      </c>
      <c r="F489" s="1" t="s">
        <v>44</v>
      </c>
      <c r="G489" s="2">
        <v>45354</v>
      </c>
      <c r="H489" s="2">
        <v>45374</v>
      </c>
      <c r="I489" s="1">
        <v>29072.03</v>
      </c>
      <c r="J489" s="1">
        <v>0.51749999999999996</v>
      </c>
      <c r="K489" s="1">
        <v>15044.78</v>
      </c>
      <c r="L489" s="1">
        <v>337557</v>
      </c>
      <c r="M489" s="1">
        <v>39773</v>
      </c>
      <c r="N489" s="1">
        <v>85674.76</v>
      </c>
      <c r="O489" s="1">
        <v>2024</v>
      </c>
      <c r="P489" s="1" t="s">
        <v>60</v>
      </c>
      <c r="Q489" s="1" t="s">
        <v>40</v>
      </c>
      <c r="R489" s="4" t="s">
        <v>61</v>
      </c>
      <c r="S489" s="25">
        <f>Table1[[#This Row],[Clicks]]/Table1[[#This Row],[Impressions]]</f>
        <v>0.11782602641924178</v>
      </c>
      <c r="T489" s="22">
        <f>Table1[[#This Row],[Sales]]/Table1[[#This Row],[USD_Spend]]</f>
        <v>5.6946502374910093</v>
      </c>
      <c r="U489" s="1" t="str">
        <f>Outlier_Check!C499</f>
        <v>Normal</v>
      </c>
    </row>
    <row r="490" spans="1:21" x14ac:dyDescent="0.35">
      <c r="A490" s="3" t="s">
        <v>102</v>
      </c>
      <c r="B490" s="1" t="s">
        <v>48</v>
      </c>
      <c r="C490" s="1" t="s">
        <v>20</v>
      </c>
      <c r="D490" s="1" t="s">
        <v>51</v>
      </c>
      <c r="E490" s="1" t="s">
        <v>38</v>
      </c>
      <c r="F490" s="1" t="s">
        <v>31</v>
      </c>
      <c r="G490" s="2">
        <v>45355</v>
      </c>
      <c r="H490" s="2">
        <v>45385</v>
      </c>
      <c r="I490" s="1">
        <v>20025.47</v>
      </c>
      <c r="J490" s="1">
        <v>5.1999999999999998E-2</v>
      </c>
      <c r="K490" s="1">
        <v>1041.32</v>
      </c>
      <c r="L490" s="1">
        <v>752464</v>
      </c>
      <c r="M490" s="1">
        <v>37589</v>
      </c>
      <c r="N490" s="1">
        <v>204923.6</v>
      </c>
      <c r="O490" s="1">
        <v>2024</v>
      </c>
      <c r="P490" s="1" t="s">
        <v>60</v>
      </c>
      <c r="Q490" s="1" t="s">
        <v>40</v>
      </c>
      <c r="R490" s="4" t="s">
        <v>41</v>
      </c>
      <c r="S490" s="25">
        <f>Table1[[#This Row],[Clicks]]/Table1[[#This Row],[Impressions]]</f>
        <v>4.9954549320631952E-2</v>
      </c>
      <c r="T490" s="22">
        <f>Table1[[#This Row],[Sales]]/Table1[[#This Row],[USD_Spend]]</f>
        <v>196.79214842699653</v>
      </c>
      <c r="U490" s="1" t="str">
        <f>Outlier_Check!C500</f>
        <v>Normal</v>
      </c>
    </row>
    <row r="491" spans="1:21" x14ac:dyDescent="0.35">
      <c r="A491" s="3" t="s">
        <v>113</v>
      </c>
      <c r="B491" s="1" t="s">
        <v>48</v>
      </c>
      <c r="C491" s="1" t="s">
        <v>58</v>
      </c>
      <c r="D491" s="1" t="s">
        <v>51</v>
      </c>
      <c r="E491" s="1" t="s">
        <v>30</v>
      </c>
      <c r="F491" s="1" t="s">
        <v>52</v>
      </c>
      <c r="G491" s="2">
        <v>45355</v>
      </c>
      <c r="H491" s="2">
        <v>45360</v>
      </c>
      <c r="I491" s="1">
        <v>28327.81</v>
      </c>
      <c r="J491" s="1">
        <v>0.2384</v>
      </c>
      <c r="K491" s="1">
        <v>6753.35</v>
      </c>
      <c r="L491" s="1">
        <v>565953</v>
      </c>
      <c r="M491" s="1">
        <v>6370</v>
      </c>
      <c r="N491" s="1">
        <v>156635.63</v>
      </c>
      <c r="O491" s="1">
        <v>2024</v>
      </c>
      <c r="P491" s="1" t="s">
        <v>60</v>
      </c>
      <c r="Q491" s="1" t="s">
        <v>40</v>
      </c>
      <c r="R491" s="4" t="s">
        <v>41</v>
      </c>
      <c r="S491" s="25">
        <f>Table1[[#This Row],[Clicks]]/Table1[[#This Row],[Impressions]]</f>
        <v>1.125535159280011E-2</v>
      </c>
      <c r="T491" s="22">
        <f>Table1[[#This Row],[Sales]]/Table1[[#This Row],[USD_Spend]]</f>
        <v>23.193767537592453</v>
      </c>
      <c r="U491" s="1" t="str">
        <f>Outlier_Check!C501</f>
        <v>Normal</v>
      </c>
    </row>
    <row r="492" spans="1:21" x14ac:dyDescent="0.35">
      <c r="A492" s="3" t="s">
        <v>70</v>
      </c>
      <c r="B492" s="1" t="s">
        <v>48</v>
      </c>
      <c r="C492" s="1" t="s">
        <v>20</v>
      </c>
      <c r="D492" s="1" t="s">
        <v>21</v>
      </c>
      <c r="E492" s="1" t="s">
        <v>30</v>
      </c>
      <c r="F492" s="1" t="s">
        <v>31</v>
      </c>
      <c r="G492" s="2">
        <v>45356</v>
      </c>
      <c r="H492" s="2">
        <v>45392</v>
      </c>
      <c r="I492" s="1">
        <v>48098.07</v>
      </c>
      <c r="J492" s="1">
        <v>1.1673</v>
      </c>
      <c r="K492" s="1">
        <v>56144.88</v>
      </c>
      <c r="L492" s="1">
        <v>159289</v>
      </c>
      <c r="M492" s="1">
        <v>46738</v>
      </c>
      <c r="N492" s="1">
        <v>73557.19</v>
      </c>
      <c r="O492" s="1">
        <v>2024</v>
      </c>
      <c r="P492" s="1" t="s">
        <v>60</v>
      </c>
      <c r="Q492" s="1" t="s">
        <v>40</v>
      </c>
      <c r="R492" s="4" t="s">
        <v>54</v>
      </c>
      <c r="S492" s="25">
        <f>Table1[[#This Row],[Clicks]]/Table1[[#This Row],[Impressions]]</f>
        <v>0.29341636898969797</v>
      </c>
      <c r="T492" s="22">
        <f>Table1[[#This Row],[Sales]]/Table1[[#This Row],[USD_Spend]]</f>
        <v>1.3101317519959079</v>
      </c>
      <c r="U492" s="1" t="str">
        <f>Outlier_Check!C502</f>
        <v>Outlier</v>
      </c>
    </row>
    <row r="493" spans="1:21" x14ac:dyDescent="0.35">
      <c r="A493" s="3" t="s">
        <v>88</v>
      </c>
      <c r="B493" s="1" t="s">
        <v>19</v>
      </c>
      <c r="C493" s="1" t="s">
        <v>20</v>
      </c>
      <c r="D493" s="1" t="s">
        <v>37</v>
      </c>
      <c r="E493" s="1" t="s">
        <v>22</v>
      </c>
      <c r="F493" s="1" t="s">
        <v>52</v>
      </c>
      <c r="G493" s="2">
        <v>45356</v>
      </c>
      <c r="H493" s="2">
        <v>45388</v>
      </c>
      <c r="I493" s="1">
        <v>34602.379999999997</v>
      </c>
      <c r="J493" s="1">
        <v>0.49</v>
      </c>
      <c r="K493" s="1">
        <v>16955.169999999998</v>
      </c>
      <c r="L493" s="1">
        <v>826466</v>
      </c>
      <c r="M493" s="1">
        <v>45353</v>
      </c>
      <c r="N493" s="1">
        <v>136712.98000000001</v>
      </c>
      <c r="O493" s="1">
        <v>2024</v>
      </c>
      <c r="P493" s="1" t="s">
        <v>60</v>
      </c>
      <c r="Q493" s="1" t="s">
        <v>40</v>
      </c>
      <c r="R493" s="4" t="s">
        <v>41</v>
      </c>
      <c r="S493" s="25">
        <f>Table1[[#This Row],[Clicks]]/Table1[[#This Row],[Impressions]]</f>
        <v>5.4875820662918982E-2</v>
      </c>
      <c r="T493" s="22">
        <f>Table1[[#This Row],[Sales]]/Table1[[#This Row],[USD_Spend]]</f>
        <v>8.0632031409888558</v>
      </c>
      <c r="U493" s="1" t="str">
        <f>Outlier_Check!C503</f>
        <v>Normal</v>
      </c>
    </row>
    <row r="494" spans="1:21" x14ac:dyDescent="0.35">
      <c r="A494" s="3" t="s">
        <v>88</v>
      </c>
      <c r="B494" s="1" t="s">
        <v>35</v>
      </c>
      <c r="C494" s="1" t="s">
        <v>36</v>
      </c>
      <c r="D494" s="1" t="s">
        <v>63</v>
      </c>
      <c r="E494" s="1" t="s">
        <v>30</v>
      </c>
      <c r="F494" s="1" t="s">
        <v>44</v>
      </c>
      <c r="G494" s="2">
        <v>45356</v>
      </c>
      <c r="H494" s="2">
        <v>45386</v>
      </c>
      <c r="I494" s="1">
        <v>44403.360000000001</v>
      </c>
      <c r="J494" s="1">
        <v>0.84389999999999998</v>
      </c>
      <c r="K494" s="1">
        <v>37472</v>
      </c>
      <c r="L494" s="1">
        <v>925979</v>
      </c>
      <c r="M494" s="1">
        <v>20044</v>
      </c>
      <c r="N494" s="1">
        <v>181780.01</v>
      </c>
      <c r="O494" s="1">
        <v>2024</v>
      </c>
      <c r="P494" s="1" t="s">
        <v>60</v>
      </c>
      <c r="Q494" s="1" t="s">
        <v>40</v>
      </c>
      <c r="R494" s="4" t="s">
        <v>61</v>
      </c>
      <c r="S494" s="25">
        <f>Table1[[#This Row],[Clicks]]/Table1[[#This Row],[Impressions]]</f>
        <v>2.1646279235274235E-2</v>
      </c>
      <c r="T494" s="22">
        <f>Table1[[#This Row],[Sales]]/Table1[[#This Row],[USD_Spend]]</f>
        <v>4.8510890798462851</v>
      </c>
      <c r="U494" s="1" t="str">
        <f>Outlier_Check!C504</f>
        <v>Normal</v>
      </c>
    </row>
    <row r="495" spans="1:21" x14ac:dyDescent="0.35">
      <c r="A495" s="3" t="s">
        <v>27</v>
      </c>
      <c r="B495" s="1" t="s">
        <v>19</v>
      </c>
      <c r="C495" s="1" t="s">
        <v>58</v>
      </c>
      <c r="D495" s="1" t="s">
        <v>51</v>
      </c>
      <c r="E495" s="1" t="s">
        <v>38</v>
      </c>
      <c r="F495" s="1" t="s">
        <v>49</v>
      </c>
      <c r="G495" s="2">
        <v>45356</v>
      </c>
      <c r="H495" s="2">
        <v>45373</v>
      </c>
      <c r="I495" s="1">
        <v>32489.97</v>
      </c>
      <c r="J495" s="1">
        <v>0.9587</v>
      </c>
      <c r="K495" s="1">
        <v>31148.13</v>
      </c>
      <c r="L495" s="1">
        <v>271250</v>
      </c>
      <c r="M495" s="1">
        <v>41437</v>
      </c>
      <c r="N495" s="1">
        <v>248551.38</v>
      </c>
      <c r="O495" s="1">
        <v>2024</v>
      </c>
      <c r="P495" s="1" t="s">
        <v>60</v>
      </c>
      <c r="Q495" s="1" t="s">
        <v>40</v>
      </c>
      <c r="R495" s="4" t="s">
        <v>54</v>
      </c>
      <c r="S495" s="25">
        <f>Table1[[#This Row],[Clicks]]/Table1[[#This Row],[Impressions]]</f>
        <v>0.15276313364055299</v>
      </c>
      <c r="T495" s="22">
        <f>Table1[[#This Row],[Sales]]/Table1[[#This Row],[USD_Spend]]</f>
        <v>7.9796565636524566</v>
      </c>
      <c r="U495" s="1" t="str">
        <f>Outlier_Check!C505</f>
        <v>Normal</v>
      </c>
    </row>
    <row r="496" spans="1:21" x14ac:dyDescent="0.35">
      <c r="A496" s="3" t="s">
        <v>62</v>
      </c>
      <c r="B496" s="1" t="s">
        <v>19</v>
      </c>
      <c r="C496" s="1" t="s">
        <v>29</v>
      </c>
      <c r="D496" s="1" t="s">
        <v>51</v>
      </c>
      <c r="E496" s="1" t="s">
        <v>22</v>
      </c>
      <c r="F496" s="1" t="s">
        <v>23</v>
      </c>
      <c r="G496" s="2">
        <v>45358</v>
      </c>
      <c r="H496" s="2">
        <v>45364</v>
      </c>
      <c r="I496" s="1">
        <v>49475.24</v>
      </c>
      <c r="J496" s="1">
        <v>0.41120000000000001</v>
      </c>
      <c r="K496" s="1">
        <v>20344.22</v>
      </c>
      <c r="L496" s="1">
        <v>211485</v>
      </c>
      <c r="M496" s="1">
        <v>44661</v>
      </c>
      <c r="N496" s="1">
        <v>168892.62</v>
      </c>
      <c r="O496" s="1">
        <v>2024</v>
      </c>
      <c r="P496" s="1" t="s">
        <v>60</v>
      </c>
      <c r="Q496" s="1" t="s">
        <v>40</v>
      </c>
      <c r="R496" s="4" t="s">
        <v>54</v>
      </c>
      <c r="S496" s="25">
        <f>Table1[[#This Row],[Clicks]]/Table1[[#This Row],[Impressions]]</f>
        <v>0.21117809773742818</v>
      </c>
      <c r="T496" s="22">
        <f>Table1[[#This Row],[Sales]]/Table1[[#This Row],[USD_Spend]]</f>
        <v>8.3017495878436218</v>
      </c>
      <c r="U496" s="1" t="str">
        <f>Outlier_Check!C506</f>
        <v>Normal</v>
      </c>
    </row>
    <row r="497" spans="1:21" x14ac:dyDescent="0.35">
      <c r="A497" s="3" t="s">
        <v>67</v>
      </c>
      <c r="B497" s="1" t="s">
        <v>19</v>
      </c>
      <c r="C497" s="1" t="s">
        <v>69</v>
      </c>
      <c r="D497" s="1" t="s">
        <v>63</v>
      </c>
      <c r="E497" s="1" t="s">
        <v>38</v>
      </c>
      <c r="F497" s="1" t="s">
        <v>31</v>
      </c>
      <c r="G497" s="2">
        <v>45359</v>
      </c>
      <c r="H497" s="2">
        <v>45395</v>
      </c>
      <c r="I497" s="1">
        <v>19575.64</v>
      </c>
      <c r="J497" s="1">
        <v>0.45419999999999999</v>
      </c>
      <c r="K497" s="1">
        <v>8891.26</v>
      </c>
      <c r="L497" s="1">
        <v>128733</v>
      </c>
      <c r="M497" s="1">
        <v>22248</v>
      </c>
      <c r="N497" s="1">
        <v>228941.07</v>
      </c>
      <c r="O497" s="1">
        <v>2024</v>
      </c>
      <c r="P497" s="1" t="s">
        <v>60</v>
      </c>
      <c r="Q497" s="1" t="s">
        <v>40</v>
      </c>
      <c r="R497" s="4" t="s">
        <v>41</v>
      </c>
      <c r="S497" s="25">
        <f>Table1[[#This Row],[Clicks]]/Table1[[#This Row],[Impressions]]</f>
        <v>0.17282281932371654</v>
      </c>
      <c r="T497" s="22">
        <f>Table1[[#This Row],[Sales]]/Table1[[#This Row],[USD_Spend]]</f>
        <v>25.749001828762179</v>
      </c>
      <c r="U497" s="1" t="str">
        <f>Outlier_Check!C507</f>
        <v>Normal</v>
      </c>
    </row>
    <row r="498" spans="1:21" x14ac:dyDescent="0.35">
      <c r="A498" s="3" t="s">
        <v>102</v>
      </c>
      <c r="B498" s="1" t="s">
        <v>48</v>
      </c>
      <c r="C498" s="1" t="s">
        <v>58</v>
      </c>
      <c r="D498" s="1" t="s">
        <v>51</v>
      </c>
      <c r="E498" s="1" t="s">
        <v>30</v>
      </c>
      <c r="F498" s="1" t="s">
        <v>49</v>
      </c>
      <c r="G498" s="2">
        <v>45359</v>
      </c>
      <c r="H498" s="2">
        <v>45386</v>
      </c>
      <c r="I498" s="1">
        <v>10574.95</v>
      </c>
      <c r="J498" s="1">
        <v>0.24840000000000001</v>
      </c>
      <c r="K498" s="1">
        <v>2626.82</v>
      </c>
      <c r="L498" s="1">
        <v>962631</v>
      </c>
      <c r="M498" s="1">
        <v>13289</v>
      </c>
      <c r="N498" s="1">
        <v>197389.63</v>
      </c>
      <c r="O498" s="1">
        <v>2024</v>
      </c>
      <c r="P498" s="1" t="s">
        <v>60</v>
      </c>
      <c r="Q498" s="1" t="s">
        <v>40</v>
      </c>
      <c r="R498" s="4" t="s">
        <v>41</v>
      </c>
      <c r="S498" s="25">
        <f>Table1[[#This Row],[Clicks]]/Table1[[#This Row],[Impressions]]</f>
        <v>1.3804874349569046E-2</v>
      </c>
      <c r="T498" s="22">
        <f>Table1[[#This Row],[Sales]]/Table1[[#This Row],[USD_Spend]]</f>
        <v>75.143949718671237</v>
      </c>
      <c r="U498" s="1" t="str">
        <f>Outlier_Check!C508</f>
        <v>Normal</v>
      </c>
    </row>
    <row r="499" spans="1:21" x14ac:dyDescent="0.35">
      <c r="A499" s="3" t="s">
        <v>104</v>
      </c>
      <c r="B499" s="1" t="s">
        <v>28</v>
      </c>
      <c r="C499" s="1" t="s">
        <v>20</v>
      </c>
      <c r="D499" s="1" t="s">
        <v>37</v>
      </c>
      <c r="E499" s="1" t="s">
        <v>22</v>
      </c>
      <c r="F499" s="1" t="s">
        <v>44</v>
      </c>
      <c r="G499" s="2">
        <v>45360</v>
      </c>
      <c r="H499" s="2">
        <v>45389</v>
      </c>
      <c r="I499" s="1">
        <v>42727.72</v>
      </c>
      <c r="J499" s="1">
        <v>0.55620000000000003</v>
      </c>
      <c r="K499" s="1">
        <v>23765.16</v>
      </c>
      <c r="L499" s="1">
        <v>238808</v>
      </c>
      <c r="M499" s="1">
        <v>30685</v>
      </c>
      <c r="N499" s="1">
        <v>79025.55</v>
      </c>
      <c r="O499" s="1">
        <v>2024</v>
      </c>
      <c r="P499" s="1" t="s">
        <v>60</v>
      </c>
      <c r="Q499" s="1" t="s">
        <v>40</v>
      </c>
      <c r="R499" s="4" t="s">
        <v>41</v>
      </c>
      <c r="S499" s="25">
        <f>Table1[[#This Row],[Clicks]]/Table1[[#This Row],[Impressions]]</f>
        <v>0.12849234531506482</v>
      </c>
      <c r="T499" s="22">
        <f>Table1[[#This Row],[Sales]]/Table1[[#This Row],[USD_Spend]]</f>
        <v>3.3252690072358027</v>
      </c>
      <c r="U499" s="1" t="str">
        <f>Outlier_Check!C509</f>
        <v>Normal</v>
      </c>
    </row>
    <row r="500" spans="1:21" x14ac:dyDescent="0.35">
      <c r="A500" s="3" t="s">
        <v>91</v>
      </c>
      <c r="B500" s="1" t="s">
        <v>48</v>
      </c>
      <c r="C500" s="1" t="s">
        <v>29</v>
      </c>
      <c r="D500" s="1" t="s">
        <v>37</v>
      </c>
      <c r="E500" s="1" t="s">
        <v>38</v>
      </c>
      <c r="F500" s="1" t="s">
        <v>31</v>
      </c>
      <c r="G500" s="2">
        <v>45361</v>
      </c>
      <c r="H500" s="2">
        <v>45402</v>
      </c>
      <c r="I500" s="1">
        <v>36241.79</v>
      </c>
      <c r="J500" s="1">
        <v>0.92510000000000003</v>
      </c>
      <c r="K500" s="1">
        <v>33527.279999999999</v>
      </c>
      <c r="L500" s="1">
        <v>282735</v>
      </c>
      <c r="M500" s="1">
        <v>10752</v>
      </c>
      <c r="N500" s="1">
        <v>240274.73</v>
      </c>
      <c r="O500" s="1">
        <v>2024</v>
      </c>
      <c r="P500" s="1" t="s">
        <v>60</v>
      </c>
      <c r="Q500" s="1" t="s">
        <v>40</v>
      </c>
      <c r="R500" s="4" t="s">
        <v>26</v>
      </c>
      <c r="S500" s="25">
        <f>Table1[[#This Row],[Clicks]]/Table1[[#This Row],[Impressions]]</f>
        <v>3.802854262825614E-2</v>
      </c>
      <c r="T500" s="22">
        <f>Table1[[#This Row],[Sales]]/Table1[[#This Row],[USD_Spend]]</f>
        <v>7.1665440799253632</v>
      </c>
      <c r="U500" s="1" t="str">
        <f>Outlier_Check!C510</f>
        <v>Normal</v>
      </c>
    </row>
    <row r="501" spans="1:21" x14ac:dyDescent="0.35">
      <c r="A501" s="3" t="s">
        <v>67</v>
      </c>
      <c r="B501" s="1" t="s">
        <v>19</v>
      </c>
      <c r="C501" s="1" t="s">
        <v>20</v>
      </c>
      <c r="D501" s="1" t="s">
        <v>37</v>
      </c>
      <c r="E501" s="1" t="s">
        <v>30</v>
      </c>
      <c r="F501" s="1" t="s">
        <v>49</v>
      </c>
      <c r="G501" s="2">
        <v>45362</v>
      </c>
      <c r="H501" s="2">
        <v>45400</v>
      </c>
      <c r="I501" s="1">
        <v>20321.689999999999</v>
      </c>
      <c r="J501" s="1">
        <v>0.97360000000000002</v>
      </c>
      <c r="K501" s="1">
        <v>19785.2</v>
      </c>
      <c r="L501" s="1">
        <v>740494</v>
      </c>
      <c r="M501" s="1">
        <v>6522</v>
      </c>
      <c r="N501" s="1">
        <v>115848.14</v>
      </c>
      <c r="O501" s="1">
        <v>2024</v>
      </c>
      <c r="P501" s="1" t="s">
        <v>60</v>
      </c>
      <c r="Q501" s="1" t="s">
        <v>40</v>
      </c>
      <c r="R501" s="4" t="s">
        <v>61</v>
      </c>
      <c r="S501" s="25">
        <f>Table1[[#This Row],[Clicks]]/Table1[[#This Row],[Impressions]]</f>
        <v>8.8076338228263839E-3</v>
      </c>
      <c r="T501" s="22">
        <f>Table1[[#This Row],[Sales]]/Table1[[#This Row],[USD_Spend]]</f>
        <v>5.8552928451569857</v>
      </c>
      <c r="U501" s="1" t="str">
        <f>Outlier_Check!C511</f>
        <v>Normal</v>
      </c>
    </row>
    <row r="502" spans="1:21" x14ac:dyDescent="0.35">
      <c r="A502" s="3" t="s">
        <v>81</v>
      </c>
      <c r="B502" s="1" t="s">
        <v>28</v>
      </c>
      <c r="C502" s="1" t="s">
        <v>69</v>
      </c>
      <c r="D502" s="1" t="s">
        <v>59</v>
      </c>
      <c r="E502" s="1" t="s">
        <v>22</v>
      </c>
      <c r="F502" s="1" t="s">
        <v>23</v>
      </c>
      <c r="G502" s="2">
        <v>45362</v>
      </c>
      <c r="H502" s="2">
        <v>45375</v>
      </c>
      <c r="I502" s="1">
        <v>13471.38</v>
      </c>
      <c r="J502" s="1">
        <v>0.9214</v>
      </c>
      <c r="K502" s="1">
        <v>12412.53</v>
      </c>
      <c r="L502" s="1">
        <v>964293</v>
      </c>
      <c r="M502" s="1">
        <v>5593</v>
      </c>
      <c r="N502" s="1">
        <v>74400.33</v>
      </c>
      <c r="O502" s="1">
        <v>2024</v>
      </c>
      <c r="P502" s="1" t="s">
        <v>60</v>
      </c>
      <c r="Q502" s="1" t="s">
        <v>40</v>
      </c>
      <c r="R502" s="4" t="s">
        <v>26</v>
      </c>
      <c r="S502" s="25">
        <f>Table1[[#This Row],[Clicks]]/Table1[[#This Row],[Impressions]]</f>
        <v>5.8001043251376914E-3</v>
      </c>
      <c r="T502" s="22">
        <f>Table1[[#This Row],[Sales]]/Table1[[#This Row],[USD_Spend]]</f>
        <v>5.9939698030941315</v>
      </c>
      <c r="U502" s="1" t="str">
        <f>Outlier_Check!C512</f>
        <v>Normal</v>
      </c>
    </row>
    <row r="503" spans="1:21" x14ac:dyDescent="0.35">
      <c r="A503" s="3" t="s">
        <v>106</v>
      </c>
      <c r="B503" s="1" t="s">
        <v>28</v>
      </c>
      <c r="C503" s="1" t="s">
        <v>20</v>
      </c>
      <c r="D503" s="1" t="s">
        <v>51</v>
      </c>
      <c r="E503" s="1" t="s">
        <v>30</v>
      </c>
      <c r="F503" s="1" t="s">
        <v>49</v>
      </c>
      <c r="G503" s="2">
        <v>45364</v>
      </c>
      <c r="H503" s="2">
        <v>45407</v>
      </c>
      <c r="I503" s="1">
        <v>42542.1</v>
      </c>
      <c r="J503" s="1">
        <v>0.31900000000000001</v>
      </c>
      <c r="K503" s="1">
        <v>13570.93</v>
      </c>
      <c r="L503" s="1">
        <v>613080</v>
      </c>
      <c r="M503" s="1">
        <v>40944</v>
      </c>
      <c r="N503" s="1">
        <v>91694.07</v>
      </c>
      <c r="O503" s="1">
        <v>2024</v>
      </c>
      <c r="P503" s="1" t="s">
        <v>60</v>
      </c>
      <c r="Q503" s="1" t="s">
        <v>40</v>
      </c>
      <c r="R503" s="4" t="s">
        <v>54</v>
      </c>
      <c r="S503" s="25">
        <f>Table1[[#This Row],[Clicks]]/Table1[[#This Row],[Impressions]]</f>
        <v>6.678410647876297E-2</v>
      </c>
      <c r="T503" s="22">
        <f>Table1[[#This Row],[Sales]]/Table1[[#This Row],[USD_Spend]]</f>
        <v>6.756653376002971</v>
      </c>
      <c r="U503" s="1" t="str">
        <f>Outlier_Check!C513</f>
        <v>Normal</v>
      </c>
    </row>
    <row r="504" spans="1:21" x14ac:dyDescent="0.35">
      <c r="A504" s="3" t="s">
        <v>97</v>
      </c>
      <c r="B504" s="1" t="s">
        <v>48</v>
      </c>
      <c r="C504" s="1" t="s">
        <v>29</v>
      </c>
      <c r="D504" s="1" t="s">
        <v>43</v>
      </c>
      <c r="E504" s="1" t="s">
        <v>30</v>
      </c>
      <c r="F504" s="1" t="s">
        <v>44</v>
      </c>
      <c r="G504" s="2">
        <v>45365</v>
      </c>
      <c r="H504" s="2">
        <v>45400</v>
      </c>
      <c r="I504" s="1">
        <v>49356.7</v>
      </c>
      <c r="J504" s="1">
        <v>1.0299</v>
      </c>
      <c r="K504" s="1">
        <v>50832.47</v>
      </c>
      <c r="L504" s="1">
        <v>959173</v>
      </c>
      <c r="M504" s="1">
        <v>6683</v>
      </c>
      <c r="N504" s="1">
        <v>184898.05</v>
      </c>
      <c r="O504" s="1">
        <v>2024</v>
      </c>
      <c r="P504" s="1" t="s">
        <v>60</v>
      </c>
      <c r="Q504" s="1" t="s">
        <v>40</v>
      </c>
      <c r="R504" s="4" t="s">
        <v>26</v>
      </c>
      <c r="S504" s="25">
        <f>Table1[[#This Row],[Clicks]]/Table1[[#This Row],[Impressions]]</f>
        <v>6.9674605102520611E-3</v>
      </c>
      <c r="T504" s="22">
        <f>Table1[[#This Row],[Sales]]/Table1[[#This Row],[USD_Spend]]</f>
        <v>3.6374004647029738</v>
      </c>
      <c r="U504" s="1" t="str">
        <f>Outlier_Check!C514</f>
        <v>Normal</v>
      </c>
    </row>
    <row r="505" spans="1:21" x14ac:dyDescent="0.35">
      <c r="A505" s="3" t="s">
        <v>47</v>
      </c>
      <c r="B505" s="1" t="s">
        <v>28</v>
      </c>
      <c r="C505" s="1" t="s">
        <v>69</v>
      </c>
      <c r="D505" s="1" t="s">
        <v>51</v>
      </c>
      <c r="E505" s="1" t="s">
        <v>30</v>
      </c>
      <c r="F505" s="1" t="s">
        <v>23</v>
      </c>
      <c r="G505" s="2">
        <v>45365</v>
      </c>
      <c r="H505" s="2">
        <v>45393</v>
      </c>
      <c r="I505" s="1">
        <v>9667.86</v>
      </c>
      <c r="J505" s="1">
        <v>0.71789999999999998</v>
      </c>
      <c r="K505" s="1">
        <v>6940.56</v>
      </c>
      <c r="L505" s="1">
        <v>579128</v>
      </c>
      <c r="M505" s="1">
        <v>28665</v>
      </c>
      <c r="N505" s="1">
        <v>98483.01</v>
      </c>
      <c r="O505" s="1">
        <v>2024</v>
      </c>
      <c r="P505" s="1" t="s">
        <v>60</v>
      </c>
      <c r="Q505" s="1" t="s">
        <v>40</v>
      </c>
      <c r="R505" s="4" t="s">
        <v>26</v>
      </c>
      <c r="S505" s="25">
        <f>Table1[[#This Row],[Clicks]]/Table1[[#This Row],[Impressions]]</f>
        <v>4.9496829716401208E-2</v>
      </c>
      <c r="T505" s="22">
        <f>Table1[[#This Row],[Sales]]/Table1[[#This Row],[USD_Spend]]</f>
        <v>14.189490473391194</v>
      </c>
      <c r="U505" s="1" t="str">
        <f>Outlier_Check!C515</f>
        <v>Normal</v>
      </c>
    </row>
    <row r="506" spans="1:21" x14ac:dyDescent="0.35">
      <c r="A506" s="3" t="s">
        <v>34</v>
      </c>
      <c r="B506" s="1" t="s">
        <v>19</v>
      </c>
      <c r="C506" s="1" t="s">
        <v>20</v>
      </c>
      <c r="D506" s="1" t="s">
        <v>63</v>
      </c>
      <c r="E506" s="1" t="s">
        <v>38</v>
      </c>
      <c r="F506" s="1" t="s">
        <v>44</v>
      </c>
      <c r="G506" s="2">
        <v>45365</v>
      </c>
      <c r="H506" s="2">
        <v>45391</v>
      </c>
      <c r="I506" s="1">
        <v>2020.52</v>
      </c>
      <c r="J506" s="1">
        <v>1.1695</v>
      </c>
      <c r="K506" s="1">
        <v>2363</v>
      </c>
      <c r="L506" s="1">
        <v>934065</v>
      </c>
      <c r="M506" s="1">
        <v>5144</v>
      </c>
      <c r="N506" s="1">
        <v>46827.65</v>
      </c>
      <c r="O506" s="1">
        <v>2024</v>
      </c>
      <c r="P506" s="1" t="s">
        <v>60</v>
      </c>
      <c r="Q506" s="1" t="s">
        <v>40</v>
      </c>
      <c r="R506" s="4" t="s">
        <v>26</v>
      </c>
      <c r="S506" s="25">
        <f>Table1[[#This Row],[Clicks]]/Table1[[#This Row],[Impressions]]</f>
        <v>5.5071113894643309E-3</v>
      </c>
      <c r="T506" s="22">
        <f>Table1[[#This Row],[Sales]]/Table1[[#This Row],[USD_Spend]]</f>
        <v>19.817033432077867</v>
      </c>
      <c r="U506" s="1" t="str">
        <f>Outlier_Check!C516</f>
        <v>Normal</v>
      </c>
    </row>
    <row r="507" spans="1:21" x14ac:dyDescent="0.35">
      <c r="A507" s="3" t="s">
        <v>66</v>
      </c>
      <c r="B507" s="1" t="s">
        <v>35</v>
      </c>
      <c r="C507" s="1" t="s">
        <v>36</v>
      </c>
      <c r="D507" s="1" t="s">
        <v>37</v>
      </c>
      <c r="E507" s="1" t="s">
        <v>38</v>
      </c>
      <c r="F507" s="1" t="s">
        <v>23</v>
      </c>
      <c r="G507" s="2">
        <v>45366</v>
      </c>
      <c r="H507" s="2">
        <v>45421</v>
      </c>
      <c r="I507" s="1">
        <v>10109.83</v>
      </c>
      <c r="J507" s="1">
        <v>0.3019</v>
      </c>
      <c r="K507" s="1">
        <v>3052.16</v>
      </c>
      <c r="L507" s="1">
        <v>235636</v>
      </c>
      <c r="M507" s="1">
        <v>43154</v>
      </c>
      <c r="N507" s="1">
        <v>96056.77</v>
      </c>
      <c r="O507" s="1">
        <v>2024</v>
      </c>
      <c r="P507" s="1" t="s">
        <v>60</v>
      </c>
      <c r="Q507" s="1" t="s">
        <v>40</v>
      </c>
      <c r="R507" s="4" t="s">
        <v>41</v>
      </c>
      <c r="S507" s="25">
        <f>Table1[[#This Row],[Clicks]]/Table1[[#This Row],[Impressions]]</f>
        <v>0.18313839990493813</v>
      </c>
      <c r="T507" s="22">
        <f>Table1[[#This Row],[Sales]]/Table1[[#This Row],[USD_Spend]]</f>
        <v>31.471734771440556</v>
      </c>
      <c r="U507" s="1" t="str">
        <f>Outlier_Check!C517</f>
        <v>Normal</v>
      </c>
    </row>
    <row r="508" spans="1:21" x14ac:dyDescent="0.35">
      <c r="A508" s="3" t="s">
        <v>82</v>
      </c>
      <c r="B508" s="1" t="s">
        <v>19</v>
      </c>
      <c r="C508" s="1" t="s">
        <v>20</v>
      </c>
      <c r="D508" s="1" t="s">
        <v>59</v>
      </c>
      <c r="E508" s="1" t="s">
        <v>38</v>
      </c>
      <c r="F508" s="1" t="s">
        <v>31</v>
      </c>
      <c r="G508" s="2">
        <v>45368</v>
      </c>
      <c r="H508" s="2">
        <v>45384</v>
      </c>
      <c r="I508" s="1">
        <v>13360.89</v>
      </c>
      <c r="J508" s="1">
        <v>0.59460000000000002</v>
      </c>
      <c r="K508" s="1">
        <v>7944.39</v>
      </c>
      <c r="L508" s="1">
        <v>360520</v>
      </c>
      <c r="M508" s="1">
        <v>20046</v>
      </c>
      <c r="N508" s="1">
        <v>32324.51</v>
      </c>
      <c r="O508" s="1">
        <v>2024</v>
      </c>
      <c r="P508" s="1" t="s">
        <v>60</v>
      </c>
      <c r="Q508" s="1" t="s">
        <v>40</v>
      </c>
      <c r="R508" s="4" t="s">
        <v>41</v>
      </c>
      <c r="S508" s="25">
        <f>Table1[[#This Row],[Clicks]]/Table1[[#This Row],[Impressions]]</f>
        <v>5.5603017863086655E-2</v>
      </c>
      <c r="T508" s="22">
        <f>Table1[[#This Row],[Sales]]/Table1[[#This Row],[USD_Spend]]</f>
        <v>4.0688473249676811</v>
      </c>
      <c r="U508" s="1" t="str">
        <f>Outlier_Check!C518</f>
        <v>Normal</v>
      </c>
    </row>
    <row r="509" spans="1:21" x14ac:dyDescent="0.35">
      <c r="A509" s="3" t="s">
        <v>67</v>
      </c>
      <c r="B509" s="1" t="s">
        <v>28</v>
      </c>
      <c r="C509" s="1" t="s">
        <v>58</v>
      </c>
      <c r="D509" s="1" t="s">
        <v>21</v>
      </c>
      <c r="E509" s="1" t="s">
        <v>22</v>
      </c>
      <c r="F509" s="1" t="s">
        <v>31</v>
      </c>
      <c r="G509" s="2">
        <v>45369</v>
      </c>
      <c r="H509" s="2">
        <v>45411</v>
      </c>
      <c r="I509" s="1">
        <v>45994.73</v>
      </c>
      <c r="J509" s="1">
        <v>0.35610000000000003</v>
      </c>
      <c r="K509" s="1">
        <v>16378.72</v>
      </c>
      <c r="L509" s="1">
        <v>43697</v>
      </c>
      <c r="M509" s="1">
        <v>31110</v>
      </c>
      <c r="N509" s="1">
        <v>233569.02</v>
      </c>
      <c r="O509" s="1">
        <v>2024</v>
      </c>
      <c r="P509" s="1" t="s">
        <v>60</v>
      </c>
      <c r="Q509" s="1" t="s">
        <v>40</v>
      </c>
      <c r="R509" s="4" t="s">
        <v>41</v>
      </c>
      <c r="S509" s="25">
        <f>Table1[[#This Row],[Clicks]]/Table1[[#This Row],[Impressions]]</f>
        <v>0.71194818866283727</v>
      </c>
      <c r="T509" s="22">
        <f>Table1[[#This Row],[Sales]]/Table1[[#This Row],[USD_Spend]]</f>
        <v>14.260517305381617</v>
      </c>
      <c r="U509" s="1" t="str">
        <f>Outlier_Check!C519</f>
        <v>Normal</v>
      </c>
    </row>
    <row r="510" spans="1:21" x14ac:dyDescent="0.35">
      <c r="A510" s="3" t="s">
        <v>112</v>
      </c>
      <c r="B510" s="1" t="s">
        <v>19</v>
      </c>
      <c r="C510" s="1" t="s">
        <v>29</v>
      </c>
      <c r="D510" s="1" t="s">
        <v>51</v>
      </c>
      <c r="E510" s="1" t="s">
        <v>22</v>
      </c>
      <c r="F510" s="1" t="s">
        <v>31</v>
      </c>
      <c r="G510" s="2">
        <v>45369</v>
      </c>
      <c r="H510" s="2">
        <v>45405</v>
      </c>
      <c r="I510" s="1">
        <v>13889.77</v>
      </c>
      <c r="J510" s="1">
        <v>1.0387999999999999</v>
      </c>
      <c r="K510" s="1">
        <v>14428.69</v>
      </c>
      <c r="L510" s="1">
        <v>301979</v>
      </c>
      <c r="M510" s="1">
        <v>48048</v>
      </c>
      <c r="N510" s="1">
        <v>168835.32</v>
      </c>
      <c r="O510" s="1">
        <v>2024</v>
      </c>
      <c r="P510" s="1" t="s">
        <v>60</v>
      </c>
      <c r="Q510" s="1" t="s">
        <v>40</v>
      </c>
      <c r="R510" s="4" t="s">
        <v>61</v>
      </c>
      <c r="S510" s="25">
        <f>Table1[[#This Row],[Clicks]]/Table1[[#This Row],[Impressions]]</f>
        <v>0.15911040171667568</v>
      </c>
      <c r="T510" s="22">
        <f>Table1[[#This Row],[Sales]]/Table1[[#This Row],[USD_Spend]]</f>
        <v>11.70136166207743</v>
      </c>
      <c r="U510" s="1" t="str">
        <f>Outlier_Check!C520</f>
        <v>Normal</v>
      </c>
    </row>
    <row r="511" spans="1:21" x14ac:dyDescent="0.35">
      <c r="A511" s="3" t="s">
        <v>64</v>
      </c>
      <c r="B511" s="1" t="s">
        <v>48</v>
      </c>
      <c r="C511" s="1" t="s">
        <v>58</v>
      </c>
      <c r="D511" s="1" t="s">
        <v>21</v>
      </c>
      <c r="E511" s="1" t="s">
        <v>38</v>
      </c>
      <c r="F511" s="1" t="s">
        <v>31</v>
      </c>
      <c r="G511" s="2">
        <v>45369</v>
      </c>
      <c r="H511" s="2">
        <v>45383</v>
      </c>
      <c r="I511" s="1">
        <v>32173.66</v>
      </c>
      <c r="J511" s="1">
        <v>0.22989999999999999</v>
      </c>
      <c r="K511" s="1">
        <v>7396.72</v>
      </c>
      <c r="L511" s="1">
        <v>868311</v>
      </c>
      <c r="M511" s="1">
        <v>48898</v>
      </c>
      <c r="N511" s="1">
        <v>166079.01</v>
      </c>
      <c r="O511" s="1">
        <v>2024</v>
      </c>
      <c r="P511" s="1" t="s">
        <v>60</v>
      </c>
      <c r="Q511" s="1" t="s">
        <v>40</v>
      </c>
      <c r="R511" s="4" t="s">
        <v>26</v>
      </c>
      <c r="S511" s="25">
        <f>Table1[[#This Row],[Clicks]]/Table1[[#This Row],[Impressions]]</f>
        <v>5.6313924388842244E-2</v>
      </c>
      <c r="T511" s="22">
        <f>Table1[[#This Row],[Sales]]/Table1[[#This Row],[USD_Spend]]</f>
        <v>22.453061627315893</v>
      </c>
      <c r="U511" s="1" t="str">
        <f>Outlier_Check!C521</f>
        <v>Normal</v>
      </c>
    </row>
    <row r="512" spans="1:21" x14ac:dyDescent="0.35">
      <c r="A512" s="3" t="s">
        <v>66</v>
      </c>
      <c r="B512" s="1" t="s">
        <v>19</v>
      </c>
      <c r="C512" s="1" t="s">
        <v>36</v>
      </c>
      <c r="D512" s="1" t="s">
        <v>51</v>
      </c>
      <c r="E512" s="1" t="s">
        <v>22</v>
      </c>
      <c r="F512" s="1" t="s">
        <v>44</v>
      </c>
      <c r="G512" s="2">
        <v>45370</v>
      </c>
      <c r="H512" s="2">
        <v>45417</v>
      </c>
      <c r="I512" s="1">
        <v>36605.949999999997</v>
      </c>
      <c r="J512" s="1">
        <v>0.58350000000000002</v>
      </c>
      <c r="K512" s="1">
        <v>21359.57</v>
      </c>
      <c r="L512" s="1">
        <v>705951</v>
      </c>
      <c r="M512" s="1">
        <v>44421</v>
      </c>
      <c r="N512" s="1">
        <v>162144.09</v>
      </c>
      <c r="O512" s="1">
        <v>2024</v>
      </c>
      <c r="P512" s="1" t="s">
        <v>60</v>
      </c>
      <c r="Q512" s="1" t="s">
        <v>40</v>
      </c>
      <c r="R512" s="4" t="s">
        <v>54</v>
      </c>
      <c r="S512" s="25">
        <f>Table1[[#This Row],[Clicks]]/Table1[[#This Row],[Impressions]]</f>
        <v>6.292363067691667E-2</v>
      </c>
      <c r="T512" s="22">
        <f>Table1[[#This Row],[Sales]]/Table1[[#This Row],[USD_Spend]]</f>
        <v>7.5911682679005246</v>
      </c>
      <c r="U512" s="1" t="str">
        <f>Outlier_Check!C522</f>
        <v>Normal</v>
      </c>
    </row>
    <row r="513" spans="1:21" x14ac:dyDescent="0.35">
      <c r="A513" s="3" t="s">
        <v>114</v>
      </c>
      <c r="B513" s="1" t="s">
        <v>48</v>
      </c>
      <c r="C513" s="1" t="s">
        <v>58</v>
      </c>
      <c r="D513" s="1" t="s">
        <v>37</v>
      </c>
      <c r="E513" s="1" t="s">
        <v>22</v>
      </c>
      <c r="F513" s="1" t="s">
        <v>52</v>
      </c>
      <c r="G513" s="2">
        <v>45371</v>
      </c>
      <c r="H513" s="2">
        <v>45419</v>
      </c>
      <c r="I513" s="1">
        <v>49778.15</v>
      </c>
      <c r="J513" s="1">
        <v>0.41789999999999999</v>
      </c>
      <c r="K513" s="1">
        <v>20802.29</v>
      </c>
      <c r="L513" s="1">
        <v>955169</v>
      </c>
      <c r="M513" s="1">
        <v>32224</v>
      </c>
      <c r="N513" s="1">
        <v>93016.47</v>
      </c>
      <c r="O513" s="1">
        <v>2024</v>
      </c>
      <c r="P513" s="1" t="s">
        <v>60</v>
      </c>
      <c r="Q513" s="1" t="s">
        <v>40</v>
      </c>
      <c r="R513" s="4" t="s">
        <v>61</v>
      </c>
      <c r="S513" s="25">
        <f>Table1[[#This Row],[Clicks]]/Table1[[#This Row],[Impressions]]</f>
        <v>3.3736438263804625E-2</v>
      </c>
      <c r="T513" s="22">
        <f>Table1[[#This Row],[Sales]]/Table1[[#This Row],[USD_Spend]]</f>
        <v>4.471453383257324</v>
      </c>
      <c r="U513" s="1" t="str">
        <f>Outlier_Check!C523</f>
        <v>Normal</v>
      </c>
    </row>
    <row r="514" spans="1:21" x14ac:dyDescent="0.35">
      <c r="A514" s="3" t="s">
        <v>66</v>
      </c>
      <c r="B514" s="1" t="s">
        <v>48</v>
      </c>
      <c r="C514" s="1" t="s">
        <v>29</v>
      </c>
      <c r="D514" s="1" t="s">
        <v>63</v>
      </c>
      <c r="E514" s="1" t="s">
        <v>22</v>
      </c>
      <c r="F514" s="1" t="s">
        <v>31</v>
      </c>
      <c r="G514" s="2">
        <v>45371</v>
      </c>
      <c r="H514" s="2">
        <v>45406</v>
      </c>
      <c r="I514" s="1">
        <v>15183.86</v>
      </c>
      <c r="J514" s="1">
        <v>0.58830000000000005</v>
      </c>
      <c r="K514" s="1">
        <v>8932.66</v>
      </c>
      <c r="L514" s="1">
        <v>807861</v>
      </c>
      <c r="M514" s="1">
        <v>28211</v>
      </c>
      <c r="N514" s="1">
        <v>65698.09</v>
      </c>
      <c r="O514" s="1">
        <v>2024</v>
      </c>
      <c r="P514" s="1" t="s">
        <v>60</v>
      </c>
      <c r="Q514" s="1" t="s">
        <v>40</v>
      </c>
      <c r="R514" s="4" t="s">
        <v>61</v>
      </c>
      <c r="S514" s="25">
        <f>Table1[[#This Row],[Clicks]]/Table1[[#This Row],[Impressions]]</f>
        <v>3.4920611342792882E-2</v>
      </c>
      <c r="T514" s="22">
        <f>Table1[[#This Row],[Sales]]/Table1[[#This Row],[USD_Spend]]</f>
        <v>7.3548181616674091</v>
      </c>
      <c r="U514" s="1" t="str">
        <f>Outlier_Check!C524</f>
        <v>Normal</v>
      </c>
    </row>
    <row r="515" spans="1:21" x14ac:dyDescent="0.35">
      <c r="A515" s="3" t="s">
        <v>87</v>
      </c>
      <c r="B515" s="1" t="s">
        <v>19</v>
      </c>
      <c r="C515" s="1" t="s">
        <v>20</v>
      </c>
      <c r="D515" s="1" t="s">
        <v>59</v>
      </c>
      <c r="E515" s="1" t="s">
        <v>22</v>
      </c>
      <c r="F515" s="1" t="s">
        <v>23</v>
      </c>
      <c r="G515" s="2">
        <v>45372</v>
      </c>
      <c r="H515" s="2">
        <v>45393</v>
      </c>
      <c r="I515" s="1">
        <v>17380.439999999999</v>
      </c>
      <c r="J515" s="1">
        <v>0.96809999999999996</v>
      </c>
      <c r="K515" s="1">
        <v>16826</v>
      </c>
      <c r="L515" s="1">
        <v>805248</v>
      </c>
      <c r="M515" s="1">
        <v>29797</v>
      </c>
      <c r="N515" s="1">
        <v>15612.78</v>
      </c>
      <c r="O515" s="1">
        <v>2024</v>
      </c>
      <c r="P515" s="1" t="s">
        <v>60</v>
      </c>
      <c r="Q515" s="1" t="s">
        <v>40</v>
      </c>
      <c r="R515" s="4" t="s">
        <v>54</v>
      </c>
      <c r="S515" s="25">
        <f>Table1[[#This Row],[Clicks]]/Table1[[#This Row],[Impressions]]</f>
        <v>3.7003506994118585E-2</v>
      </c>
      <c r="T515" s="22">
        <f>Table1[[#This Row],[Sales]]/Table1[[#This Row],[USD_Spend]]</f>
        <v>0.92789611315820753</v>
      </c>
      <c r="U515" s="1" t="str">
        <f>Outlier_Check!C525</f>
        <v>Normal</v>
      </c>
    </row>
    <row r="516" spans="1:21" x14ac:dyDescent="0.35">
      <c r="A516" s="3" t="s">
        <v>27</v>
      </c>
      <c r="B516" s="1" t="s">
        <v>28</v>
      </c>
      <c r="C516" s="1" t="s">
        <v>58</v>
      </c>
      <c r="D516" s="1" t="s">
        <v>21</v>
      </c>
      <c r="E516" s="1" t="s">
        <v>30</v>
      </c>
      <c r="F516" s="1" t="s">
        <v>44</v>
      </c>
      <c r="G516" s="2">
        <v>45372</v>
      </c>
      <c r="H516" s="2">
        <v>45388</v>
      </c>
      <c r="I516" s="1">
        <v>36955.97</v>
      </c>
      <c r="J516" s="1">
        <v>1.1589</v>
      </c>
      <c r="K516" s="1">
        <v>42828.27</v>
      </c>
      <c r="L516" s="1">
        <v>293201</v>
      </c>
      <c r="M516" s="1">
        <v>40464</v>
      </c>
      <c r="N516" s="1">
        <v>203008.81</v>
      </c>
      <c r="O516" s="1">
        <v>2024</v>
      </c>
      <c r="P516" s="1" t="s">
        <v>60</v>
      </c>
      <c r="Q516" s="1" t="s">
        <v>40</v>
      </c>
      <c r="R516" s="4" t="s">
        <v>41</v>
      </c>
      <c r="S516" s="25">
        <f>Table1[[#This Row],[Clicks]]/Table1[[#This Row],[Impressions]]</f>
        <v>0.13800771484408306</v>
      </c>
      <c r="T516" s="22">
        <f>Table1[[#This Row],[Sales]]/Table1[[#This Row],[USD_Spend]]</f>
        <v>4.7400656155385219</v>
      </c>
      <c r="U516" s="1" t="str">
        <f>Outlier_Check!C526</f>
        <v>Normal</v>
      </c>
    </row>
    <row r="517" spans="1:21" x14ac:dyDescent="0.35">
      <c r="A517" s="3" t="s">
        <v>91</v>
      </c>
      <c r="B517" s="1" t="s">
        <v>48</v>
      </c>
      <c r="C517" s="1" t="s">
        <v>58</v>
      </c>
      <c r="D517" s="1" t="s">
        <v>21</v>
      </c>
      <c r="E517" s="1" t="s">
        <v>22</v>
      </c>
      <c r="F517" s="1" t="s">
        <v>23</v>
      </c>
      <c r="G517" s="2">
        <v>45373</v>
      </c>
      <c r="H517" s="2">
        <v>45431</v>
      </c>
      <c r="I517" s="1">
        <v>31676.9</v>
      </c>
      <c r="J517" s="1">
        <v>0.95009999999999994</v>
      </c>
      <c r="K517" s="1">
        <v>30096.22</v>
      </c>
      <c r="L517" s="1">
        <v>210188</v>
      </c>
      <c r="M517" s="1">
        <v>5742</v>
      </c>
      <c r="N517" s="1">
        <v>78724.88</v>
      </c>
      <c r="O517" s="1">
        <v>2024</v>
      </c>
      <c r="P517" s="1" t="s">
        <v>60</v>
      </c>
      <c r="Q517" s="1" t="s">
        <v>40</v>
      </c>
      <c r="R517" s="4" t="s">
        <v>61</v>
      </c>
      <c r="S517" s="25">
        <f>Table1[[#This Row],[Clicks]]/Table1[[#This Row],[Impressions]]</f>
        <v>2.7318400669876491E-2</v>
      </c>
      <c r="T517" s="22">
        <f>Table1[[#This Row],[Sales]]/Table1[[#This Row],[USD_Spend]]</f>
        <v>2.6157730106970245</v>
      </c>
      <c r="U517" s="1" t="str">
        <f>Outlier_Check!C527</f>
        <v>Normal</v>
      </c>
    </row>
    <row r="518" spans="1:21" x14ac:dyDescent="0.35">
      <c r="A518" s="3" t="s">
        <v>71</v>
      </c>
      <c r="B518" s="1" t="s">
        <v>28</v>
      </c>
      <c r="C518" s="1" t="s">
        <v>69</v>
      </c>
      <c r="D518" s="1" t="s">
        <v>43</v>
      </c>
      <c r="E518" s="1" t="s">
        <v>22</v>
      </c>
      <c r="F518" s="1" t="s">
        <v>31</v>
      </c>
      <c r="G518" s="2">
        <v>45374</v>
      </c>
      <c r="H518" s="2">
        <v>45393</v>
      </c>
      <c r="I518" s="1">
        <v>5879.32</v>
      </c>
      <c r="J518" s="1">
        <v>0.96340000000000003</v>
      </c>
      <c r="K518" s="1">
        <v>5664.14</v>
      </c>
      <c r="L518" s="1">
        <v>538751</v>
      </c>
      <c r="M518" s="1">
        <v>7857</v>
      </c>
      <c r="N518" s="1">
        <v>159703.06</v>
      </c>
      <c r="O518" s="1">
        <v>2024</v>
      </c>
      <c r="P518" s="1" t="s">
        <v>60</v>
      </c>
      <c r="Q518" s="1" t="s">
        <v>40</v>
      </c>
      <c r="R518" s="4" t="s">
        <v>61</v>
      </c>
      <c r="S518" s="25">
        <f>Table1[[#This Row],[Clicks]]/Table1[[#This Row],[Impressions]]</f>
        <v>1.4583731631124582E-2</v>
      </c>
      <c r="T518" s="22">
        <f>Table1[[#This Row],[Sales]]/Table1[[#This Row],[USD_Spend]]</f>
        <v>28.19546480136437</v>
      </c>
      <c r="U518" s="1" t="str">
        <f>Outlier_Check!C528</f>
        <v>Normal</v>
      </c>
    </row>
    <row r="519" spans="1:21" x14ac:dyDescent="0.35">
      <c r="A519" s="3" t="s">
        <v>79</v>
      </c>
      <c r="B519" s="1" t="s">
        <v>19</v>
      </c>
      <c r="C519" s="1" t="s">
        <v>58</v>
      </c>
      <c r="D519" s="1" t="s">
        <v>51</v>
      </c>
      <c r="E519" s="1" t="s">
        <v>38</v>
      </c>
      <c r="F519" s="1" t="s">
        <v>31</v>
      </c>
      <c r="G519" s="2">
        <v>45376</v>
      </c>
      <c r="H519" s="2">
        <v>45409</v>
      </c>
      <c r="I519" s="1">
        <v>42794.26</v>
      </c>
      <c r="J519" s="1">
        <v>4.58E-2</v>
      </c>
      <c r="K519" s="1">
        <v>1959.98</v>
      </c>
      <c r="L519" s="1">
        <v>155699</v>
      </c>
      <c r="M519" s="1">
        <v>37947</v>
      </c>
      <c r="N519" s="1">
        <v>219068.79999999999</v>
      </c>
      <c r="O519" s="1">
        <v>2024</v>
      </c>
      <c r="P519" s="1" t="s">
        <v>60</v>
      </c>
      <c r="Q519" s="1" t="s">
        <v>40</v>
      </c>
      <c r="R519" s="4" t="s">
        <v>61</v>
      </c>
      <c r="S519" s="25">
        <f>Table1[[#This Row],[Clicks]]/Table1[[#This Row],[Impressions]]</f>
        <v>0.24372025510761147</v>
      </c>
      <c r="T519" s="22">
        <f>Table1[[#This Row],[Sales]]/Table1[[#This Row],[USD_Spend]]</f>
        <v>111.77093643812691</v>
      </c>
      <c r="U519" s="1" t="str">
        <f>Outlier_Check!C529</f>
        <v>Normal</v>
      </c>
    </row>
    <row r="520" spans="1:21" x14ac:dyDescent="0.35">
      <c r="A520" s="3" t="s">
        <v>84</v>
      </c>
      <c r="B520" s="1" t="s">
        <v>35</v>
      </c>
      <c r="C520" s="1" t="s">
        <v>29</v>
      </c>
      <c r="D520" s="1" t="s">
        <v>37</v>
      </c>
      <c r="E520" s="1" t="s">
        <v>30</v>
      </c>
      <c r="F520" s="1" t="s">
        <v>44</v>
      </c>
      <c r="G520" s="2">
        <v>45379</v>
      </c>
      <c r="H520" s="2">
        <v>45425</v>
      </c>
      <c r="I520" s="1">
        <v>13565.75</v>
      </c>
      <c r="J520" s="1">
        <v>0.58009999999999995</v>
      </c>
      <c r="K520" s="1">
        <v>7869.49</v>
      </c>
      <c r="L520" s="1">
        <v>221883</v>
      </c>
      <c r="M520" s="1">
        <v>35396</v>
      </c>
      <c r="N520" s="1">
        <v>71427.520000000004</v>
      </c>
      <c r="O520" s="1">
        <v>2024</v>
      </c>
      <c r="P520" s="1" t="s">
        <v>60</v>
      </c>
      <c r="Q520" s="1" t="s">
        <v>40</v>
      </c>
      <c r="R520" s="4" t="s">
        <v>61</v>
      </c>
      <c r="S520" s="25">
        <f>Table1[[#This Row],[Clicks]]/Table1[[#This Row],[Impressions]]</f>
        <v>0.15952551569971563</v>
      </c>
      <c r="T520" s="22">
        <f>Table1[[#This Row],[Sales]]/Table1[[#This Row],[USD_Spend]]</f>
        <v>9.076511946771646</v>
      </c>
      <c r="U520" s="1" t="str">
        <f>Outlier_Check!C530</f>
        <v>Normal</v>
      </c>
    </row>
    <row r="521" spans="1:21" x14ac:dyDescent="0.35">
      <c r="A521" s="3" t="s">
        <v>79</v>
      </c>
      <c r="B521" s="1" t="s">
        <v>28</v>
      </c>
      <c r="C521" s="1" t="s">
        <v>58</v>
      </c>
      <c r="D521" s="1" t="s">
        <v>37</v>
      </c>
      <c r="E521" s="1" t="s">
        <v>22</v>
      </c>
      <c r="F521" s="1" t="s">
        <v>31</v>
      </c>
      <c r="G521" s="2">
        <v>45379</v>
      </c>
      <c r="H521" s="2">
        <v>45424</v>
      </c>
      <c r="I521" s="1">
        <v>15838.2</v>
      </c>
      <c r="J521" s="1">
        <v>0.33689999999999998</v>
      </c>
      <c r="K521" s="1">
        <v>5335.89</v>
      </c>
      <c r="L521" s="1">
        <v>68900</v>
      </c>
      <c r="M521" s="1">
        <v>23164</v>
      </c>
      <c r="N521" s="1">
        <v>129297.54</v>
      </c>
      <c r="O521" s="1">
        <v>2024</v>
      </c>
      <c r="P521" s="1" t="s">
        <v>60</v>
      </c>
      <c r="Q521" s="1" t="s">
        <v>40</v>
      </c>
      <c r="R521" s="4" t="s">
        <v>41</v>
      </c>
      <c r="S521" s="25">
        <f>Table1[[#This Row],[Clicks]]/Table1[[#This Row],[Impressions]]</f>
        <v>0.33619738751814221</v>
      </c>
      <c r="T521" s="22">
        <f>Table1[[#This Row],[Sales]]/Table1[[#This Row],[USD_Spend]]</f>
        <v>24.231672691903317</v>
      </c>
      <c r="U521" s="1" t="str">
        <f>Outlier_Check!C531</f>
        <v>Normal</v>
      </c>
    </row>
    <row r="522" spans="1:21" x14ac:dyDescent="0.35">
      <c r="A522" s="3" t="s">
        <v>66</v>
      </c>
      <c r="B522" s="1" t="s">
        <v>48</v>
      </c>
      <c r="C522" s="1" t="s">
        <v>29</v>
      </c>
      <c r="D522" s="1" t="s">
        <v>37</v>
      </c>
      <c r="E522" s="1" t="s">
        <v>22</v>
      </c>
      <c r="F522" s="1" t="s">
        <v>44</v>
      </c>
      <c r="G522" s="2">
        <v>45379</v>
      </c>
      <c r="H522" s="2">
        <v>45424</v>
      </c>
      <c r="I522" s="1">
        <v>1296.0899999999999</v>
      </c>
      <c r="J522" s="1">
        <v>1.0450999999999999</v>
      </c>
      <c r="K522" s="1">
        <v>1354.54</v>
      </c>
      <c r="L522" s="1">
        <v>83384</v>
      </c>
      <c r="M522" s="1">
        <v>12713</v>
      </c>
      <c r="N522" s="1">
        <v>17766.18</v>
      </c>
      <c r="O522" s="1">
        <v>2024</v>
      </c>
      <c r="P522" s="1" t="s">
        <v>60</v>
      </c>
      <c r="Q522" s="1" t="s">
        <v>40</v>
      </c>
      <c r="R522" s="4" t="s">
        <v>61</v>
      </c>
      <c r="S522" s="25">
        <f>Table1[[#This Row],[Clicks]]/Table1[[#This Row],[Impressions]]</f>
        <v>0.15246330231219418</v>
      </c>
      <c r="T522" s="22">
        <f>Table1[[#This Row],[Sales]]/Table1[[#This Row],[USD_Spend]]</f>
        <v>13.116024628287095</v>
      </c>
      <c r="U522" s="1" t="str">
        <f>Outlier_Check!C532</f>
        <v>Normal</v>
      </c>
    </row>
    <row r="523" spans="1:21" x14ac:dyDescent="0.35">
      <c r="A523" s="3" t="s">
        <v>79</v>
      </c>
      <c r="B523" s="1" t="s">
        <v>28</v>
      </c>
      <c r="C523" s="1" t="s">
        <v>29</v>
      </c>
      <c r="D523" s="1" t="s">
        <v>63</v>
      </c>
      <c r="E523" s="1" t="s">
        <v>30</v>
      </c>
      <c r="F523" s="1" t="s">
        <v>44</v>
      </c>
      <c r="G523" s="2">
        <v>45381</v>
      </c>
      <c r="H523" s="2">
        <v>45425</v>
      </c>
      <c r="I523" s="1">
        <v>14961.47</v>
      </c>
      <c r="J523" s="1">
        <v>0.90080000000000005</v>
      </c>
      <c r="K523" s="1">
        <v>13477.29</v>
      </c>
      <c r="L523" s="1">
        <v>480735</v>
      </c>
      <c r="M523" s="1">
        <v>15435</v>
      </c>
      <c r="N523" s="1">
        <v>135832.73000000001</v>
      </c>
      <c r="O523" s="1">
        <v>2024</v>
      </c>
      <c r="P523" s="1" t="s">
        <v>60</v>
      </c>
      <c r="Q523" s="1" t="s">
        <v>40</v>
      </c>
      <c r="R523" s="4" t="s">
        <v>54</v>
      </c>
      <c r="S523" s="25">
        <f>Table1[[#This Row],[Clicks]]/Table1[[#This Row],[Impressions]]</f>
        <v>3.2107086024524945E-2</v>
      </c>
      <c r="T523" s="22">
        <f>Table1[[#This Row],[Sales]]/Table1[[#This Row],[USD_Spend]]</f>
        <v>10.078638212875141</v>
      </c>
      <c r="U523" s="1" t="str">
        <f>Outlier_Check!C533</f>
        <v>Normal</v>
      </c>
    </row>
    <row r="524" spans="1:21" x14ac:dyDescent="0.35">
      <c r="A524" s="3" t="s">
        <v>42</v>
      </c>
      <c r="B524" s="1" t="s">
        <v>28</v>
      </c>
      <c r="C524" s="1" t="s">
        <v>20</v>
      </c>
      <c r="D524" s="1" t="s">
        <v>63</v>
      </c>
      <c r="E524" s="1" t="s">
        <v>38</v>
      </c>
      <c r="F524" s="1" t="s">
        <v>52</v>
      </c>
      <c r="G524" s="2">
        <v>45381</v>
      </c>
      <c r="H524" s="2">
        <v>45418</v>
      </c>
      <c r="I524" s="1">
        <v>2221.8000000000002</v>
      </c>
      <c r="J524" s="1">
        <v>0.58440000000000003</v>
      </c>
      <c r="K524" s="1">
        <v>1298.42</v>
      </c>
      <c r="L524" s="1">
        <v>534344</v>
      </c>
      <c r="M524" s="1">
        <v>10197</v>
      </c>
      <c r="N524" s="1">
        <v>51601.86</v>
      </c>
      <c r="O524" s="1">
        <v>2024</v>
      </c>
      <c r="P524" s="1" t="s">
        <v>60</v>
      </c>
      <c r="Q524" s="1" t="s">
        <v>40</v>
      </c>
      <c r="R524" s="4" t="s">
        <v>26</v>
      </c>
      <c r="S524" s="25">
        <f>Table1[[#This Row],[Clicks]]/Table1[[#This Row],[Impressions]]</f>
        <v>1.9083212312667495E-2</v>
      </c>
      <c r="T524" s="22">
        <f>Table1[[#This Row],[Sales]]/Table1[[#This Row],[USD_Spend]]</f>
        <v>39.742040325934596</v>
      </c>
      <c r="U524" s="1" t="str">
        <f>Outlier_Check!C534</f>
        <v>Normal</v>
      </c>
    </row>
    <row r="525" spans="1:21" x14ac:dyDescent="0.35">
      <c r="A525" s="3" t="s">
        <v>108</v>
      </c>
      <c r="B525" s="1" t="s">
        <v>35</v>
      </c>
      <c r="C525" s="1" t="s">
        <v>36</v>
      </c>
      <c r="D525" s="1" t="s">
        <v>21</v>
      </c>
      <c r="E525" s="1" t="s">
        <v>38</v>
      </c>
      <c r="F525" s="1" t="s">
        <v>52</v>
      </c>
      <c r="G525" s="2">
        <v>45381</v>
      </c>
      <c r="H525" s="2">
        <v>45414</v>
      </c>
      <c r="I525" s="1">
        <v>47577.2</v>
      </c>
      <c r="J525" s="1">
        <v>1.028</v>
      </c>
      <c r="K525" s="1">
        <v>48909.36</v>
      </c>
      <c r="L525" s="1">
        <v>114180</v>
      </c>
      <c r="M525" s="1">
        <v>45036</v>
      </c>
      <c r="N525" s="1">
        <v>94997.06</v>
      </c>
      <c r="O525" s="1">
        <v>2024</v>
      </c>
      <c r="P525" s="1" t="s">
        <v>60</v>
      </c>
      <c r="Q525" s="1" t="s">
        <v>40</v>
      </c>
      <c r="R525" s="4" t="s">
        <v>26</v>
      </c>
      <c r="S525" s="25">
        <f>Table1[[#This Row],[Clicks]]/Table1[[#This Row],[Impressions]]</f>
        <v>0.39442984760903838</v>
      </c>
      <c r="T525" s="22">
        <f>Table1[[#This Row],[Sales]]/Table1[[#This Row],[USD_Spend]]</f>
        <v>1.9423083843256177</v>
      </c>
      <c r="U525" s="1" t="str">
        <f>Outlier_Check!C535</f>
        <v>Normal</v>
      </c>
    </row>
    <row r="526" spans="1:21" x14ac:dyDescent="0.35">
      <c r="A526" s="3" t="s">
        <v>105</v>
      </c>
      <c r="B526" s="1" t="s">
        <v>28</v>
      </c>
      <c r="C526" s="1" t="s">
        <v>29</v>
      </c>
      <c r="D526" s="1" t="s">
        <v>43</v>
      </c>
      <c r="E526" s="1" t="s">
        <v>38</v>
      </c>
      <c r="F526" s="1" t="s">
        <v>31</v>
      </c>
      <c r="G526" s="2">
        <v>45383</v>
      </c>
      <c r="H526" s="2">
        <v>45415</v>
      </c>
      <c r="I526" s="1">
        <v>30220.16</v>
      </c>
      <c r="J526" s="1">
        <v>0.33329999999999999</v>
      </c>
      <c r="K526" s="1">
        <v>10072.379999999999</v>
      </c>
      <c r="L526" s="1">
        <v>344232</v>
      </c>
      <c r="M526" s="1">
        <v>40923</v>
      </c>
      <c r="N526" s="1">
        <v>31351.98</v>
      </c>
      <c r="O526" s="1">
        <v>2024</v>
      </c>
      <c r="P526" s="1" t="s">
        <v>76</v>
      </c>
      <c r="Q526" s="1" t="s">
        <v>46</v>
      </c>
      <c r="R526" s="4" t="s">
        <v>26</v>
      </c>
      <c r="S526" s="25">
        <f>Table1[[#This Row],[Clicks]]/Table1[[#This Row],[Impressions]]</f>
        <v>0.1188820330474796</v>
      </c>
      <c r="T526" s="22">
        <f>Table1[[#This Row],[Sales]]/Table1[[#This Row],[USD_Spend]]</f>
        <v>3.1126685053582173</v>
      </c>
      <c r="U526" s="1" t="str">
        <f>Outlier_Check!C536</f>
        <v>Normal</v>
      </c>
    </row>
    <row r="527" spans="1:21" x14ac:dyDescent="0.35">
      <c r="A527" s="3" t="s">
        <v>18</v>
      </c>
      <c r="B527" s="1" t="s">
        <v>35</v>
      </c>
      <c r="C527" s="1" t="s">
        <v>58</v>
      </c>
      <c r="D527" s="1" t="s">
        <v>37</v>
      </c>
      <c r="E527" s="1" t="s">
        <v>38</v>
      </c>
      <c r="F527" s="1" t="s">
        <v>31</v>
      </c>
      <c r="G527" s="2">
        <v>45383</v>
      </c>
      <c r="H527" s="2">
        <v>45403</v>
      </c>
      <c r="I527" s="1">
        <v>45320.33</v>
      </c>
      <c r="J527" s="1">
        <v>0.74029999999999996</v>
      </c>
      <c r="K527" s="1">
        <v>33550.639999999999</v>
      </c>
      <c r="L527" s="1">
        <v>661303</v>
      </c>
      <c r="M527" s="1">
        <v>16079</v>
      </c>
      <c r="N527" s="1">
        <v>239929.72</v>
      </c>
      <c r="O527" s="1">
        <v>2024</v>
      </c>
      <c r="P527" s="1" t="s">
        <v>76</v>
      </c>
      <c r="Q527" s="1" t="s">
        <v>46</v>
      </c>
      <c r="R527" s="4" t="s">
        <v>41</v>
      </c>
      <c r="S527" s="25">
        <f>Table1[[#This Row],[Clicks]]/Table1[[#This Row],[Impressions]]</f>
        <v>2.4314119246396888E-2</v>
      </c>
      <c r="T527" s="22">
        <f>Table1[[#This Row],[Sales]]/Table1[[#This Row],[USD_Spend]]</f>
        <v>7.1512710338759558</v>
      </c>
      <c r="U527" s="1" t="str">
        <f>Outlier_Check!C537</f>
        <v>Normal</v>
      </c>
    </row>
    <row r="528" spans="1:21" x14ac:dyDescent="0.35">
      <c r="A528" s="3" t="s">
        <v>96</v>
      </c>
      <c r="B528" s="1" t="s">
        <v>28</v>
      </c>
      <c r="C528" s="1" t="s">
        <v>36</v>
      </c>
      <c r="D528" s="1" t="s">
        <v>37</v>
      </c>
      <c r="E528" s="1" t="s">
        <v>38</v>
      </c>
      <c r="F528" s="1" t="s">
        <v>49</v>
      </c>
      <c r="G528" s="2">
        <v>45383</v>
      </c>
      <c r="H528" s="2">
        <v>45397</v>
      </c>
      <c r="I528" s="1">
        <v>2697.82</v>
      </c>
      <c r="J528" s="1">
        <v>0.74680000000000002</v>
      </c>
      <c r="K528" s="1">
        <v>2014.73</v>
      </c>
      <c r="L528" s="1">
        <v>267724</v>
      </c>
      <c r="M528" s="1">
        <v>42520</v>
      </c>
      <c r="N528" s="1">
        <v>77300.759999999995</v>
      </c>
      <c r="O528" s="1">
        <v>2024</v>
      </c>
      <c r="P528" s="1" t="s">
        <v>76</v>
      </c>
      <c r="Q528" s="1" t="s">
        <v>46</v>
      </c>
      <c r="R528" s="4" t="s">
        <v>61</v>
      </c>
      <c r="S528" s="25">
        <f>Table1[[#This Row],[Clicks]]/Table1[[#This Row],[Impressions]]</f>
        <v>0.15882027759931869</v>
      </c>
      <c r="T528" s="22">
        <f>Table1[[#This Row],[Sales]]/Table1[[#This Row],[USD_Spend]]</f>
        <v>38.367801144570237</v>
      </c>
      <c r="U528" s="1" t="str">
        <f>Outlier_Check!C538</f>
        <v>Normal</v>
      </c>
    </row>
    <row r="529" spans="1:21" x14ac:dyDescent="0.35">
      <c r="A529" s="3" t="s">
        <v>119</v>
      </c>
      <c r="B529" s="1" t="s">
        <v>48</v>
      </c>
      <c r="C529" s="1" t="s">
        <v>20</v>
      </c>
      <c r="D529" s="1" t="s">
        <v>59</v>
      </c>
      <c r="E529" s="1" t="s">
        <v>30</v>
      </c>
      <c r="F529" s="1" t="s">
        <v>31</v>
      </c>
      <c r="G529" s="2">
        <v>45386</v>
      </c>
      <c r="H529" s="2">
        <v>45435</v>
      </c>
      <c r="I529" s="1">
        <v>22375.27</v>
      </c>
      <c r="J529" s="1">
        <v>0.20200000000000001</v>
      </c>
      <c r="K529" s="1">
        <v>4519.8</v>
      </c>
      <c r="L529" s="1">
        <v>771485</v>
      </c>
      <c r="M529" s="1">
        <v>12696</v>
      </c>
      <c r="N529" s="1">
        <v>119963.91</v>
      </c>
      <c r="O529" s="1">
        <v>2024</v>
      </c>
      <c r="P529" s="1" t="s">
        <v>76</v>
      </c>
      <c r="Q529" s="1" t="s">
        <v>46</v>
      </c>
      <c r="R529" s="4" t="s">
        <v>54</v>
      </c>
      <c r="S529" s="25">
        <f>Table1[[#This Row],[Clicks]]/Table1[[#This Row],[Impressions]]</f>
        <v>1.6456574009864094E-2</v>
      </c>
      <c r="T529" s="22">
        <f>Table1[[#This Row],[Sales]]/Table1[[#This Row],[USD_Spend]]</f>
        <v>26.541862471790786</v>
      </c>
      <c r="U529" s="1" t="str">
        <f>Outlier_Check!C539</f>
        <v>Normal</v>
      </c>
    </row>
    <row r="530" spans="1:21" x14ac:dyDescent="0.35">
      <c r="A530" s="3" t="s">
        <v>104</v>
      </c>
      <c r="B530" s="1" t="s">
        <v>35</v>
      </c>
      <c r="C530" s="1" t="s">
        <v>20</v>
      </c>
      <c r="D530" s="1" t="s">
        <v>21</v>
      </c>
      <c r="E530" s="1" t="s">
        <v>30</v>
      </c>
      <c r="F530" s="1" t="s">
        <v>52</v>
      </c>
      <c r="G530" s="2">
        <v>45387</v>
      </c>
      <c r="H530" s="2">
        <v>45422</v>
      </c>
      <c r="I530" s="1">
        <v>2114.66</v>
      </c>
      <c r="J530" s="1">
        <v>0.25869999999999999</v>
      </c>
      <c r="K530" s="1">
        <v>547.05999999999995</v>
      </c>
      <c r="L530" s="1">
        <v>574139</v>
      </c>
      <c r="M530" s="1">
        <v>13985</v>
      </c>
      <c r="N530" s="1">
        <v>54931.33</v>
      </c>
      <c r="O530" s="1">
        <v>2024</v>
      </c>
      <c r="P530" s="1" t="s">
        <v>76</v>
      </c>
      <c r="Q530" s="1" t="s">
        <v>46</v>
      </c>
      <c r="R530" s="4" t="s">
        <v>26</v>
      </c>
      <c r="S530" s="25">
        <f>Table1[[#This Row],[Clicks]]/Table1[[#This Row],[Impressions]]</f>
        <v>2.4358212906630625E-2</v>
      </c>
      <c r="T530" s="22">
        <f>Table1[[#This Row],[Sales]]/Table1[[#This Row],[USD_Spend]]</f>
        <v>100.41189266259644</v>
      </c>
      <c r="U530" s="1" t="str">
        <f>Outlier_Check!C540</f>
        <v>Normal</v>
      </c>
    </row>
    <row r="531" spans="1:21" x14ac:dyDescent="0.35">
      <c r="A531" s="3" t="s">
        <v>50</v>
      </c>
      <c r="B531" s="1" t="s">
        <v>35</v>
      </c>
      <c r="C531" s="1" t="s">
        <v>58</v>
      </c>
      <c r="D531" s="1" t="s">
        <v>37</v>
      </c>
      <c r="E531" s="1" t="s">
        <v>22</v>
      </c>
      <c r="F531" s="1" t="s">
        <v>52</v>
      </c>
      <c r="G531" s="2">
        <v>45387</v>
      </c>
      <c r="H531" s="2">
        <v>45402</v>
      </c>
      <c r="I531" s="1">
        <v>44583.03</v>
      </c>
      <c r="J531" s="1">
        <v>1.1500999999999999</v>
      </c>
      <c r="K531" s="1">
        <v>51274.94</v>
      </c>
      <c r="L531" s="1">
        <v>275356</v>
      </c>
      <c r="M531" s="1">
        <v>38561</v>
      </c>
      <c r="N531" s="1">
        <v>105403.03</v>
      </c>
      <c r="O531" s="1">
        <v>2024</v>
      </c>
      <c r="P531" s="1" t="s">
        <v>76</v>
      </c>
      <c r="Q531" s="1" t="s">
        <v>46</v>
      </c>
      <c r="R531" s="4" t="s">
        <v>41</v>
      </c>
      <c r="S531" s="25">
        <f>Table1[[#This Row],[Clicks]]/Table1[[#This Row],[Impressions]]</f>
        <v>0.14004052935109459</v>
      </c>
      <c r="T531" s="22">
        <f>Table1[[#This Row],[Sales]]/Table1[[#This Row],[USD_Spend]]</f>
        <v>2.0556441411730564</v>
      </c>
      <c r="U531" s="1" t="str">
        <f>Outlier_Check!C541</f>
        <v>Normal</v>
      </c>
    </row>
    <row r="532" spans="1:21" x14ac:dyDescent="0.35">
      <c r="A532" s="3" t="s">
        <v>71</v>
      </c>
      <c r="B532" s="1" t="s">
        <v>48</v>
      </c>
      <c r="C532" s="1" t="s">
        <v>36</v>
      </c>
      <c r="D532" s="1" t="s">
        <v>21</v>
      </c>
      <c r="E532" s="1" t="s">
        <v>22</v>
      </c>
      <c r="F532" s="1" t="s">
        <v>31</v>
      </c>
      <c r="G532" s="2">
        <v>45391</v>
      </c>
      <c r="H532" s="2">
        <v>45440</v>
      </c>
      <c r="I532" s="1">
        <v>2340.19</v>
      </c>
      <c r="J532" s="1">
        <v>7.1999999999999995E-2</v>
      </c>
      <c r="K532" s="1">
        <v>168.49</v>
      </c>
      <c r="L532" s="1">
        <v>682758</v>
      </c>
      <c r="M532" s="1">
        <v>12141</v>
      </c>
      <c r="N532" s="1">
        <v>159388.29999999999</v>
      </c>
      <c r="O532" s="1">
        <v>2024</v>
      </c>
      <c r="P532" s="1" t="s">
        <v>76</v>
      </c>
      <c r="Q532" s="1" t="s">
        <v>46</v>
      </c>
      <c r="R532" s="4" t="s">
        <v>41</v>
      </c>
      <c r="S532" s="25">
        <f>Table1[[#This Row],[Clicks]]/Table1[[#This Row],[Impressions]]</f>
        <v>1.7782288892989901E-2</v>
      </c>
      <c r="T532" s="22">
        <f>Table1[[#This Row],[Sales]]/Table1[[#This Row],[USD_Spend]]</f>
        <v>945.98077037212875</v>
      </c>
      <c r="U532" s="1" t="str">
        <f>Outlier_Check!C542</f>
        <v>Normal</v>
      </c>
    </row>
    <row r="533" spans="1:21" x14ac:dyDescent="0.35">
      <c r="A533" s="3" t="s">
        <v>85</v>
      </c>
      <c r="B533" s="1" t="s">
        <v>48</v>
      </c>
      <c r="C533" s="1" t="s">
        <v>36</v>
      </c>
      <c r="D533" s="1" t="s">
        <v>59</v>
      </c>
      <c r="E533" s="1" t="s">
        <v>22</v>
      </c>
      <c r="F533" s="1" t="s">
        <v>23</v>
      </c>
      <c r="G533" s="2">
        <v>45391</v>
      </c>
      <c r="H533" s="2">
        <v>45422</v>
      </c>
      <c r="I533" s="1">
        <v>22651.89</v>
      </c>
      <c r="J533" s="1">
        <v>0.72540000000000004</v>
      </c>
      <c r="K533" s="1">
        <v>16431.68</v>
      </c>
      <c r="L533" s="1">
        <v>16892</v>
      </c>
      <c r="M533" s="1">
        <v>16137</v>
      </c>
      <c r="N533" s="1">
        <v>221131.13</v>
      </c>
      <c r="O533" s="1">
        <v>2024</v>
      </c>
      <c r="P533" s="1" t="s">
        <v>76</v>
      </c>
      <c r="Q533" s="1" t="s">
        <v>46</v>
      </c>
      <c r="R533" s="4" t="s">
        <v>41</v>
      </c>
      <c r="S533" s="25">
        <f>Table1[[#This Row],[Clicks]]/Table1[[#This Row],[Impressions]]</f>
        <v>0.95530428605256923</v>
      </c>
      <c r="T533" s="22">
        <f>Table1[[#This Row],[Sales]]/Table1[[#This Row],[USD_Spend]]</f>
        <v>13.457609325400689</v>
      </c>
      <c r="U533" s="1" t="str">
        <f>Outlier_Check!C543</f>
        <v>Normal</v>
      </c>
    </row>
    <row r="534" spans="1:21" x14ac:dyDescent="0.35">
      <c r="A534" s="3" t="s">
        <v>72</v>
      </c>
      <c r="B534" s="1" t="s">
        <v>19</v>
      </c>
      <c r="C534" s="1" t="s">
        <v>58</v>
      </c>
      <c r="D534" s="1" t="s">
        <v>43</v>
      </c>
      <c r="E534" s="1" t="s">
        <v>38</v>
      </c>
      <c r="F534" s="1" t="s">
        <v>44</v>
      </c>
      <c r="G534" s="2">
        <v>45391</v>
      </c>
      <c r="H534" s="2">
        <v>45420</v>
      </c>
      <c r="I534" s="1">
        <v>23746.25</v>
      </c>
      <c r="J534" s="1">
        <v>0.51939999999999997</v>
      </c>
      <c r="K534" s="1">
        <v>12333.8</v>
      </c>
      <c r="L534" s="1">
        <v>660338</v>
      </c>
      <c r="M534" s="1">
        <v>40681</v>
      </c>
      <c r="N534" s="1">
        <v>29813.09</v>
      </c>
      <c r="O534" s="1">
        <v>2024</v>
      </c>
      <c r="P534" s="1" t="s">
        <v>76</v>
      </c>
      <c r="Q534" s="1" t="s">
        <v>46</v>
      </c>
      <c r="R534" s="4" t="s">
        <v>61</v>
      </c>
      <c r="S534" s="25">
        <f>Table1[[#This Row],[Clicks]]/Table1[[#This Row],[Impressions]]</f>
        <v>6.1606328880058396E-2</v>
      </c>
      <c r="T534" s="22">
        <f>Table1[[#This Row],[Sales]]/Table1[[#This Row],[USD_Spend]]</f>
        <v>2.4171861064716471</v>
      </c>
      <c r="U534" s="1" t="str">
        <f>Outlier_Check!C544</f>
        <v>Normal</v>
      </c>
    </row>
    <row r="535" spans="1:21" x14ac:dyDescent="0.35">
      <c r="A535" s="3" t="s">
        <v>102</v>
      </c>
      <c r="B535" s="1" t="s">
        <v>48</v>
      </c>
      <c r="C535" s="1" t="s">
        <v>69</v>
      </c>
      <c r="D535" s="1" t="s">
        <v>51</v>
      </c>
      <c r="E535" s="1" t="s">
        <v>38</v>
      </c>
      <c r="F535" s="1" t="s">
        <v>31</v>
      </c>
      <c r="G535" s="2">
        <v>45391</v>
      </c>
      <c r="H535" s="2">
        <v>45400</v>
      </c>
      <c r="I535" s="1">
        <v>34742.07</v>
      </c>
      <c r="J535" s="1">
        <v>0.1981</v>
      </c>
      <c r="K535" s="1">
        <v>6882.4</v>
      </c>
      <c r="L535" s="1">
        <v>445810</v>
      </c>
      <c r="M535" s="1">
        <v>31835</v>
      </c>
      <c r="N535" s="1">
        <v>118788.33</v>
      </c>
      <c r="O535" s="1">
        <v>2024</v>
      </c>
      <c r="P535" s="1" t="s">
        <v>76</v>
      </c>
      <c r="Q535" s="1" t="s">
        <v>46</v>
      </c>
      <c r="R535" s="4" t="s">
        <v>54</v>
      </c>
      <c r="S535" s="25">
        <f>Table1[[#This Row],[Clicks]]/Table1[[#This Row],[Impressions]]</f>
        <v>7.1409344788138443E-2</v>
      </c>
      <c r="T535" s="22">
        <f>Table1[[#This Row],[Sales]]/Table1[[#This Row],[USD_Spend]]</f>
        <v>17.259724805300479</v>
      </c>
      <c r="U535" s="1" t="str">
        <f>Outlier_Check!C545</f>
        <v>Normal</v>
      </c>
    </row>
    <row r="536" spans="1:21" x14ac:dyDescent="0.35">
      <c r="A536" s="3" t="s">
        <v>68</v>
      </c>
      <c r="B536" s="1" t="s">
        <v>19</v>
      </c>
      <c r="C536" s="1" t="s">
        <v>20</v>
      </c>
      <c r="D536" s="1" t="s">
        <v>21</v>
      </c>
      <c r="E536" s="1" t="s">
        <v>30</v>
      </c>
      <c r="F536" s="1" t="s">
        <v>52</v>
      </c>
      <c r="G536" s="2">
        <v>45392</v>
      </c>
      <c r="H536" s="2">
        <v>45429</v>
      </c>
      <c r="I536" s="1">
        <v>21782.11</v>
      </c>
      <c r="J536" s="1">
        <v>0.9859</v>
      </c>
      <c r="K536" s="1">
        <v>21474.98</v>
      </c>
      <c r="L536" s="1">
        <v>413402</v>
      </c>
      <c r="M536" s="1">
        <v>23385</v>
      </c>
      <c r="N536" s="1">
        <v>60306.53</v>
      </c>
      <c r="O536" s="1">
        <v>2024</v>
      </c>
      <c r="P536" s="1" t="s">
        <v>76</v>
      </c>
      <c r="Q536" s="1" t="s">
        <v>46</v>
      </c>
      <c r="R536" s="4" t="s">
        <v>41</v>
      </c>
      <c r="S536" s="25">
        <f>Table1[[#This Row],[Clicks]]/Table1[[#This Row],[Impressions]]</f>
        <v>5.6567215446466153E-2</v>
      </c>
      <c r="T536" s="22">
        <f>Table1[[#This Row],[Sales]]/Table1[[#This Row],[USD_Spend]]</f>
        <v>2.8082228714531983</v>
      </c>
      <c r="U536" s="1" t="str">
        <f>Outlier_Check!C546</f>
        <v>Normal</v>
      </c>
    </row>
    <row r="537" spans="1:21" x14ac:dyDescent="0.35">
      <c r="A537" s="3" t="s">
        <v>111</v>
      </c>
      <c r="B537" s="1" t="s">
        <v>28</v>
      </c>
      <c r="C537" s="1" t="s">
        <v>36</v>
      </c>
      <c r="D537" s="1" t="s">
        <v>51</v>
      </c>
      <c r="E537" s="1" t="s">
        <v>22</v>
      </c>
      <c r="F537" s="1" t="s">
        <v>49</v>
      </c>
      <c r="G537" s="2">
        <v>45392</v>
      </c>
      <c r="H537" s="2">
        <v>45426</v>
      </c>
      <c r="I537" s="1">
        <v>38819.919999999998</v>
      </c>
      <c r="J537" s="1">
        <v>1.0503</v>
      </c>
      <c r="K537" s="1">
        <v>40772.559999999998</v>
      </c>
      <c r="L537" s="1">
        <v>435051</v>
      </c>
      <c r="M537" s="1">
        <v>12220</v>
      </c>
      <c r="N537" s="1">
        <v>198515.38</v>
      </c>
      <c r="O537" s="1">
        <v>2024</v>
      </c>
      <c r="P537" s="1" t="s">
        <v>76</v>
      </c>
      <c r="Q537" s="1" t="s">
        <v>46</v>
      </c>
      <c r="R537" s="4" t="s">
        <v>41</v>
      </c>
      <c r="S537" s="25">
        <f>Table1[[#This Row],[Clicks]]/Table1[[#This Row],[Impressions]]</f>
        <v>2.8088660869645166E-2</v>
      </c>
      <c r="T537" s="22">
        <f>Table1[[#This Row],[Sales]]/Table1[[#This Row],[USD_Spend]]</f>
        <v>4.8688475778808105</v>
      </c>
      <c r="U537" s="1" t="str">
        <f>Outlier_Check!C547</f>
        <v>Normal</v>
      </c>
    </row>
    <row r="538" spans="1:21" x14ac:dyDescent="0.35">
      <c r="A538" s="3" t="s">
        <v>75</v>
      </c>
      <c r="B538" s="1" t="s">
        <v>48</v>
      </c>
      <c r="C538" s="1" t="s">
        <v>29</v>
      </c>
      <c r="D538" s="1" t="s">
        <v>51</v>
      </c>
      <c r="E538" s="1" t="s">
        <v>30</v>
      </c>
      <c r="F538" s="1" t="s">
        <v>23</v>
      </c>
      <c r="G538" s="2">
        <v>45393</v>
      </c>
      <c r="H538" s="2">
        <v>45424</v>
      </c>
      <c r="I538" s="1">
        <v>44420.71</v>
      </c>
      <c r="J538" s="1">
        <v>0.69499999999999995</v>
      </c>
      <c r="K538" s="1">
        <v>30872.39</v>
      </c>
      <c r="L538" s="1">
        <v>763240</v>
      </c>
      <c r="M538" s="1">
        <v>45736</v>
      </c>
      <c r="N538" s="1">
        <v>99074.72</v>
      </c>
      <c r="O538" s="1">
        <v>2024</v>
      </c>
      <c r="P538" s="1" t="s">
        <v>76</v>
      </c>
      <c r="Q538" s="1" t="s">
        <v>46</v>
      </c>
      <c r="R538" s="4" t="s">
        <v>26</v>
      </c>
      <c r="S538" s="25">
        <f>Table1[[#This Row],[Clicks]]/Table1[[#This Row],[Impressions]]</f>
        <v>5.9923484094125047E-2</v>
      </c>
      <c r="T538" s="22">
        <f>Table1[[#This Row],[Sales]]/Table1[[#This Row],[USD_Spend]]</f>
        <v>3.2091690989910404</v>
      </c>
      <c r="U538" s="1" t="str">
        <f>Outlier_Check!C548</f>
        <v>Normal</v>
      </c>
    </row>
    <row r="539" spans="1:21" x14ac:dyDescent="0.35">
      <c r="A539" s="3" t="s">
        <v>105</v>
      </c>
      <c r="B539" s="1" t="s">
        <v>35</v>
      </c>
      <c r="C539" s="1" t="s">
        <v>20</v>
      </c>
      <c r="D539" s="1" t="s">
        <v>63</v>
      </c>
      <c r="E539" s="1" t="s">
        <v>30</v>
      </c>
      <c r="F539" s="1" t="s">
        <v>31</v>
      </c>
      <c r="G539" s="2">
        <v>45394</v>
      </c>
      <c r="H539" s="2">
        <v>45453</v>
      </c>
      <c r="I539" s="1">
        <v>15803.96</v>
      </c>
      <c r="J539" s="1">
        <v>1.1993</v>
      </c>
      <c r="K539" s="1">
        <v>18953.689999999999</v>
      </c>
      <c r="L539" s="1">
        <v>904787</v>
      </c>
      <c r="M539" s="1">
        <v>31767</v>
      </c>
      <c r="N539" s="1">
        <v>31130.05</v>
      </c>
      <c r="O539" s="1">
        <v>2024</v>
      </c>
      <c r="P539" s="1" t="s">
        <v>76</v>
      </c>
      <c r="Q539" s="1" t="s">
        <v>46</v>
      </c>
      <c r="R539" s="4" t="s">
        <v>26</v>
      </c>
      <c r="S539" s="25">
        <f>Table1[[#This Row],[Clicks]]/Table1[[#This Row],[Impressions]]</f>
        <v>3.5109920898509818E-2</v>
      </c>
      <c r="T539" s="22">
        <f>Table1[[#This Row],[Sales]]/Table1[[#This Row],[USD_Spend]]</f>
        <v>1.6424268836305755</v>
      </c>
      <c r="U539" s="1" t="str">
        <f>Outlier_Check!C549</f>
        <v>Normal</v>
      </c>
    </row>
    <row r="540" spans="1:21" x14ac:dyDescent="0.35">
      <c r="A540" s="3" t="s">
        <v>77</v>
      </c>
      <c r="B540" s="1" t="s">
        <v>28</v>
      </c>
      <c r="C540" s="1" t="s">
        <v>36</v>
      </c>
      <c r="D540" s="1" t="s">
        <v>51</v>
      </c>
      <c r="E540" s="1" t="s">
        <v>22</v>
      </c>
      <c r="F540" s="1" t="s">
        <v>52</v>
      </c>
      <c r="G540" s="2">
        <v>45394</v>
      </c>
      <c r="H540" s="2">
        <v>45402</v>
      </c>
      <c r="I540" s="1">
        <v>45983.519999999997</v>
      </c>
      <c r="J540" s="1">
        <v>0.84850000000000003</v>
      </c>
      <c r="K540" s="1">
        <v>39017.019999999997</v>
      </c>
      <c r="L540" s="1">
        <v>297286</v>
      </c>
      <c r="M540" s="1">
        <v>24240</v>
      </c>
      <c r="N540" s="1">
        <v>206759.04000000001</v>
      </c>
      <c r="O540" s="1">
        <v>2024</v>
      </c>
      <c r="P540" s="1" t="s">
        <v>76</v>
      </c>
      <c r="Q540" s="1" t="s">
        <v>46</v>
      </c>
      <c r="R540" s="4" t="s">
        <v>41</v>
      </c>
      <c r="S540" s="25">
        <f>Table1[[#This Row],[Clicks]]/Table1[[#This Row],[Impressions]]</f>
        <v>8.1537643885013084E-2</v>
      </c>
      <c r="T540" s="22">
        <f>Table1[[#This Row],[Sales]]/Table1[[#This Row],[USD_Spend]]</f>
        <v>5.2992012203904864</v>
      </c>
      <c r="U540" s="1" t="str">
        <f>Outlier_Check!C550</f>
        <v>Normal</v>
      </c>
    </row>
    <row r="541" spans="1:21" x14ac:dyDescent="0.35">
      <c r="A541" s="3" t="s">
        <v>95</v>
      </c>
      <c r="B541" s="1" t="s">
        <v>19</v>
      </c>
      <c r="C541" s="1" t="s">
        <v>20</v>
      </c>
      <c r="D541" s="1" t="s">
        <v>37</v>
      </c>
      <c r="E541" s="1" t="s">
        <v>22</v>
      </c>
      <c r="F541" s="1" t="s">
        <v>31</v>
      </c>
      <c r="G541" s="2">
        <v>45396</v>
      </c>
      <c r="H541" s="2">
        <v>45455</v>
      </c>
      <c r="I541" s="1">
        <v>26291.61</v>
      </c>
      <c r="J541" s="1">
        <v>0.82179999999999997</v>
      </c>
      <c r="K541" s="1">
        <v>21606.45</v>
      </c>
      <c r="L541" s="1">
        <v>999583</v>
      </c>
      <c r="M541" s="1">
        <v>2050</v>
      </c>
      <c r="N541" s="1">
        <v>113431.78</v>
      </c>
      <c r="O541" s="1">
        <v>2024</v>
      </c>
      <c r="P541" s="1" t="s">
        <v>76</v>
      </c>
      <c r="Q541" s="1" t="s">
        <v>46</v>
      </c>
      <c r="R541" s="4" t="s">
        <v>41</v>
      </c>
      <c r="S541" s="25">
        <f>Table1[[#This Row],[Clicks]]/Table1[[#This Row],[Impressions]]</f>
        <v>2.050855206621161E-3</v>
      </c>
      <c r="T541" s="22">
        <f>Table1[[#This Row],[Sales]]/Table1[[#This Row],[USD_Spend]]</f>
        <v>5.2499036167440742</v>
      </c>
      <c r="U541" s="1" t="str">
        <f>Outlier_Check!C551</f>
        <v>Normal</v>
      </c>
    </row>
    <row r="542" spans="1:21" x14ac:dyDescent="0.35">
      <c r="A542" s="3" t="s">
        <v>100</v>
      </c>
      <c r="B542" s="1" t="s">
        <v>48</v>
      </c>
      <c r="C542" s="1" t="s">
        <v>20</v>
      </c>
      <c r="D542" s="1" t="s">
        <v>59</v>
      </c>
      <c r="E542" s="1" t="s">
        <v>38</v>
      </c>
      <c r="F542" s="1" t="s">
        <v>23</v>
      </c>
      <c r="G542" s="2">
        <v>45399</v>
      </c>
      <c r="H542" s="2">
        <v>45453</v>
      </c>
      <c r="I542" s="1">
        <v>14806.81</v>
      </c>
      <c r="J542" s="1">
        <v>0.46439999999999998</v>
      </c>
      <c r="K542" s="1">
        <v>6876.28</v>
      </c>
      <c r="L542" s="1">
        <v>563081</v>
      </c>
      <c r="M542" s="1">
        <v>27537</v>
      </c>
      <c r="N542" s="1">
        <v>241735.7</v>
      </c>
      <c r="O542" s="1">
        <v>2024</v>
      </c>
      <c r="P542" s="1" t="s">
        <v>76</v>
      </c>
      <c r="Q542" s="1" t="s">
        <v>46</v>
      </c>
      <c r="R542" s="4" t="s">
        <v>54</v>
      </c>
      <c r="S542" s="25">
        <f>Table1[[#This Row],[Clicks]]/Table1[[#This Row],[Impressions]]</f>
        <v>4.8904154109266698E-2</v>
      </c>
      <c r="T542" s="22">
        <f>Table1[[#This Row],[Sales]]/Table1[[#This Row],[USD_Spend]]</f>
        <v>35.155011139744168</v>
      </c>
      <c r="U542" s="1" t="str">
        <f>Outlier_Check!C552</f>
        <v>Normal</v>
      </c>
    </row>
    <row r="543" spans="1:21" x14ac:dyDescent="0.35">
      <c r="A543" s="3" t="s">
        <v>85</v>
      </c>
      <c r="B543" s="1" t="s">
        <v>19</v>
      </c>
      <c r="C543" s="1" t="s">
        <v>69</v>
      </c>
      <c r="D543" s="1" t="s">
        <v>43</v>
      </c>
      <c r="E543" s="1" t="s">
        <v>22</v>
      </c>
      <c r="F543" s="1" t="s">
        <v>31</v>
      </c>
      <c r="G543" s="2">
        <v>45400</v>
      </c>
      <c r="H543" s="2">
        <v>45456</v>
      </c>
      <c r="I543" s="1">
        <v>38386.78</v>
      </c>
      <c r="J543" s="1">
        <v>0.62639999999999996</v>
      </c>
      <c r="K543" s="1">
        <v>24045.48</v>
      </c>
      <c r="L543" s="1">
        <v>889962</v>
      </c>
      <c r="M543" s="1">
        <v>3661</v>
      </c>
      <c r="N543" s="1">
        <v>25741.48</v>
      </c>
      <c r="O543" s="1">
        <v>2024</v>
      </c>
      <c r="P543" s="1" t="s">
        <v>76</v>
      </c>
      <c r="Q543" s="1" t="s">
        <v>46</v>
      </c>
      <c r="R543" s="4" t="s">
        <v>54</v>
      </c>
      <c r="S543" s="25">
        <f>Table1[[#This Row],[Clicks]]/Table1[[#This Row],[Impressions]]</f>
        <v>4.1136587854312878E-3</v>
      </c>
      <c r="T543" s="22">
        <f>Table1[[#This Row],[Sales]]/Table1[[#This Row],[USD_Spend]]</f>
        <v>1.0705330066191234</v>
      </c>
      <c r="U543" s="1" t="str">
        <f>Outlier_Check!C553</f>
        <v>Normal</v>
      </c>
    </row>
    <row r="544" spans="1:21" x14ac:dyDescent="0.35">
      <c r="A544" s="3" t="s">
        <v>50</v>
      </c>
      <c r="B544" s="1" t="s">
        <v>19</v>
      </c>
      <c r="C544" s="1" t="s">
        <v>69</v>
      </c>
      <c r="D544" s="1" t="s">
        <v>59</v>
      </c>
      <c r="E544" s="1" t="s">
        <v>30</v>
      </c>
      <c r="F544" s="1" t="s">
        <v>52</v>
      </c>
      <c r="G544" s="2">
        <v>45400</v>
      </c>
      <c r="H544" s="2">
        <v>45433</v>
      </c>
      <c r="I544" s="1">
        <v>18578.34</v>
      </c>
      <c r="J544" s="1">
        <v>0.3735</v>
      </c>
      <c r="K544" s="1">
        <v>6939.01</v>
      </c>
      <c r="L544" s="1">
        <v>588469</v>
      </c>
      <c r="M544" s="1">
        <v>7232</v>
      </c>
      <c r="N544" s="1">
        <v>48063.69</v>
      </c>
      <c r="O544" s="1">
        <v>2024</v>
      </c>
      <c r="P544" s="1" t="s">
        <v>76</v>
      </c>
      <c r="Q544" s="1" t="s">
        <v>46</v>
      </c>
      <c r="R544" s="4" t="s">
        <v>41</v>
      </c>
      <c r="S544" s="25">
        <f>Table1[[#This Row],[Clicks]]/Table1[[#This Row],[Impressions]]</f>
        <v>1.2289517374747013E-2</v>
      </c>
      <c r="T544" s="22">
        <f>Table1[[#This Row],[Sales]]/Table1[[#This Row],[USD_Spend]]</f>
        <v>6.9265918337053849</v>
      </c>
      <c r="U544" s="1" t="str">
        <f>Outlier_Check!C554</f>
        <v>Normal</v>
      </c>
    </row>
    <row r="545" spans="1:21" x14ac:dyDescent="0.35">
      <c r="A545" s="3" t="s">
        <v>62</v>
      </c>
      <c r="B545" s="1" t="s">
        <v>48</v>
      </c>
      <c r="C545" s="1" t="s">
        <v>29</v>
      </c>
      <c r="D545" s="1" t="s">
        <v>21</v>
      </c>
      <c r="E545" s="1" t="s">
        <v>38</v>
      </c>
      <c r="F545" s="1" t="s">
        <v>23</v>
      </c>
      <c r="G545" s="2">
        <v>45400</v>
      </c>
      <c r="H545" s="2">
        <v>45411</v>
      </c>
      <c r="I545" s="1">
        <v>40390.94</v>
      </c>
      <c r="J545" s="1">
        <v>0.1764</v>
      </c>
      <c r="K545" s="1">
        <v>7124.96</v>
      </c>
      <c r="L545" s="1">
        <v>22537</v>
      </c>
      <c r="M545" s="1">
        <v>4141</v>
      </c>
      <c r="N545" s="1">
        <v>208441.22</v>
      </c>
      <c r="O545" s="1">
        <v>2024</v>
      </c>
      <c r="P545" s="1" t="s">
        <v>76</v>
      </c>
      <c r="Q545" s="1" t="s">
        <v>46</v>
      </c>
      <c r="R545" s="4" t="s">
        <v>41</v>
      </c>
      <c r="S545" s="25">
        <f>Table1[[#This Row],[Clicks]]/Table1[[#This Row],[Impressions]]</f>
        <v>0.18374229045569507</v>
      </c>
      <c r="T545" s="22">
        <f>Table1[[#This Row],[Sales]]/Table1[[#This Row],[USD_Spend]]</f>
        <v>29.255072309177876</v>
      </c>
      <c r="U545" s="1" t="str">
        <f>Outlier_Check!C555</f>
        <v>Normal</v>
      </c>
    </row>
    <row r="546" spans="1:21" x14ac:dyDescent="0.35">
      <c r="A546" s="3" t="s">
        <v>90</v>
      </c>
      <c r="B546" s="1" t="s">
        <v>48</v>
      </c>
      <c r="C546" s="1" t="s">
        <v>58</v>
      </c>
      <c r="D546" s="1" t="s">
        <v>21</v>
      </c>
      <c r="E546" s="1" t="s">
        <v>38</v>
      </c>
      <c r="F546" s="1" t="s">
        <v>49</v>
      </c>
      <c r="G546" s="2">
        <v>45401</v>
      </c>
      <c r="H546" s="2">
        <v>45459</v>
      </c>
      <c r="I546" s="1">
        <v>32658.97</v>
      </c>
      <c r="J546" s="1">
        <v>0.1176</v>
      </c>
      <c r="K546" s="1">
        <v>3840.69</v>
      </c>
      <c r="L546" s="1">
        <v>534977</v>
      </c>
      <c r="M546" s="1">
        <v>7516</v>
      </c>
      <c r="N546" s="1">
        <v>49043.99</v>
      </c>
      <c r="O546" s="1">
        <v>2024</v>
      </c>
      <c r="P546" s="1" t="s">
        <v>76</v>
      </c>
      <c r="Q546" s="1" t="s">
        <v>46</v>
      </c>
      <c r="R546" s="4" t="s">
        <v>26</v>
      </c>
      <c r="S546" s="25">
        <f>Table1[[#This Row],[Clicks]]/Table1[[#This Row],[Impressions]]</f>
        <v>1.4049202115231122E-2</v>
      </c>
      <c r="T546" s="22">
        <f>Table1[[#This Row],[Sales]]/Table1[[#This Row],[USD_Spend]]</f>
        <v>12.769577862311198</v>
      </c>
      <c r="U546" s="1" t="str">
        <f>Outlier_Check!C556</f>
        <v>Normal</v>
      </c>
    </row>
    <row r="547" spans="1:21" x14ac:dyDescent="0.35">
      <c r="A547" s="3" t="s">
        <v>27</v>
      </c>
      <c r="B547" s="1" t="s">
        <v>48</v>
      </c>
      <c r="C547" s="1" t="s">
        <v>29</v>
      </c>
      <c r="D547" s="1" t="s">
        <v>37</v>
      </c>
      <c r="E547" s="1" t="s">
        <v>38</v>
      </c>
      <c r="F547" s="1" t="s">
        <v>23</v>
      </c>
      <c r="G547" s="2">
        <v>45402</v>
      </c>
      <c r="H547" s="2">
        <v>45430</v>
      </c>
      <c r="I547" s="1">
        <v>29992.86</v>
      </c>
      <c r="J547" s="1">
        <v>0.59709999999999996</v>
      </c>
      <c r="K547" s="1">
        <v>17908.740000000002</v>
      </c>
      <c r="L547" s="1">
        <v>820143</v>
      </c>
      <c r="M547" s="1">
        <v>12907</v>
      </c>
      <c r="N547" s="1">
        <v>184453.52</v>
      </c>
      <c r="O547" s="1">
        <v>2024</v>
      </c>
      <c r="P547" s="1" t="s">
        <v>76</v>
      </c>
      <c r="Q547" s="1" t="s">
        <v>46</v>
      </c>
      <c r="R547" s="4" t="s">
        <v>61</v>
      </c>
      <c r="S547" s="25">
        <f>Table1[[#This Row],[Clicks]]/Table1[[#This Row],[Impressions]]</f>
        <v>1.5737499436073953E-2</v>
      </c>
      <c r="T547" s="22">
        <f>Table1[[#This Row],[Sales]]/Table1[[#This Row],[USD_Spend]]</f>
        <v>10.299636937048612</v>
      </c>
      <c r="U547" s="1" t="str">
        <f>Outlier_Check!C557</f>
        <v>Normal</v>
      </c>
    </row>
    <row r="548" spans="1:21" x14ac:dyDescent="0.35">
      <c r="A548" s="3" t="s">
        <v>78</v>
      </c>
      <c r="B548" s="1" t="s">
        <v>35</v>
      </c>
      <c r="C548" s="1" t="s">
        <v>20</v>
      </c>
      <c r="D548" s="1" t="s">
        <v>51</v>
      </c>
      <c r="E548" s="1" t="s">
        <v>30</v>
      </c>
      <c r="F548" s="1" t="s">
        <v>44</v>
      </c>
      <c r="G548" s="2">
        <v>45403</v>
      </c>
      <c r="H548" s="2">
        <v>45436</v>
      </c>
      <c r="I548" s="1">
        <v>22665.83</v>
      </c>
      <c r="J548" s="1">
        <v>0.26429999999999998</v>
      </c>
      <c r="K548" s="1">
        <v>5990.58</v>
      </c>
      <c r="L548" s="1">
        <v>506171</v>
      </c>
      <c r="M548" s="1">
        <v>48331</v>
      </c>
      <c r="N548" s="1">
        <v>46574.39</v>
      </c>
      <c r="O548" s="1">
        <v>2024</v>
      </c>
      <c r="P548" s="1" t="s">
        <v>76</v>
      </c>
      <c r="Q548" s="1" t="s">
        <v>46</v>
      </c>
      <c r="R548" s="4" t="s">
        <v>41</v>
      </c>
      <c r="S548" s="25">
        <f>Table1[[#This Row],[Clicks]]/Table1[[#This Row],[Impressions]]</f>
        <v>9.5483542123116494E-2</v>
      </c>
      <c r="T548" s="22">
        <f>Table1[[#This Row],[Sales]]/Table1[[#This Row],[USD_Spend]]</f>
        <v>7.7746044623392061</v>
      </c>
      <c r="U548" s="1" t="str">
        <f>Outlier_Check!C558</f>
        <v>Normal</v>
      </c>
    </row>
    <row r="549" spans="1:21" x14ac:dyDescent="0.35">
      <c r="A549" s="3" t="s">
        <v>95</v>
      </c>
      <c r="B549" s="1" t="s">
        <v>35</v>
      </c>
      <c r="C549" s="1" t="s">
        <v>58</v>
      </c>
      <c r="D549" s="1" t="s">
        <v>43</v>
      </c>
      <c r="E549" s="1" t="s">
        <v>30</v>
      </c>
      <c r="F549" s="1" t="s">
        <v>31</v>
      </c>
      <c r="G549" s="2">
        <v>45404</v>
      </c>
      <c r="H549" s="2">
        <v>45454</v>
      </c>
      <c r="I549" s="1">
        <v>46937.23</v>
      </c>
      <c r="J549" s="1">
        <v>5.7500000000000002E-2</v>
      </c>
      <c r="K549" s="1">
        <v>2698.89</v>
      </c>
      <c r="L549" s="1">
        <v>983737</v>
      </c>
      <c r="M549" s="1">
        <v>21243</v>
      </c>
      <c r="N549" s="1">
        <v>151235.68</v>
      </c>
      <c r="O549" s="1">
        <v>2024</v>
      </c>
      <c r="P549" s="1" t="s">
        <v>76</v>
      </c>
      <c r="Q549" s="1" t="s">
        <v>46</v>
      </c>
      <c r="R549" s="4" t="s">
        <v>26</v>
      </c>
      <c r="S549" s="25">
        <f>Table1[[#This Row],[Clicks]]/Table1[[#This Row],[Impressions]]</f>
        <v>2.1594186251000014E-2</v>
      </c>
      <c r="T549" s="22">
        <f>Table1[[#This Row],[Sales]]/Table1[[#This Row],[USD_Spend]]</f>
        <v>56.036251940612622</v>
      </c>
      <c r="U549" s="1" t="str">
        <f>Outlier_Check!C559</f>
        <v>Normal</v>
      </c>
    </row>
    <row r="550" spans="1:21" x14ac:dyDescent="0.35">
      <c r="A550" s="3" t="s">
        <v>89</v>
      </c>
      <c r="B550" s="1" t="s">
        <v>35</v>
      </c>
      <c r="C550" s="1" t="s">
        <v>69</v>
      </c>
      <c r="D550" s="1" t="s">
        <v>59</v>
      </c>
      <c r="E550" s="1" t="s">
        <v>22</v>
      </c>
      <c r="F550" s="1" t="s">
        <v>31</v>
      </c>
      <c r="G550" s="2">
        <v>45405</v>
      </c>
      <c r="H550" s="2">
        <v>45452</v>
      </c>
      <c r="I550" s="1">
        <v>46872.92</v>
      </c>
      <c r="J550" s="1">
        <v>0.77010000000000001</v>
      </c>
      <c r="K550" s="1">
        <v>36096.839999999997</v>
      </c>
      <c r="L550" s="1">
        <v>977516</v>
      </c>
      <c r="M550" s="1">
        <v>18213</v>
      </c>
      <c r="N550" s="1">
        <v>193492.99</v>
      </c>
      <c r="O550" s="1">
        <v>2024</v>
      </c>
      <c r="P550" s="1" t="s">
        <v>76</v>
      </c>
      <c r="Q550" s="1" t="s">
        <v>46</v>
      </c>
      <c r="R550" s="4" t="s">
        <v>26</v>
      </c>
      <c r="S550" s="25">
        <f>Table1[[#This Row],[Clicks]]/Table1[[#This Row],[Impressions]]</f>
        <v>1.8631920091333545E-2</v>
      </c>
      <c r="T550" s="22">
        <f>Table1[[#This Row],[Sales]]/Table1[[#This Row],[USD_Spend]]</f>
        <v>5.360385839868532</v>
      </c>
      <c r="U550" s="1" t="str">
        <f>Outlier_Check!C560</f>
        <v>Normal</v>
      </c>
    </row>
    <row r="551" spans="1:21" x14ac:dyDescent="0.35">
      <c r="A551" s="3" t="s">
        <v>18</v>
      </c>
      <c r="B551" s="1" t="s">
        <v>48</v>
      </c>
      <c r="C551" s="1" t="s">
        <v>36</v>
      </c>
      <c r="D551" s="1" t="s">
        <v>59</v>
      </c>
      <c r="E551" s="1" t="s">
        <v>30</v>
      </c>
      <c r="F551" s="1" t="s">
        <v>44</v>
      </c>
      <c r="G551" s="2">
        <v>45407</v>
      </c>
      <c r="H551" s="2">
        <v>45431</v>
      </c>
      <c r="I551" s="1">
        <v>30563.14</v>
      </c>
      <c r="J551" s="1">
        <v>0.35639999999999999</v>
      </c>
      <c r="K551" s="1">
        <v>10892.7</v>
      </c>
      <c r="L551" s="1">
        <v>18474</v>
      </c>
      <c r="M551" s="1">
        <v>34026</v>
      </c>
      <c r="N551" s="1">
        <v>148677.78</v>
      </c>
      <c r="O551" s="1">
        <v>2024</v>
      </c>
      <c r="P551" s="1" t="s">
        <v>76</v>
      </c>
      <c r="Q551" s="1" t="s">
        <v>46</v>
      </c>
      <c r="R551" s="4" t="s">
        <v>26</v>
      </c>
      <c r="S551" s="25">
        <f>Table1[[#This Row],[Clicks]]/Table1[[#This Row],[Impressions]]</f>
        <v>1.8418317635595973</v>
      </c>
      <c r="T551" s="22">
        <f>Table1[[#This Row],[Sales]]/Table1[[#This Row],[USD_Spend]]</f>
        <v>13.649304580131647</v>
      </c>
      <c r="U551" s="1" t="str">
        <f>Outlier_Check!C561</f>
        <v>Normal</v>
      </c>
    </row>
    <row r="552" spans="1:21" x14ac:dyDescent="0.35">
      <c r="A552" s="3" t="s">
        <v>104</v>
      </c>
      <c r="B552" s="1" t="s">
        <v>35</v>
      </c>
      <c r="C552" s="1" t="s">
        <v>29</v>
      </c>
      <c r="D552" s="1" t="s">
        <v>51</v>
      </c>
      <c r="E552" s="1" t="s">
        <v>38</v>
      </c>
      <c r="F552" s="1" t="s">
        <v>44</v>
      </c>
      <c r="G552" s="2">
        <v>45410</v>
      </c>
      <c r="H552" s="2">
        <v>45453</v>
      </c>
      <c r="I552" s="1">
        <v>33289.620000000003</v>
      </c>
      <c r="J552" s="1">
        <v>0.69550000000000001</v>
      </c>
      <c r="K552" s="1">
        <v>23152.93</v>
      </c>
      <c r="L552" s="1">
        <v>982462</v>
      </c>
      <c r="M552" s="1">
        <v>33325</v>
      </c>
      <c r="N552" s="1">
        <v>194972.51</v>
      </c>
      <c r="O552" s="1">
        <v>2024</v>
      </c>
      <c r="P552" s="1" t="s">
        <v>76</v>
      </c>
      <c r="Q552" s="1" t="s">
        <v>46</v>
      </c>
      <c r="R552" s="4" t="s">
        <v>41</v>
      </c>
      <c r="S552" s="25">
        <f>Table1[[#This Row],[Clicks]]/Table1[[#This Row],[Impressions]]</f>
        <v>3.3919886977816956E-2</v>
      </c>
      <c r="T552" s="22">
        <f>Table1[[#This Row],[Sales]]/Table1[[#This Row],[USD_Spend]]</f>
        <v>8.42107284045691</v>
      </c>
      <c r="U552" s="1" t="str">
        <f>Outlier_Check!C562</f>
        <v>Normal</v>
      </c>
    </row>
    <row r="553" spans="1:21" x14ac:dyDescent="0.35">
      <c r="A553" s="3" t="s">
        <v>92</v>
      </c>
      <c r="B553" s="1" t="s">
        <v>48</v>
      </c>
      <c r="C553" s="1" t="s">
        <v>29</v>
      </c>
      <c r="D553" s="1" t="s">
        <v>59</v>
      </c>
      <c r="E553" s="1" t="s">
        <v>38</v>
      </c>
      <c r="F553" s="1" t="s">
        <v>49</v>
      </c>
      <c r="G553" s="2">
        <v>45410</v>
      </c>
      <c r="H553" s="2">
        <v>45427</v>
      </c>
      <c r="I553" s="1">
        <v>25523.39</v>
      </c>
      <c r="J553" s="1">
        <v>1.0423</v>
      </c>
      <c r="K553" s="1">
        <v>26603.03</v>
      </c>
      <c r="L553" s="1">
        <v>410209</v>
      </c>
      <c r="M553" s="1">
        <v>34823</v>
      </c>
      <c r="N553" s="1">
        <v>78097.16</v>
      </c>
      <c r="O553" s="1">
        <v>2024</v>
      </c>
      <c r="P553" s="1" t="s">
        <v>76</v>
      </c>
      <c r="Q553" s="1" t="s">
        <v>46</v>
      </c>
      <c r="R553" s="4" t="s">
        <v>54</v>
      </c>
      <c r="S553" s="25">
        <f>Table1[[#This Row],[Clicks]]/Table1[[#This Row],[Impressions]]</f>
        <v>8.4890872701476563E-2</v>
      </c>
      <c r="T553" s="22">
        <f>Table1[[#This Row],[Sales]]/Table1[[#This Row],[USD_Spend]]</f>
        <v>2.9356490595244229</v>
      </c>
      <c r="U553" s="1" t="str">
        <f>Outlier_Check!C563</f>
        <v>Normal</v>
      </c>
    </row>
    <row r="554" spans="1:21" x14ac:dyDescent="0.35">
      <c r="A554" s="3" t="s">
        <v>70</v>
      </c>
      <c r="B554" s="1" t="s">
        <v>19</v>
      </c>
      <c r="C554" s="1" t="s">
        <v>69</v>
      </c>
      <c r="D554" s="1" t="s">
        <v>21</v>
      </c>
      <c r="E554" s="1" t="s">
        <v>30</v>
      </c>
      <c r="F554" s="1" t="s">
        <v>31</v>
      </c>
      <c r="G554" s="2">
        <v>45411</v>
      </c>
      <c r="H554" s="2">
        <v>45440</v>
      </c>
      <c r="I554" s="1">
        <v>34390.67</v>
      </c>
      <c r="J554" s="1">
        <v>0.38140000000000002</v>
      </c>
      <c r="K554" s="1">
        <v>13116.6</v>
      </c>
      <c r="L554" s="1">
        <v>348756</v>
      </c>
      <c r="M554" s="1">
        <v>10494</v>
      </c>
      <c r="N554" s="1">
        <v>159145.24</v>
      </c>
      <c r="O554" s="1">
        <v>2024</v>
      </c>
      <c r="P554" s="1" t="s">
        <v>76</v>
      </c>
      <c r="Q554" s="1" t="s">
        <v>46</v>
      </c>
      <c r="R554" s="4" t="s">
        <v>61</v>
      </c>
      <c r="S554" s="25">
        <f>Table1[[#This Row],[Clicks]]/Table1[[#This Row],[Impressions]]</f>
        <v>3.0089804906582251E-2</v>
      </c>
      <c r="T554" s="22">
        <f>Table1[[#This Row],[Sales]]/Table1[[#This Row],[USD_Spend]]</f>
        <v>12.133116813808455</v>
      </c>
      <c r="U554" s="1" t="str">
        <f>Outlier_Check!C564</f>
        <v>Normal</v>
      </c>
    </row>
    <row r="555" spans="1:21" x14ac:dyDescent="0.35">
      <c r="A555" s="3" t="s">
        <v>86</v>
      </c>
      <c r="B555" s="1" t="s">
        <v>48</v>
      </c>
      <c r="C555" s="1" t="s">
        <v>20</v>
      </c>
      <c r="D555" s="1" t="s">
        <v>51</v>
      </c>
      <c r="E555" s="1" t="s">
        <v>38</v>
      </c>
      <c r="F555" s="1" t="s">
        <v>49</v>
      </c>
      <c r="G555" s="2">
        <v>45412</v>
      </c>
      <c r="H555" s="2">
        <v>45439</v>
      </c>
      <c r="I555" s="1">
        <v>21586.37</v>
      </c>
      <c r="J555" s="1">
        <v>0.88790000000000002</v>
      </c>
      <c r="K555" s="1">
        <v>19166.54</v>
      </c>
      <c r="L555" s="1">
        <v>32525</v>
      </c>
      <c r="M555" s="1">
        <v>19204</v>
      </c>
      <c r="N555" s="1">
        <v>51319.86</v>
      </c>
      <c r="O555" s="1">
        <v>2024</v>
      </c>
      <c r="P555" s="1" t="s">
        <v>76</v>
      </c>
      <c r="Q555" s="1" t="s">
        <v>46</v>
      </c>
      <c r="R555" s="4" t="s">
        <v>41</v>
      </c>
      <c r="S555" s="25">
        <f>Table1[[#This Row],[Clicks]]/Table1[[#This Row],[Impressions]]</f>
        <v>0.59043812451960032</v>
      </c>
      <c r="T555" s="22">
        <f>Table1[[#This Row],[Sales]]/Table1[[#This Row],[USD_Spend]]</f>
        <v>2.6775756083257591</v>
      </c>
      <c r="U555" s="1" t="str">
        <f>Outlier_Check!C565</f>
        <v>Normal</v>
      </c>
    </row>
    <row r="556" spans="1:21" x14ac:dyDescent="0.35">
      <c r="A556" s="3" t="s">
        <v>107</v>
      </c>
      <c r="B556" s="1" t="s">
        <v>48</v>
      </c>
      <c r="C556" s="1" t="s">
        <v>58</v>
      </c>
      <c r="D556" s="1" t="s">
        <v>51</v>
      </c>
      <c r="E556" s="1" t="s">
        <v>38</v>
      </c>
      <c r="F556" s="1" t="s">
        <v>23</v>
      </c>
      <c r="G556" s="2">
        <v>45414</v>
      </c>
      <c r="H556" s="2">
        <v>45436</v>
      </c>
      <c r="I556" s="1">
        <v>28589.8</v>
      </c>
      <c r="J556" s="1">
        <v>0.51349999999999996</v>
      </c>
      <c r="K556" s="1">
        <v>14680.86</v>
      </c>
      <c r="L556" s="1">
        <v>803237</v>
      </c>
      <c r="M556" s="1">
        <v>27791</v>
      </c>
      <c r="N556" s="1">
        <v>203693.62</v>
      </c>
      <c r="O556" s="1">
        <v>2024</v>
      </c>
      <c r="P556" s="1" t="s">
        <v>45</v>
      </c>
      <c r="Q556" s="1" t="s">
        <v>46</v>
      </c>
      <c r="R556" s="4" t="s">
        <v>26</v>
      </c>
      <c r="S556" s="25">
        <f>Table1[[#This Row],[Clicks]]/Table1[[#This Row],[Impressions]]</f>
        <v>3.4598754788437283E-2</v>
      </c>
      <c r="T556" s="22">
        <f>Table1[[#This Row],[Sales]]/Table1[[#This Row],[USD_Spend]]</f>
        <v>13.87477436607937</v>
      </c>
      <c r="U556" s="1" t="str">
        <f>Outlier_Check!C566</f>
        <v>Normal</v>
      </c>
    </row>
    <row r="557" spans="1:21" x14ac:dyDescent="0.35">
      <c r="A557" s="3" t="s">
        <v>78</v>
      </c>
      <c r="B557" s="1" t="s">
        <v>19</v>
      </c>
      <c r="C557" s="1" t="s">
        <v>29</v>
      </c>
      <c r="D557" s="1" t="s">
        <v>59</v>
      </c>
      <c r="E557" s="1" t="s">
        <v>30</v>
      </c>
      <c r="F557" s="1" t="s">
        <v>52</v>
      </c>
      <c r="G557" s="2">
        <v>45415</v>
      </c>
      <c r="H557" s="2">
        <v>45457</v>
      </c>
      <c r="I557" s="1">
        <v>43571.81</v>
      </c>
      <c r="J557" s="1">
        <v>5.45E-2</v>
      </c>
      <c r="K557" s="1">
        <v>2374.66</v>
      </c>
      <c r="L557" s="1">
        <v>179054</v>
      </c>
      <c r="M557" s="1">
        <v>10031</v>
      </c>
      <c r="N557" s="1">
        <v>172181.63</v>
      </c>
      <c r="O557" s="1">
        <v>2024</v>
      </c>
      <c r="P557" s="1" t="s">
        <v>45</v>
      </c>
      <c r="Q557" s="1" t="s">
        <v>46</v>
      </c>
      <c r="R557" s="4" t="s">
        <v>61</v>
      </c>
      <c r="S557" s="25">
        <f>Table1[[#This Row],[Clicks]]/Table1[[#This Row],[Impressions]]</f>
        <v>5.6022205591609232E-2</v>
      </c>
      <c r="T557" s="22">
        <f>Table1[[#This Row],[Sales]]/Table1[[#This Row],[USD_Spend]]</f>
        <v>72.507908500585359</v>
      </c>
      <c r="U557" s="1" t="str">
        <f>Outlier_Check!C567</f>
        <v>Normal</v>
      </c>
    </row>
    <row r="558" spans="1:21" x14ac:dyDescent="0.35">
      <c r="A558" s="3" t="s">
        <v>82</v>
      </c>
      <c r="B558" s="1" t="s">
        <v>48</v>
      </c>
      <c r="C558" s="1" t="s">
        <v>69</v>
      </c>
      <c r="D558" s="1" t="s">
        <v>43</v>
      </c>
      <c r="E558" s="1" t="s">
        <v>38</v>
      </c>
      <c r="F558" s="1" t="s">
        <v>52</v>
      </c>
      <c r="G558" s="2">
        <v>45416</v>
      </c>
      <c r="H558" s="2">
        <v>45423</v>
      </c>
      <c r="I558" s="1">
        <v>46151.96</v>
      </c>
      <c r="J558" s="1">
        <v>0.44009999999999999</v>
      </c>
      <c r="K558" s="1">
        <v>20311.48</v>
      </c>
      <c r="L558" s="1">
        <v>750880</v>
      </c>
      <c r="M558" s="1">
        <v>44430</v>
      </c>
      <c r="N558" s="1">
        <v>11922.74</v>
      </c>
      <c r="O558" s="1">
        <v>2024</v>
      </c>
      <c r="P558" s="1" t="s">
        <v>45</v>
      </c>
      <c r="Q558" s="1" t="s">
        <v>46</v>
      </c>
      <c r="R558" s="4" t="s">
        <v>41</v>
      </c>
      <c r="S558" s="25">
        <f>Table1[[#This Row],[Clicks]]/Table1[[#This Row],[Impressions]]</f>
        <v>5.9170573194118899E-2</v>
      </c>
      <c r="T558" s="22">
        <f>Table1[[#This Row],[Sales]]/Table1[[#This Row],[USD_Spend]]</f>
        <v>0.58699513772506973</v>
      </c>
      <c r="U558" s="1" t="str">
        <f>Outlier_Check!C568</f>
        <v>Normal</v>
      </c>
    </row>
    <row r="559" spans="1:21" x14ac:dyDescent="0.35">
      <c r="A559" s="3" t="s">
        <v>98</v>
      </c>
      <c r="B559" s="1" t="s">
        <v>28</v>
      </c>
      <c r="C559" s="1" t="s">
        <v>58</v>
      </c>
      <c r="D559" s="1" t="s">
        <v>37</v>
      </c>
      <c r="E559" s="1" t="s">
        <v>30</v>
      </c>
      <c r="F559" s="1" t="s">
        <v>23</v>
      </c>
      <c r="G559" s="2">
        <v>45417</v>
      </c>
      <c r="H559" s="2">
        <v>45450</v>
      </c>
      <c r="I559" s="1">
        <v>17694.59</v>
      </c>
      <c r="J559" s="1">
        <v>1.1589</v>
      </c>
      <c r="K559" s="1">
        <v>20506.259999999998</v>
      </c>
      <c r="L559" s="1">
        <v>274742</v>
      </c>
      <c r="M559" s="1">
        <v>31408</v>
      </c>
      <c r="N559" s="1">
        <v>32951.35</v>
      </c>
      <c r="O559" s="1">
        <v>2024</v>
      </c>
      <c r="P559" s="1" t="s">
        <v>45</v>
      </c>
      <c r="Q559" s="1" t="s">
        <v>46</v>
      </c>
      <c r="R559" s="4" t="s">
        <v>61</v>
      </c>
      <c r="S559" s="25">
        <f>Table1[[#This Row],[Clicks]]/Table1[[#This Row],[Impressions]]</f>
        <v>0.1143181603104003</v>
      </c>
      <c r="T559" s="22">
        <f>Table1[[#This Row],[Sales]]/Table1[[#This Row],[USD_Spend]]</f>
        <v>1.6068922368096377</v>
      </c>
      <c r="U559" s="1" t="str">
        <f>Outlier_Check!C569</f>
        <v>Normal</v>
      </c>
    </row>
    <row r="560" spans="1:21" x14ac:dyDescent="0.35">
      <c r="A560" s="3" t="s">
        <v>114</v>
      </c>
      <c r="B560" s="1" t="s">
        <v>19</v>
      </c>
      <c r="C560" s="1" t="s">
        <v>58</v>
      </c>
      <c r="D560" s="1" t="s">
        <v>59</v>
      </c>
      <c r="E560" s="1" t="s">
        <v>30</v>
      </c>
      <c r="F560" s="1" t="s">
        <v>44</v>
      </c>
      <c r="G560" s="2">
        <v>45417</v>
      </c>
      <c r="H560" s="2">
        <v>45435</v>
      </c>
      <c r="I560" s="1">
        <v>43604.22</v>
      </c>
      <c r="J560" s="1">
        <v>0.40620000000000001</v>
      </c>
      <c r="K560" s="1">
        <v>17712.03</v>
      </c>
      <c r="L560" s="1">
        <v>963149</v>
      </c>
      <c r="M560" s="1">
        <v>1104</v>
      </c>
      <c r="N560" s="1">
        <v>56892.9</v>
      </c>
      <c r="O560" s="1">
        <v>2024</v>
      </c>
      <c r="P560" s="1" t="s">
        <v>45</v>
      </c>
      <c r="Q560" s="1" t="s">
        <v>46</v>
      </c>
      <c r="R560" s="4" t="s">
        <v>61</v>
      </c>
      <c r="S560" s="25">
        <f>Table1[[#This Row],[Clicks]]/Table1[[#This Row],[Impressions]]</f>
        <v>1.1462400936926686E-3</v>
      </c>
      <c r="T560" s="22">
        <f>Table1[[#This Row],[Sales]]/Table1[[#This Row],[USD_Spend]]</f>
        <v>3.2121049930470988</v>
      </c>
      <c r="U560" s="1" t="str">
        <f>Outlier_Check!C570</f>
        <v>Normal</v>
      </c>
    </row>
    <row r="561" spans="1:21" x14ac:dyDescent="0.35">
      <c r="A561" s="3" t="s">
        <v>87</v>
      </c>
      <c r="B561" s="1" t="s">
        <v>48</v>
      </c>
      <c r="C561" s="1" t="s">
        <v>29</v>
      </c>
      <c r="D561" s="1" t="s">
        <v>37</v>
      </c>
      <c r="E561" s="1" t="s">
        <v>38</v>
      </c>
      <c r="F561" s="1" t="s">
        <v>49</v>
      </c>
      <c r="G561" s="2">
        <v>45419</v>
      </c>
      <c r="H561" s="2">
        <v>45459</v>
      </c>
      <c r="I561" s="1">
        <v>10707.32</v>
      </c>
      <c r="J561" s="1">
        <v>0.48039999999999999</v>
      </c>
      <c r="K561" s="1">
        <v>5143.8</v>
      </c>
      <c r="L561" s="1">
        <v>609083</v>
      </c>
      <c r="M561" s="1">
        <v>12951</v>
      </c>
      <c r="N561" s="1">
        <v>142486.06</v>
      </c>
      <c r="O561" s="1">
        <v>2024</v>
      </c>
      <c r="P561" s="1" t="s">
        <v>45</v>
      </c>
      <c r="Q561" s="1" t="s">
        <v>46</v>
      </c>
      <c r="R561" s="4" t="s">
        <v>41</v>
      </c>
      <c r="S561" s="25">
        <f>Table1[[#This Row],[Clicks]]/Table1[[#This Row],[Impressions]]</f>
        <v>2.1263111923990656E-2</v>
      </c>
      <c r="T561" s="22">
        <f>Table1[[#This Row],[Sales]]/Table1[[#This Row],[USD_Spend]]</f>
        <v>27.700544344647923</v>
      </c>
      <c r="U561" s="1" t="str">
        <f>Outlier_Check!C571</f>
        <v>Normal</v>
      </c>
    </row>
    <row r="562" spans="1:21" x14ac:dyDescent="0.35">
      <c r="A562" s="3" t="s">
        <v>57</v>
      </c>
      <c r="B562" s="1" t="s">
        <v>28</v>
      </c>
      <c r="C562" s="1" t="s">
        <v>69</v>
      </c>
      <c r="D562" s="1" t="s">
        <v>43</v>
      </c>
      <c r="E562" s="1" t="s">
        <v>30</v>
      </c>
      <c r="F562" s="1" t="s">
        <v>23</v>
      </c>
      <c r="G562" s="2">
        <v>45421</v>
      </c>
      <c r="H562" s="2">
        <v>45444</v>
      </c>
      <c r="I562" s="1">
        <v>45475.62</v>
      </c>
      <c r="J562" s="1">
        <v>0.64449999999999996</v>
      </c>
      <c r="K562" s="1">
        <v>29309.040000000001</v>
      </c>
      <c r="L562" s="1">
        <v>266496</v>
      </c>
      <c r="M562" s="1">
        <v>25161</v>
      </c>
      <c r="N562" s="1">
        <v>9217.07</v>
      </c>
      <c r="O562" s="1">
        <v>2024</v>
      </c>
      <c r="P562" s="1" t="s">
        <v>45</v>
      </c>
      <c r="Q562" s="1" t="s">
        <v>46</v>
      </c>
      <c r="R562" s="4" t="s">
        <v>54</v>
      </c>
      <c r="S562" s="25">
        <f>Table1[[#This Row],[Clicks]]/Table1[[#This Row],[Impressions]]</f>
        <v>9.4414175072046108E-2</v>
      </c>
      <c r="T562" s="22">
        <f>Table1[[#This Row],[Sales]]/Table1[[#This Row],[USD_Spend]]</f>
        <v>0.31447874103007123</v>
      </c>
      <c r="U562" s="1" t="str">
        <f>Outlier_Check!C572</f>
        <v>Normal</v>
      </c>
    </row>
    <row r="563" spans="1:21" x14ac:dyDescent="0.35">
      <c r="A563" s="3" t="s">
        <v>110</v>
      </c>
      <c r="B563" s="1" t="s">
        <v>35</v>
      </c>
      <c r="C563" s="1" t="s">
        <v>69</v>
      </c>
      <c r="D563" s="1" t="s">
        <v>51</v>
      </c>
      <c r="E563" s="1" t="s">
        <v>38</v>
      </c>
      <c r="F563" s="1" t="s">
        <v>31</v>
      </c>
      <c r="G563" s="2">
        <v>45423</v>
      </c>
      <c r="H563" s="2">
        <v>45473</v>
      </c>
      <c r="I563" s="1">
        <v>22437.5</v>
      </c>
      <c r="J563" s="1">
        <v>0.36070000000000002</v>
      </c>
      <c r="K563" s="1">
        <v>8093.21</v>
      </c>
      <c r="L563" s="1">
        <v>740897</v>
      </c>
      <c r="M563" s="1">
        <v>32218</v>
      </c>
      <c r="N563" s="1">
        <v>51495.08</v>
      </c>
      <c r="O563" s="1">
        <v>2024</v>
      </c>
      <c r="P563" s="1" t="s">
        <v>45</v>
      </c>
      <c r="Q563" s="1" t="s">
        <v>46</v>
      </c>
      <c r="R563" s="4" t="s">
        <v>61</v>
      </c>
      <c r="S563" s="25">
        <f>Table1[[#This Row],[Clicks]]/Table1[[#This Row],[Impressions]]</f>
        <v>4.34851268124989E-2</v>
      </c>
      <c r="T563" s="22">
        <f>Table1[[#This Row],[Sales]]/Table1[[#This Row],[USD_Spend]]</f>
        <v>6.362750997441065</v>
      </c>
      <c r="U563" s="1" t="str">
        <f>Outlier_Check!C573</f>
        <v>Normal</v>
      </c>
    </row>
    <row r="564" spans="1:21" x14ac:dyDescent="0.35">
      <c r="A564" s="3" t="s">
        <v>57</v>
      </c>
      <c r="B564" s="1" t="s">
        <v>48</v>
      </c>
      <c r="C564" s="1" t="s">
        <v>29</v>
      </c>
      <c r="D564" s="1" t="s">
        <v>37</v>
      </c>
      <c r="E564" s="1" t="s">
        <v>22</v>
      </c>
      <c r="F564" s="1" t="s">
        <v>23</v>
      </c>
      <c r="G564" s="2">
        <v>45423</v>
      </c>
      <c r="H564" s="2">
        <v>45460</v>
      </c>
      <c r="I564" s="1">
        <v>14665.64</v>
      </c>
      <c r="J564" s="1">
        <v>0.92390000000000005</v>
      </c>
      <c r="K564" s="1">
        <v>13549.58</v>
      </c>
      <c r="L564" s="1">
        <v>123284</v>
      </c>
      <c r="M564" s="1">
        <v>8107</v>
      </c>
      <c r="N564" s="1">
        <v>66419.02</v>
      </c>
      <c r="O564" s="1">
        <v>2024</v>
      </c>
      <c r="P564" s="1" t="s">
        <v>45</v>
      </c>
      <c r="Q564" s="1" t="s">
        <v>46</v>
      </c>
      <c r="R564" s="4" t="s">
        <v>26</v>
      </c>
      <c r="S564" s="25">
        <f>Table1[[#This Row],[Clicks]]/Table1[[#This Row],[Impressions]]</f>
        <v>6.5758735926803147E-2</v>
      </c>
      <c r="T564" s="22">
        <f>Table1[[#This Row],[Sales]]/Table1[[#This Row],[USD_Spend]]</f>
        <v>4.9019246353023496</v>
      </c>
      <c r="U564" s="1" t="str">
        <f>Outlier_Check!C574</f>
        <v>Normal</v>
      </c>
    </row>
    <row r="565" spans="1:21" x14ac:dyDescent="0.35">
      <c r="A565" s="3" t="s">
        <v>50</v>
      </c>
      <c r="B565" s="1" t="s">
        <v>48</v>
      </c>
      <c r="C565" s="1" t="s">
        <v>58</v>
      </c>
      <c r="D565" s="1" t="s">
        <v>21</v>
      </c>
      <c r="E565" s="1" t="s">
        <v>38</v>
      </c>
      <c r="F565" s="1" t="s">
        <v>52</v>
      </c>
      <c r="G565" s="2">
        <v>45423</v>
      </c>
      <c r="H565" s="2">
        <v>45439</v>
      </c>
      <c r="I565" s="1">
        <v>40169.230000000003</v>
      </c>
      <c r="J565" s="1">
        <v>1.0358000000000001</v>
      </c>
      <c r="K565" s="1">
        <v>41607.29</v>
      </c>
      <c r="L565" s="1">
        <v>369502</v>
      </c>
      <c r="M565" s="1">
        <v>5631</v>
      </c>
      <c r="N565" s="1">
        <v>241999.68</v>
      </c>
      <c r="O565" s="1">
        <v>2024</v>
      </c>
      <c r="P565" s="1" t="s">
        <v>45</v>
      </c>
      <c r="Q565" s="1" t="s">
        <v>46</v>
      </c>
      <c r="R565" s="4" t="s">
        <v>54</v>
      </c>
      <c r="S565" s="25">
        <f>Table1[[#This Row],[Clicks]]/Table1[[#This Row],[Impressions]]</f>
        <v>1.5239430368441848E-2</v>
      </c>
      <c r="T565" s="22">
        <f>Table1[[#This Row],[Sales]]/Table1[[#This Row],[USD_Spend]]</f>
        <v>5.8162807527238609</v>
      </c>
      <c r="U565" s="1" t="str">
        <f>Outlier_Check!C575</f>
        <v>Normal</v>
      </c>
    </row>
    <row r="566" spans="1:21" x14ac:dyDescent="0.35">
      <c r="A566" s="3" t="s">
        <v>85</v>
      </c>
      <c r="B566" s="1" t="s">
        <v>48</v>
      </c>
      <c r="C566" s="1" t="s">
        <v>36</v>
      </c>
      <c r="D566" s="1" t="s">
        <v>63</v>
      </c>
      <c r="E566" s="1" t="s">
        <v>38</v>
      </c>
      <c r="F566" s="1" t="s">
        <v>44</v>
      </c>
      <c r="G566" s="2">
        <v>45424</v>
      </c>
      <c r="H566" s="2">
        <v>45464</v>
      </c>
      <c r="I566" s="1">
        <v>49573.36</v>
      </c>
      <c r="J566" s="1">
        <v>0.51219999999999999</v>
      </c>
      <c r="K566" s="1">
        <v>25391.47</v>
      </c>
      <c r="L566" s="1">
        <v>959648</v>
      </c>
      <c r="M566" s="1">
        <v>2525</v>
      </c>
      <c r="N566" s="1">
        <v>54487.67</v>
      </c>
      <c r="O566" s="1">
        <v>2024</v>
      </c>
      <c r="P566" s="1" t="s">
        <v>45</v>
      </c>
      <c r="Q566" s="1" t="s">
        <v>46</v>
      </c>
      <c r="R566" s="4" t="s">
        <v>61</v>
      </c>
      <c r="S566" s="25">
        <f>Table1[[#This Row],[Clicks]]/Table1[[#This Row],[Impressions]]</f>
        <v>2.6311730968021606E-3</v>
      </c>
      <c r="T566" s="22">
        <f>Table1[[#This Row],[Sales]]/Table1[[#This Row],[USD_Spend]]</f>
        <v>2.145904510451738</v>
      </c>
      <c r="U566" s="1" t="str">
        <f>Outlier_Check!C576</f>
        <v>Normal</v>
      </c>
    </row>
    <row r="567" spans="1:21" x14ac:dyDescent="0.35">
      <c r="A567" s="3" t="s">
        <v>102</v>
      </c>
      <c r="B567" s="1" t="s">
        <v>35</v>
      </c>
      <c r="C567" s="1" t="s">
        <v>29</v>
      </c>
      <c r="D567" s="1" t="s">
        <v>63</v>
      </c>
      <c r="E567" s="1" t="s">
        <v>30</v>
      </c>
      <c r="F567" s="1" t="s">
        <v>49</v>
      </c>
      <c r="G567" s="2">
        <v>45424</v>
      </c>
      <c r="H567" s="2">
        <v>45459</v>
      </c>
      <c r="I567" s="1">
        <v>38088.67</v>
      </c>
      <c r="J567" s="1">
        <v>0.72919999999999996</v>
      </c>
      <c r="K567" s="1">
        <v>27774.26</v>
      </c>
      <c r="L567" s="1">
        <v>362898</v>
      </c>
      <c r="M567" s="1">
        <v>24399</v>
      </c>
      <c r="N567" s="1">
        <v>172055.7</v>
      </c>
      <c r="O567" s="1">
        <v>2024</v>
      </c>
      <c r="P567" s="1" t="s">
        <v>45</v>
      </c>
      <c r="Q567" s="1" t="s">
        <v>46</v>
      </c>
      <c r="R567" s="4" t="s">
        <v>54</v>
      </c>
      <c r="S567" s="25">
        <f>Table1[[#This Row],[Clicks]]/Table1[[#This Row],[Impressions]]</f>
        <v>6.7233768166261601E-2</v>
      </c>
      <c r="T567" s="22">
        <f>Table1[[#This Row],[Sales]]/Table1[[#This Row],[USD_Spend]]</f>
        <v>6.1947897081686429</v>
      </c>
      <c r="U567" s="1" t="str">
        <f>Outlier_Check!C577</f>
        <v>Normal</v>
      </c>
    </row>
    <row r="568" spans="1:21" x14ac:dyDescent="0.35">
      <c r="A568" s="3" t="s">
        <v>100</v>
      </c>
      <c r="B568" s="1" t="s">
        <v>19</v>
      </c>
      <c r="C568" s="1" t="s">
        <v>36</v>
      </c>
      <c r="D568" s="1" t="s">
        <v>21</v>
      </c>
      <c r="E568" s="1" t="s">
        <v>38</v>
      </c>
      <c r="F568" s="1" t="s">
        <v>23</v>
      </c>
      <c r="G568" s="2">
        <v>45425</v>
      </c>
      <c r="H568" s="2">
        <v>45448</v>
      </c>
      <c r="I568" s="1">
        <v>4166.21</v>
      </c>
      <c r="J568" s="1">
        <v>0.36070000000000002</v>
      </c>
      <c r="K568" s="1">
        <v>1502.75</v>
      </c>
      <c r="L568" s="1">
        <v>485904</v>
      </c>
      <c r="M568" s="1">
        <v>2783</v>
      </c>
      <c r="N568" s="1">
        <v>58244.7</v>
      </c>
      <c r="O568" s="1">
        <v>2024</v>
      </c>
      <c r="P568" s="1" t="s">
        <v>45</v>
      </c>
      <c r="Q568" s="1" t="s">
        <v>46</v>
      </c>
      <c r="R568" s="4" t="s">
        <v>54</v>
      </c>
      <c r="S568" s="25">
        <f>Table1[[#This Row],[Clicks]]/Table1[[#This Row],[Impressions]]</f>
        <v>5.727468800421482E-3</v>
      </c>
      <c r="T568" s="22">
        <f>Table1[[#This Row],[Sales]]/Table1[[#This Row],[USD_Spend]]</f>
        <v>38.758742305772749</v>
      </c>
      <c r="U568" s="1" t="str">
        <f>Outlier_Check!C578</f>
        <v>Normal</v>
      </c>
    </row>
    <row r="569" spans="1:21" x14ac:dyDescent="0.35">
      <c r="A569" s="3" t="s">
        <v>92</v>
      </c>
      <c r="B569" s="1" t="s">
        <v>48</v>
      </c>
      <c r="C569" s="1" t="s">
        <v>29</v>
      </c>
      <c r="D569" s="1" t="s">
        <v>63</v>
      </c>
      <c r="E569" s="1" t="s">
        <v>38</v>
      </c>
      <c r="F569" s="1" t="s">
        <v>49</v>
      </c>
      <c r="G569" s="2">
        <v>45425</v>
      </c>
      <c r="H569" s="2">
        <v>45441</v>
      </c>
      <c r="I569" s="1">
        <v>25628.07</v>
      </c>
      <c r="J569" s="1">
        <v>0.14119999999999999</v>
      </c>
      <c r="K569" s="1">
        <v>3618.68</v>
      </c>
      <c r="L569" s="1">
        <v>604639</v>
      </c>
      <c r="M569" s="1">
        <v>14031</v>
      </c>
      <c r="N569" s="1">
        <v>50481.32</v>
      </c>
      <c r="O569" s="1">
        <v>2024</v>
      </c>
      <c r="P569" s="1" t="s">
        <v>45</v>
      </c>
      <c r="Q569" s="1" t="s">
        <v>46</v>
      </c>
      <c r="R569" s="4" t="s">
        <v>26</v>
      </c>
      <c r="S569" s="25">
        <f>Table1[[#This Row],[Clicks]]/Table1[[#This Row],[Impressions]]</f>
        <v>2.3205582173826036E-2</v>
      </c>
      <c r="T569" s="22">
        <f>Table1[[#This Row],[Sales]]/Table1[[#This Row],[USD_Spend]]</f>
        <v>13.950202836393382</v>
      </c>
      <c r="U569" s="1" t="str">
        <f>Outlier_Check!C579</f>
        <v>Normal</v>
      </c>
    </row>
    <row r="570" spans="1:21" x14ac:dyDescent="0.35">
      <c r="A570" s="3" t="s">
        <v>86</v>
      </c>
      <c r="B570" s="1" t="s">
        <v>48</v>
      </c>
      <c r="C570" s="1" t="s">
        <v>58</v>
      </c>
      <c r="D570" s="1" t="s">
        <v>21</v>
      </c>
      <c r="E570" s="1" t="s">
        <v>22</v>
      </c>
      <c r="F570" s="1" t="s">
        <v>44</v>
      </c>
      <c r="G570" s="2">
        <v>45425</v>
      </c>
      <c r="H570" s="2">
        <v>45435</v>
      </c>
      <c r="I570" s="1">
        <v>44375.49</v>
      </c>
      <c r="J570" s="1">
        <v>0.53120000000000001</v>
      </c>
      <c r="K570" s="1">
        <v>23572.26</v>
      </c>
      <c r="L570" s="1">
        <v>208667</v>
      </c>
      <c r="M570" s="1">
        <v>9271</v>
      </c>
      <c r="N570" s="1">
        <v>13746.08</v>
      </c>
      <c r="O570" s="1">
        <v>2024</v>
      </c>
      <c r="P570" s="1" t="s">
        <v>45</v>
      </c>
      <c r="Q570" s="1" t="s">
        <v>46</v>
      </c>
      <c r="R570" s="4" t="s">
        <v>41</v>
      </c>
      <c r="S570" s="25">
        <f>Table1[[#This Row],[Clicks]]/Table1[[#This Row],[Impressions]]</f>
        <v>4.4429641486195708E-2</v>
      </c>
      <c r="T570" s="22">
        <f>Table1[[#This Row],[Sales]]/Table1[[#This Row],[USD_Spend]]</f>
        <v>0.58314646113694657</v>
      </c>
      <c r="U570" s="1" t="str">
        <f>Outlier_Check!C580</f>
        <v>Normal</v>
      </c>
    </row>
    <row r="571" spans="1:21" x14ac:dyDescent="0.35">
      <c r="A571" s="3" t="s">
        <v>85</v>
      </c>
      <c r="B571" s="1" t="s">
        <v>19</v>
      </c>
      <c r="C571" s="1" t="s">
        <v>20</v>
      </c>
      <c r="D571" s="1" t="s">
        <v>59</v>
      </c>
      <c r="E571" s="1" t="s">
        <v>22</v>
      </c>
      <c r="F571" s="1" t="s">
        <v>52</v>
      </c>
      <c r="G571" s="2">
        <v>45426</v>
      </c>
      <c r="H571" s="2">
        <v>45444</v>
      </c>
      <c r="I571" s="1">
        <v>18386.419999999998</v>
      </c>
      <c r="J571" s="1">
        <v>0.31740000000000002</v>
      </c>
      <c r="K571" s="1">
        <v>5835.85</v>
      </c>
      <c r="L571" s="1">
        <v>303243</v>
      </c>
      <c r="M571" s="1">
        <v>39169</v>
      </c>
      <c r="N571" s="1">
        <v>176790.02</v>
      </c>
      <c r="O571" s="1">
        <v>2024</v>
      </c>
      <c r="P571" s="1" t="s">
        <v>45</v>
      </c>
      <c r="Q571" s="1" t="s">
        <v>46</v>
      </c>
      <c r="R571" s="4" t="s">
        <v>54</v>
      </c>
      <c r="S571" s="25">
        <f>Table1[[#This Row],[Clicks]]/Table1[[#This Row],[Impressions]]</f>
        <v>0.12916703765626905</v>
      </c>
      <c r="T571" s="22">
        <f>Table1[[#This Row],[Sales]]/Table1[[#This Row],[USD_Spend]]</f>
        <v>30.293790964469611</v>
      </c>
      <c r="U571" s="1" t="str">
        <f>Outlier_Check!C581</f>
        <v>Normal</v>
      </c>
    </row>
    <row r="572" spans="1:21" x14ac:dyDescent="0.35">
      <c r="A572" s="3" t="s">
        <v>120</v>
      </c>
      <c r="B572" s="1" t="s">
        <v>48</v>
      </c>
      <c r="C572" s="1" t="s">
        <v>69</v>
      </c>
      <c r="D572" s="1" t="s">
        <v>43</v>
      </c>
      <c r="E572" s="1" t="s">
        <v>30</v>
      </c>
      <c r="F572" s="1" t="s">
        <v>44</v>
      </c>
      <c r="G572" s="2">
        <v>45426</v>
      </c>
      <c r="H572" s="2">
        <v>45438</v>
      </c>
      <c r="I572" s="1">
        <v>44492.1</v>
      </c>
      <c r="J572" s="1">
        <v>0.53439999999999999</v>
      </c>
      <c r="K572" s="1">
        <v>23776.58</v>
      </c>
      <c r="L572" s="1">
        <v>76412</v>
      </c>
      <c r="M572" s="1">
        <v>17245</v>
      </c>
      <c r="N572" s="1">
        <v>165468.51999999999</v>
      </c>
      <c r="O572" s="1">
        <v>2024</v>
      </c>
      <c r="P572" s="1" t="s">
        <v>45</v>
      </c>
      <c r="Q572" s="1" t="s">
        <v>46</v>
      </c>
      <c r="R572" s="4" t="s">
        <v>26</v>
      </c>
      <c r="S572" s="25">
        <f>Table1[[#This Row],[Clicks]]/Table1[[#This Row],[Impressions]]</f>
        <v>0.22568444746898392</v>
      </c>
      <c r="T572" s="22">
        <f>Table1[[#This Row],[Sales]]/Table1[[#This Row],[USD_Spend]]</f>
        <v>6.9593070155590073</v>
      </c>
      <c r="U572" s="1" t="str">
        <f>Outlier_Check!C582</f>
        <v>Normal</v>
      </c>
    </row>
    <row r="573" spans="1:21" x14ac:dyDescent="0.35">
      <c r="A573" s="3" t="s">
        <v>97</v>
      </c>
      <c r="B573" s="1" t="s">
        <v>48</v>
      </c>
      <c r="C573" s="1" t="s">
        <v>20</v>
      </c>
      <c r="D573" s="1" t="s">
        <v>43</v>
      </c>
      <c r="E573" s="1" t="s">
        <v>22</v>
      </c>
      <c r="F573" s="1" t="s">
        <v>52</v>
      </c>
      <c r="G573" s="2">
        <v>45427</v>
      </c>
      <c r="H573" s="2">
        <v>45487</v>
      </c>
      <c r="I573" s="1">
        <v>13128.01</v>
      </c>
      <c r="J573" s="1">
        <v>0.14019999999999999</v>
      </c>
      <c r="K573" s="1">
        <v>1840.55</v>
      </c>
      <c r="L573" s="1">
        <v>868706</v>
      </c>
      <c r="M573" s="1">
        <v>1239</v>
      </c>
      <c r="N573" s="1">
        <v>143980.35</v>
      </c>
      <c r="O573" s="1">
        <v>2024</v>
      </c>
      <c r="P573" s="1" t="s">
        <v>45</v>
      </c>
      <c r="Q573" s="1" t="s">
        <v>46</v>
      </c>
      <c r="R573" s="4" t="s">
        <v>26</v>
      </c>
      <c r="S573" s="25">
        <f>Table1[[#This Row],[Clicks]]/Table1[[#This Row],[Impressions]]</f>
        <v>1.4262592868012883E-3</v>
      </c>
      <c r="T573" s="22">
        <f>Table1[[#This Row],[Sales]]/Table1[[#This Row],[USD_Spend]]</f>
        <v>78.226807204368271</v>
      </c>
      <c r="U573" s="1" t="str">
        <f>Outlier_Check!C583</f>
        <v>Normal</v>
      </c>
    </row>
    <row r="574" spans="1:21" x14ac:dyDescent="0.35">
      <c r="A574" s="3" t="s">
        <v>112</v>
      </c>
      <c r="B574" s="1" t="s">
        <v>48</v>
      </c>
      <c r="C574" s="1" t="s">
        <v>69</v>
      </c>
      <c r="D574" s="1" t="s">
        <v>51</v>
      </c>
      <c r="E574" s="1" t="s">
        <v>30</v>
      </c>
      <c r="F574" s="1" t="s">
        <v>23</v>
      </c>
      <c r="G574" s="2">
        <v>45427</v>
      </c>
      <c r="H574" s="2">
        <v>45470</v>
      </c>
      <c r="I574" s="1">
        <v>22859.07</v>
      </c>
      <c r="J574" s="1">
        <v>1.153</v>
      </c>
      <c r="K574" s="1">
        <v>26356.51</v>
      </c>
      <c r="L574" s="1">
        <v>507635</v>
      </c>
      <c r="M574" s="1">
        <v>38561</v>
      </c>
      <c r="N574" s="1">
        <v>140076.76</v>
      </c>
      <c r="O574" s="1">
        <v>2024</v>
      </c>
      <c r="P574" s="1" t="s">
        <v>45</v>
      </c>
      <c r="Q574" s="1" t="s">
        <v>46</v>
      </c>
      <c r="R574" s="4" t="s">
        <v>41</v>
      </c>
      <c r="S574" s="25">
        <f>Table1[[#This Row],[Clicks]]/Table1[[#This Row],[Impressions]]</f>
        <v>7.5962059353669467E-2</v>
      </c>
      <c r="T574" s="22">
        <f>Table1[[#This Row],[Sales]]/Table1[[#This Row],[USD_Spend]]</f>
        <v>5.3146930302987769</v>
      </c>
      <c r="U574" s="1" t="str">
        <f>Outlier_Check!C584</f>
        <v>Normal</v>
      </c>
    </row>
    <row r="575" spans="1:21" x14ac:dyDescent="0.35">
      <c r="A575" s="3" t="s">
        <v>71</v>
      </c>
      <c r="B575" s="1" t="s">
        <v>19</v>
      </c>
      <c r="C575" s="1" t="s">
        <v>36</v>
      </c>
      <c r="D575" s="1" t="s">
        <v>63</v>
      </c>
      <c r="E575" s="1" t="s">
        <v>22</v>
      </c>
      <c r="F575" s="1" t="s">
        <v>49</v>
      </c>
      <c r="G575" s="2">
        <v>45427</v>
      </c>
      <c r="H575" s="2">
        <v>45467</v>
      </c>
      <c r="I575" s="1">
        <v>38150.07</v>
      </c>
      <c r="J575" s="1">
        <v>0.83179999999999998</v>
      </c>
      <c r="K575" s="1">
        <v>31733.23</v>
      </c>
      <c r="L575" s="1">
        <v>687278</v>
      </c>
      <c r="M575" s="1">
        <v>46751</v>
      </c>
      <c r="N575" s="1">
        <v>125251.23</v>
      </c>
      <c r="O575" s="1">
        <v>2024</v>
      </c>
      <c r="P575" s="1" t="s">
        <v>45</v>
      </c>
      <c r="Q575" s="1" t="s">
        <v>46</v>
      </c>
      <c r="R575" s="4" t="s">
        <v>61</v>
      </c>
      <c r="S575" s="25">
        <f>Table1[[#This Row],[Clicks]]/Table1[[#This Row],[Impressions]]</f>
        <v>6.8023419926143427E-2</v>
      </c>
      <c r="T575" s="22">
        <f>Table1[[#This Row],[Sales]]/Table1[[#This Row],[USD_Spend]]</f>
        <v>3.9470053946604238</v>
      </c>
      <c r="U575" s="1" t="str">
        <f>Outlier_Check!C585</f>
        <v>Normal</v>
      </c>
    </row>
    <row r="576" spans="1:21" x14ac:dyDescent="0.35">
      <c r="A576" s="3" t="s">
        <v>67</v>
      </c>
      <c r="B576" s="1" t="s">
        <v>19</v>
      </c>
      <c r="C576" s="1" t="s">
        <v>36</v>
      </c>
      <c r="D576" s="1" t="s">
        <v>51</v>
      </c>
      <c r="E576" s="1" t="s">
        <v>38</v>
      </c>
      <c r="F576" s="1" t="s">
        <v>23</v>
      </c>
      <c r="G576" s="2">
        <v>45427</v>
      </c>
      <c r="H576" s="2">
        <v>45433</v>
      </c>
      <c r="I576" s="1">
        <v>6481.52</v>
      </c>
      <c r="J576" s="1">
        <v>0.44190000000000002</v>
      </c>
      <c r="K576" s="1">
        <v>2864.18</v>
      </c>
      <c r="L576" s="1">
        <v>882064</v>
      </c>
      <c r="M576" s="1">
        <v>20253</v>
      </c>
      <c r="N576" s="1">
        <v>63665.82</v>
      </c>
      <c r="O576" s="1">
        <v>2024</v>
      </c>
      <c r="P576" s="1" t="s">
        <v>45</v>
      </c>
      <c r="Q576" s="1" t="s">
        <v>46</v>
      </c>
      <c r="R576" s="4" t="s">
        <v>61</v>
      </c>
      <c r="S576" s="25">
        <f>Table1[[#This Row],[Clicks]]/Table1[[#This Row],[Impressions]]</f>
        <v>2.2960918935587441E-2</v>
      </c>
      <c r="T576" s="22">
        <f>Table1[[#This Row],[Sales]]/Table1[[#This Row],[USD_Spend]]</f>
        <v>22.228288724870644</v>
      </c>
      <c r="U576" s="1" t="str">
        <f>Outlier_Check!C586</f>
        <v>Normal</v>
      </c>
    </row>
    <row r="577" spans="1:21" x14ac:dyDescent="0.35">
      <c r="A577" s="3" t="s">
        <v>79</v>
      </c>
      <c r="B577" s="1" t="s">
        <v>48</v>
      </c>
      <c r="C577" s="1" t="s">
        <v>20</v>
      </c>
      <c r="D577" s="1" t="s">
        <v>63</v>
      </c>
      <c r="E577" s="1" t="s">
        <v>22</v>
      </c>
      <c r="F577" s="1" t="s">
        <v>31</v>
      </c>
      <c r="G577" s="2">
        <v>45428</v>
      </c>
      <c r="H577" s="2">
        <v>45458</v>
      </c>
      <c r="I577" s="1">
        <v>37475.15</v>
      </c>
      <c r="J577" s="1">
        <v>3.1899999999999998E-2</v>
      </c>
      <c r="K577" s="1">
        <v>1195.46</v>
      </c>
      <c r="L577" s="1">
        <v>727552</v>
      </c>
      <c r="M577" s="1">
        <v>23162</v>
      </c>
      <c r="N577" s="1">
        <v>92067.64</v>
      </c>
      <c r="O577" s="1">
        <v>2024</v>
      </c>
      <c r="P577" s="1" t="s">
        <v>45</v>
      </c>
      <c r="Q577" s="1" t="s">
        <v>46</v>
      </c>
      <c r="R577" s="4" t="s">
        <v>54</v>
      </c>
      <c r="S577" s="25">
        <f>Table1[[#This Row],[Clicks]]/Table1[[#This Row],[Impressions]]</f>
        <v>3.1835525158339199E-2</v>
      </c>
      <c r="T577" s="22">
        <f>Table1[[#This Row],[Sales]]/Table1[[#This Row],[USD_Spend]]</f>
        <v>77.0144044970137</v>
      </c>
      <c r="U577" s="1" t="str">
        <f>Outlier_Check!C587</f>
        <v>Normal</v>
      </c>
    </row>
    <row r="578" spans="1:21" x14ac:dyDescent="0.35">
      <c r="A578" s="3" t="s">
        <v>98</v>
      </c>
      <c r="B578" s="1" t="s">
        <v>48</v>
      </c>
      <c r="C578" s="1" t="s">
        <v>69</v>
      </c>
      <c r="D578" s="1" t="s">
        <v>43</v>
      </c>
      <c r="E578" s="1" t="s">
        <v>30</v>
      </c>
      <c r="F578" s="1" t="s">
        <v>44</v>
      </c>
      <c r="G578" s="2">
        <v>45429</v>
      </c>
      <c r="H578" s="2">
        <v>45479</v>
      </c>
      <c r="I578" s="1">
        <v>45575.34</v>
      </c>
      <c r="J578" s="1">
        <v>9.7500000000000003E-2</v>
      </c>
      <c r="K578" s="1">
        <v>4443.6000000000004</v>
      </c>
      <c r="L578" s="1">
        <v>94714</v>
      </c>
      <c r="M578" s="1">
        <v>21209</v>
      </c>
      <c r="N578" s="1">
        <v>154032.87</v>
      </c>
      <c r="O578" s="1">
        <v>2024</v>
      </c>
      <c r="P578" s="1" t="s">
        <v>45</v>
      </c>
      <c r="Q578" s="1" t="s">
        <v>46</v>
      </c>
      <c r="R578" s="4" t="s">
        <v>41</v>
      </c>
      <c r="S578" s="25">
        <f>Table1[[#This Row],[Clicks]]/Table1[[#This Row],[Impressions]]</f>
        <v>0.22392676900986128</v>
      </c>
      <c r="T578" s="22">
        <f>Table1[[#This Row],[Sales]]/Table1[[#This Row],[USD_Spend]]</f>
        <v>34.663981906562242</v>
      </c>
      <c r="U578" s="1" t="str">
        <f>Outlier_Check!C588</f>
        <v>Normal</v>
      </c>
    </row>
    <row r="579" spans="1:21" x14ac:dyDescent="0.35">
      <c r="A579" s="3" t="s">
        <v>57</v>
      </c>
      <c r="B579" s="1" t="s">
        <v>19</v>
      </c>
      <c r="C579" s="1" t="s">
        <v>29</v>
      </c>
      <c r="D579" s="1" t="s">
        <v>51</v>
      </c>
      <c r="E579" s="1" t="s">
        <v>38</v>
      </c>
      <c r="F579" s="1" t="s">
        <v>52</v>
      </c>
      <c r="G579" s="2">
        <v>45430</v>
      </c>
      <c r="H579" s="2">
        <v>45447</v>
      </c>
      <c r="I579" s="1">
        <v>5152.45</v>
      </c>
      <c r="J579" s="1">
        <v>0.622</v>
      </c>
      <c r="K579" s="1">
        <v>3204.82</v>
      </c>
      <c r="L579" s="1">
        <v>171177</v>
      </c>
      <c r="M579" s="1">
        <v>27016</v>
      </c>
      <c r="N579" s="1">
        <v>35341.449999999997</v>
      </c>
      <c r="O579" s="1">
        <v>2024</v>
      </c>
      <c r="P579" s="1" t="s">
        <v>45</v>
      </c>
      <c r="Q579" s="1" t="s">
        <v>46</v>
      </c>
      <c r="R579" s="4" t="s">
        <v>54</v>
      </c>
      <c r="S579" s="25">
        <f>Table1[[#This Row],[Clicks]]/Table1[[#This Row],[Impressions]]</f>
        <v>0.15782494143488904</v>
      </c>
      <c r="T579" s="22">
        <f>Table1[[#This Row],[Sales]]/Table1[[#This Row],[USD_Spend]]</f>
        <v>11.027592813324928</v>
      </c>
      <c r="U579" s="1" t="str">
        <f>Outlier_Check!C589</f>
        <v>Normal</v>
      </c>
    </row>
    <row r="580" spans="1:21" x14ac:dyDescent="0.35">
      <c r="A580" s="3" t="s">
        <v>91</v>
      </c>
      <c r="B580" s="1" t="s">
        <v>28</v>
      </c>
      <c r="C580" s="1" t="s">
        <v>36</v>
      </c>
      <c r="D580" s="1" t="s">
        <v>21</v>
      </c>
      <c r="E580" s="1" t="s">
        <v>22</v>
      </c>
      <c r="F580" s="1" t="s">
        <v>49</v>
      </c>
      <c r="G580" s="2">
        <v>45431</v>
      </c>
      <c r="H580" s="2">
        <v>45468</v>
      </c>
      <c r="I580" s="1">
        <v>37867.11</v>
      </c>
      <c r="J580" s="1">
        <v>0.46820000000000001</v>
      </c>
      <c r="K580" s="1">
        <v>17729.38</v>
      </c>
      <c r="L580" s="1">
        <v>130671</v>
      </c>
      <c r="M580" s="1">
        <v>17748</v>
      </c>
      <c r="N580" s="1">
        <v>19854.830000000002</v>
      </c>
      <c r="O580" s="1">
        <v>2024</v>
      </c>
      <c r="P580" s="1" t="s">
        <v>45</v>
      </c>
      <c r="Q580" s="1" t="s">
        <v>46</v>
      </c>
      <c r="R580" s="4" t="s">
        <v>61</v>
      </c>
      <c r="S580" s="25">
        <f>Table1[[#This Row],[Clicks]]/Table1[[#This Row],[Impressions]]</f>
        <v>0.13582202631035195</v>
      </c>
      <c r="T580" s="22">
        <f>Table1[[#This Row],[Sales]]/Table1[[#This Row],[USD_Spend]]</f>
        <v>1.1198829287882599</v>
      </c>
      <c r="U580" s="1" t="str">
        <f>Outlier_Check!C590</f>
        <v>Normal</v>
      </c>
    </row>
    <row r="581" spans="1:21" x14ac:dyDescent="0.35">
      <c r="A581" s="3" t="s">
        <v>103</v>
      </c>
      <c r="B581" s="1" t="s">
        <v>19</v>
      </c>
      <c r="C581" s="1" t="s">
        <v>69</v>
      </c>
      <c r="D581" s="1" t="s">
        <v>43</v>
      </c>
      <c r="E581" s="1" t="s">
        <v>22</v>
      </c>
      <c r="F581" s="1" t="s">
        <v>23</v>
      </c>
      <c r="G581" s="2">
        <v>45432</v>
      </c>
      <c r="H581" s="2">
        <v>45476</v>
      </c>
      <c r="I581" s="1">
        <v>3306.57</v>
      </c>
      <c r="J581" s="1">
        <v>0.36509999999999998</v>
      </c>
      <c r="K581" s="1">
        <v>1207.23</v>
      </c>
      <c r="L581" s="1">
        <v>486663</v>
      </c>
      <c r="M581" s="1">
        <v>32431</v>
      </c>
      <c r="N581" s="1">
        <v>212924.72</v>
      </c>
      <c r="O581" s="1">
        <v>2024</v>
      </c>
      <c r="P581" s="1" t="s">
        <v>45</v>
      </c>
      <c r="Q581" s="1" t="s">
        <v>46</v>
      </c>
      <c r="R581" s="4" t="s">
        <v>61</v>
      </c>
      <c r="S581" s="25">
        <f>Table1[[#This Row],[Clicks]]/Table1[[#This Row],[Impressions]]</f>
        <v>6.6639543174640353E-2</v>
      </c>
      <c r="T581" s="22">
        <f>Table1[[#This Row],[Sales]]/Table1[[#This Row],[USD_Spend]]</f>
        <v>176.37460964356418</v>
      </c>
      <c r="U581" s="1" t="str">
        <f>Outlier_Check!C591</f>
        <v>Normal</v>
      </c>
    </row>
    <row r="582" spans="1:21" x14ac:dyDescent="0.35">
      <c r="A582" s="3" t="s">
        <v>55</v>
      </c>
      <c r="B582" s="1" t="s">
        <v>28</v>
      </c>
      <c r="C582" s="1" t="s">
        <v>29</v>
      </c>
      <c r="D582" s="1" t="s">
        <v>43</v>
      </c>
      <c r="E582" s="1" t="s">
        <v>38</v>
      </c>
      <c r="F582" s="1" t="s">
        <v>31</v>
      </c>
      <c r="G582" s="2">
        <v>45432</v>
      </c>
      <c r="H582" s="2">
        <v>45444</v>
      </c>
      <c r="I582" s="1">
        <v>19854.27</v>
      </c>
      <c r="J582" s="1">
        <v>0.55379999999999996</v>
      </c>
      <c r="K582" s="1">
        <v>10995.29</v>
      </c>
      <c r="L582" s="1">
        <v>781934</v>
      </c>
      <c r="M582" s="1">
        <v>20547</v>
      </c>
      <c r="N582" s="1">
        <v>173326.41</v>
      </c>
      <c r="O582" s="1">
        <v>2024</v>
      </c>
      <c r="P582" s="1" t="s">
        <v>45</v>
      </c>
      <c r="Q582" s="1" t="s">
        <v>46</v>
      </c>
      <c r="R582" s="4" t="s">
        <v>54</v>
      </c>
      <c r="S582" s="25">
        <f>Table1[[#This Row],[Clicks]]/Table1[[#This Row],[Impressions]]</f>
        <v>2.6277153826282013E-2</v>
      </c>
      <c r="T582" s="22">
        <f>Table1[[#This Row],[Sales]]/Table1[[#This Row],[USD_Spend]]</f>
        <v>15.763696091690168</v>
      </c>
      <c r="U582" s="1" t="str">
        <f>Outlier_Check!C592</f>
        <v>Normal</v>
      </c>
    </row>
    <row r="583" spans="1:21" x14ac:dyDescent="0.35">
      <c r="A583" s="3" t="s">
        <v>47</v>
      </c>
      <c r="B583" s="1" t="s">
        <v>19</v>
      </c>
      <c r="C583" s="1" t="s">
        <v>58</v>
      </c>
      <c r="D583" s="1" t="s">
        <v>59</v>
      </c>
      <c r="E583" s="1" t="s">
        <v>38</v>
      </c>
      <c r="F583" s="1" t="s">
        <v>31</v>
      </c>
      <c r="G583" s="2">
        <v>45433</v>
      </c>
      <c r="H583" s="2">
        <v>45476</v>
      </c>
      <c r="I583" s="1">
        <v>44234.63</v>
      </c>
      <c r="J583" s="1">
        <v>0.78859999999999997</v>
      </c>
      <c r="K583" s="1">
        <v>34883.43</v>
      </c>
      <c r="L583" s="1">
        <v>503446</v>
      </c>
      <c r="M583" s="1">
        <v>18826</v>
      </c>
      <c r="N583" s="1">
        <v>136489.23000000001</v>
      </c>
      <c r="O583" s="1">
        <v>2024</v>
      </c>
      <c r="P583" s="1" t="s">
        <v>45</v>
      </c>
      <c r="Q583" s="1" t="s">
        <v>46</v>
      </c>
      <c r="R583" s="4" t="s">
        <v>54</v>
      </c>
      <c r="S583" s="25">
        <f>Table1[[#This Row],[Clicks]]/Table1[[#This Row],[Impressions]]</f>
        <v>3.7394278631670524E-2</v>
      </c>
      <c r="T583" s="22">
        <f>Table1[[#This Row],[Sales]]/Table1[[#This Row],[USD_Spend]]</f>
        <v>3.9127238921172607</v>
      </c>
      <c r="U583" s="1" t="str">
        <f>Outlier_Check!C593</f>
        <v>Normal</v>
      </c>
    </row>
    <row r="584" spans="1:21" x14ac:dyDescent="0.35">
      <c r="A584" s="3" t="s">
        <v>109</v>
      </c>
      <c r="B584" s="1" t="s">
        <v>48</v>
      </c>
      <c r="C584" s="1" t="s">
        <v>29</v>
      </c>
      <c r="D584" s="1" t="s">
        <v>51</v>
      </c>
      <c r="E584" s="1" t="s">
        <v>30</v>
      </c>
      <c r="F584" s="1" t="s">
        <v>23</v>
      </c>
      <c r="G584" s="2">
        <v>45433</v>
      </c>
      <c r="H584" s="2">
        <v>45456</v>
      </c>
      <c r="I584" s="1">
        <v>35502.879999999997</v>
      </c>
      <c r="J584" s="1">
        <v>0.45829999999999999</v>
      </c>
      <c r="K584" s="1">
        <v>16270.97</v>
      </c>
      <c r="L584" s="1">
        <v>859566</v>
      </c>
      <c r="M584" s="1">
        <v>21932</v>
      </c>
      <c r="N584" s="1">
        <v>42412.05</v>
      </c>
      <c r="O584" s="1">
        <v>2024</v>
      </c>
      <c r="P584" s="1" t="s">
        <v>45</v>
      </c>
      <c r="Q584" s="1" t="s">
        <v>46</v>
      </c>
      <c r="R584" s="4" t="s">
        <v>61</v>
      </c>
      <c r="S584" s="25">
        <f>Table1[[#This Row],[Clicks]]/Table1[[#This Row],[Impressions]]</f>
        <v>2.5515201857681667E-2</v>
      </c>
      <c r="T584" s="22">
        <f>Table1[[#This Row],[Sales]]/Table1[[#This Row],[USD_Spend]]</f>
        <v>2.6066085795745431</v>
      </c>
      <c r="U584" s="1" t="str">
        <f>Outlier_Check!C594</f>
        <v>Normal</v>
      </c>
    </row>
    <row r="585" spans="1:21" x14ac:dyDescent="0.35">
      <c r="A585" s="3" t="s">
        <v>97</v>
      </c>
      <c r="B585" s="1" t="s">
        <v>19</v>
      </c>
      <c r="C585" s="1" t="s">
        <v>36</v>
      </c>
      <c r="D585" s="1" t="s">
        <v>59</v>
      </c>
      <c r="E585" s="1" t="s">
        <v>30</v>
      </c>
      <c r="F585" s="1" t="s">
        <v>44</v>
      </c>
      <c r="G585" s="2">
        <v>45434</v>
      </c>
      <c r="H585" s="2">
        <v>45452</v>
      </c>
      <c r="I585" s="1">
        <v>9380.43</v>
      </c>
      <c r="J585" s="1">
        <v>0.25230000000000002</v>
      </c>
      <c r="K585" s="1">
        <v>2366.6799999999998</v>
      </c>
      <c r="L585" s="1">
        <v>677837</v>
      </c>
      <c r="M585" s="1">
        <v>18973</v>
      </c>
      <c r="N585" s="1">
        <v>177934.07</v>
      </c>
      <c r="O585" s="1">
        <v>2024</v>
      </c>
      <c r="P585" s="1" t="s">
        <v>45</v>
      </c>
      <c r="Q585" s="1" t="s">
        <v>46</v>
      </c>
      <c r="R585" s="4" t="s">
        <v>54</v>
      </c>
      <c r="S585" s="25">
        <f>Table1[[#This Row],[Clicks]]/Table1[[#This Row],[Impressions]]</f>
        <v>2.7990505091932131E-2</v>
      </c>
      <c r="T585" s="22">
        <f>Table1[[#This Row],[Sales]]/Table1[[#This Row],[USD_Spend]]</f>
        <v>75.182986293034972</v>
      </c>
      <c r="U585" s="1" t="str">
        <f>Outlier_Check!C595</f>
        <v>Normal</v>
      </c>
    </row>
    <row r="586" spans="1:21" x14ac:dyDescent="0.35">
      <c r="A586" s="3" t="s">
        <v>90</v>
      </c>
      <c r="B586" s="1" t="s">
        <v>28</v>
      </c>
      <c r="C586" s="1" t="s">
        <v>29</v>
      </c>
      <c r="D586" s="1" t="s">
        <v>21</v>
      </c>
      <c r="E586" s="1" t="s">
        <v>22</v>
      </c>
      <c r="F586" s="1" t="s">
        <v>52</v>
      </c>
      <c r="G586" s="2">
        <v>45435</v>
      </c>
      <c r="H586" s="2">
        <v>45445</v>
      </c>
      <c r="I586" s="1">
        <v>12665.77</v>
      </c>
      <c r="J586" s="1">
        <v>0.1555</v>
      </c>
      <c r="K586" s="1">
        <v>1969.53</v>
      </c>
      <c r="L586" s="1">
        <v>855872</v>
      </c>
      <c r="M586" s="1">
        <v>20639</v>
      </c>
      <c r="N586" s="1">
        <v>85675.05</v>
      </c>
      <c r="O586" s="1">
        <v>2024</v>
      </c>
      <c r="P586" s="1" t="s">
        <v>45</v>
      </c>
      <c r="Q586" s="1" t="s">
        <v>46</v>
      </c>
      <c r="R586" s="4" t="s">
        <v>26</v>
      </c>
      <c r="S586" s="25">
        <f>Table1[[#This Row],[Clicks]]/Table1[[#This Row],[Impressions]]</f>
        <v>2.4114587227996708E-2</v>
      </c>
      <c r="T586" s="22">
        <f>Table1[[#This Row],[Sales]]/Table1[[#This Row],[USD_Spend]]</f>
        <v>43.500251328997273</v>
      </c>
      <c r="U586" s="1" t="str">
        <f>Outlier_Check!C596</f>
        <v>Normal</v>
      </c>
    </row>
    <row r="587" spans="1:21" x14ac:dyDescent="0.35">
      <c r="A587" s="3" t="s">
        <v>84</v>
      </c>
      <c r="B587" s="1" t="s">
        <v>35</v>
      </c>
      <c r="C587" s="1" t="s">
        <v>36</v>
      </c>
      <c r="D587" s="1" t="s">
        <v>21</v>
      </c>
      <c r="E587" s="1" t="s">
        <v>30</v>
      </c>
      <c r="F587" s="1" t="s">
        <v>23</v>
      </c>
      <c r="G587" s="2">
        <v>45436</v>
      </c>
      <c r="H587" s="2">
        <v>45488</v>
      </c>
      <c r="I587" s="1">
        <v>22102.1</v>
      </c>
      <c r="J587" s="1">
        <v>0.16370000000000001</v>
      </c>
      <c r="K587" s="1">
        <v>3618.11</v>
      </c>
      <c r="L587" s="1">
        <v>568453</v>
      </c>
      <c r="M587" s="1">
        <v>46215</v>
      </c>
      <c r="N587" s="1">
        <v>61377.13</v>
      </c>
      <c r="O587" s="1">
        <v>2024</v>
      </c>
      <c r="P587" s="1" t="s">
        <v>45</v>
      </c>
      <c r="Q587" s="1" t="s">
        <v>46</v>
      </c>
      <c r="R587" s="4" t="s">
        <v>54</v>
      </c>
      <c r="S587" s="25">
        <f>Table1[[#This Row],[Clicks]]/Table1[[#This Row],[Impressions]]</f>
        <v>8.1299597328187201E-2</v>
      </c>
      <c r="T587" s="22">
        <f>Table1[[#This Row],[Sales]]/Table1[[#This Row],[USD_Spend]]</f>
        <v>16.963865111895437</v>
      </c>
      <c r="U587" s="1" t="str">
        <f>Outlier_Check!C597</f>
        <v>Normal</v>
      </c>
    </row>
    <row r="588" spans="1:21" x14ac:dyDescent="0.35">
      <c r="A588" s="3" t="s">
        <v>79</v>
      </c>
      <c r="B588" s="1" t="s">
        <v>19</v>
      </c>
      <c r="C588" s="1" t="s">
        <v>36</v>
      </c>
      <c r="D588" s="1" t="s">
        <v>51</v>
      </c>
      <c r="E588" s="1" t="s">
        <v>30</v>
      </c>
      <c r="F588" s="1" t="s">
        <v>49</v>
      </c>
      <c r="G588" s="2">
        <v>45437</v>
      </c>
      <c r="H588" s="2">
        <v>45485</v>
      </c>
      <c r="I588" s="1">
        <v>2310.6999999999998</v>
      </c>
      <c r="J588" s="1">
        <v>0.22309999999999999</v>
      </c>
      <c r="K588" s="1">
        <v>515.52</v>
      </c>
      <c r="L588" s="1">
        <v>643952</v>
      </c>
      <c r="M588" s="1">
        <v>44612</v>
      </c>
      <c r="N588" s="1">
        <v>85104.19</v>
      </c>
      <c r="O588" s="1">
        <v>2024</v>
      </c>
      <c r="P588" s="1" t="s">
        <v>45</v>
      </c>
      <c r="Q588" s="1" t="s">
        <v>46</v>
      </c>
      <c r="R588" s="4" t="s">
        <v>54</v>
      </c>
      <c r="S588" s="25">
        <f>Table1[[#This Row],[Clicks]]/Table1[[#This Row],[Impressions]]</f>
        <v>6.9278455537058664E-2</v>
      </c>
      <c r="T588" s="22">
        <f>Table1[[#This Row],[Sales]]/Table1[[#This Row],[USD_Spend]]</f>
        <v>165.08416744258227</v>
      </c>
      <c r="U588" s="1" t="str">
        <f>Outlier_Check!C598</f>
        <v>Normal</v>
      </c>
    </row>
    <row r="589" spans="1:21" x14ac:dyDescent="0.35">
      <c r="A589" s="3" t="s">
        <v>67</v>
      </c>
      <c r="B589" s="1" t="s">
        <v>48</v>
      </c>
      <c r="C589" s="1" t="s">
        <v>20</v>
      </c>
      <c r="D589" s="1" t="s">
        <v>63</v>
      </c>
      <c r="E589" s="1" t="s">
        <v>22</v>
      </c>
      <c r="F589" s="1" t="s">
        <v>23</v>
      </c>
      <c r="G589" s="2">
        <v>45437</v>
      </c>
      <c r="H589" s="2">
        <v>45461</v>
      </c>
      <c r="I589" s="1">
        <v>25371.14</v>
      </c>
      <c r="J589" s="1">
        <v>0.1172</v>
      </c>
      <c r="K589" s="1">
        <v>2973.5</v>
      </c>
      <c r="L589" s="1">
        <v>422344</v>
      </c>
      <c r="M589" s="1">
        <v>33224</v>
      </c>
      <c r="N589" s="1">
        <v>117021.51</v>
      </c>
      <c r="O589" s="1">
        <v>2024</v>
      </c>
      <c r="P589" s="1" t="s">
        <v>45</v>
      </c>
      <c r="Q589" s="1" t="s">
        <v>46</v>
      </c>
      <c r="R589" s="4" t="s">
        <v>41</v>
      </c>
      <c r="S589" s="25">
        <f>Table1[[#This Row],[Clicks]]/Table1[[#This Row],[Impressions]]</f>
        <v>7.8665732199344612E-2</v>
      </c>
      <c r="T589" s="22">
        <f>Table1[[#This Row],[Sales]]/Table1[[#This Row],[USD_Spend]]</f>
        <v>39.354804102909029</v>
      </c>
      <c r="U589" s="1" t="str">
        <f>Outlier_Check!C599</f>
        <v>Normal</v>
      </c>
    </row>
    <row r="590" spans="1:21" x14ac:dyDescent="0.35">
      <c r="A590" s="3" t="s">
        <v>101</v>
      </c>
      <c r="B590" s="1" t="s">
        <v>35</v>
      </c>
      <c r="C590" s="1" t="s">
        <v>69</v>
      </c>
      <c r="D590" s="1" t="s">
        <v>37</v>
      </c>
      <c r="E590" s="1" t="s">
        <v>22</v>
      </c>
      <c r="F590" s="1" t="s">
        <v>52</v>
      </c>
      <c r="G590" s="2">
        <v>45437</v>
      </c>
      <c r="H590" s="2">
        <v>45448</v>
      </c>
      <c r="I590" s="1">
        <v>23285.59</v>
      </c>
      <c r="J590" s="1">
        <v>0.21199999999999999</v>
      </c>
      <c r="K590" s="1">
        <v>4936.55</v>
      </c>
      <c r="L590" s="1">
        <v>319967</v>
      </c>
      <c r="M590" s="1">
        <v>10682</v>
      </c>
      <c r="N590" s="1">
        <v>21699.65</v>
      </c>
      <c r="O590" s="1">
        <v>2024</v>
      </c>
      <c r="P590" s="1" t="s">
        <v>45</v>
      </c>
      <c r="Q590" s="1" t="s">
        <v>46</v>
      </c>
      <c r="R590" s="4" t="s">
        <v>54</v>
      </c>
      <c r="S590" s="25">
        <f>Table1[[#This Row],[Clicks]]/Table1[[#This Row],[Impressions]]</f>
        <v>3.3384692796444633E-2</v>
      </c>
      <c r="T590" s="22">
        <f>Table1[[#This Row],[Sales]]/Table1[[#This Row],[USD_Spend]]</f>
        <v>4.3957115799495599</v>
      </c>
      <c r="U590" s="1" t="str">
        <f>Outlier_Check!C600</f>
        <v>Normal</v>
      </c>
    </row>
    <row r="591" spans="1:21" x14ac:dyDescent="0.35">
      <c r="A591" s="3" t="s">
        <v>117</v>
      </c>
      <c r="B591" s="1" t="s">
        <v>48</v>
      </c>
      <c r="C591" s="1" t="s">
        <v>20</v>
      </c>
      <c r="D591" s="1" t="s">
        <v>59</v>
      </c>
      <c r="E591" s="1" t="s">
        <v>30</v>
      </c>
      <c r="F591" s="1" t="s">
        <v>52</v>
      </c>
      <c r="G591" s="2">
        <v>45437</v>
      </c>
      <c r="H591" s="2">
        <v>45442</v>
      </c>
      <c r="I591" s="1">
        <v>26987.85</v>
      </c>
      <c r="J591" s="1">
        <v>6.7799999999999999E-2</v>
      </c>
      <c r="K591" s="1">
        <v>1829.78</v>
      </c>
      <c r="L591" s="1">
        <v>990741</v>
      </c>
      <c r="M591" s="1">
        <v>28464</v>
      </c>
      <c r="N591" s="1">
        <v>210509.95</v>
      </c>
      <c r="O591" s="1">
        <v>2024</v>
      </c>
      <c r="P591" s="1" t="s">
        <v>45</v>
      </c>
      <c r="Q591" s="1" t="s">
        <v>46</v>
      </c>
      <c r="R591" s="4" t="s">
        <v>26</v>
      </c>
      <c r="S591" s="25">
        <f>Table1[[#This Row],[Clicks]]/Table1[[#This Row],[Impressions]]</f>
        <v>2.8730011173455021E-2</v>
      </c>
      <c r="T591" s="22">
        <f>Table1[[#This Row],[Sales]]/Table1[[#This Row],[USD_Spend]]</f>
        <v>115.04659030047328</v>
      </c>
      <c r="U591" s="1" t="str">
        <f>Outlier_Check!C601</f>
        <v>Normal</v>
      </c>
    </row>
    <row r="592" spans="1:21" x14ac:dyDescent="0.35">
      <c r="A592" s="3" t="s">
        <v>102</v>
      </c>
      <c r="B592" s="1" t="s">
        <v>19</v>
      </c>
      <c r="C592" s="1" t="s">
        <v>58</v>
      </c>
      <c r="D592" s="1" t="s">
        <v>37</v>
      </c>
      <c r="E592" s="1" t="s">
        <v>22</v>
      </c>
      <c r="F592" s="1" t="s">
        <v>44</v>
      </c>
      <c r="G592" s="2">
        <v>45438</v>
      </c>
      <c r="H592" s="2">
        <v>45477</v>
      </c>
      <c r="I592" s="1">
        <v>48282.74</v>
      </c>
      <c r="J592" s="1">
        <v>0.97599999999999998</v>
      </c>
      <c r="K592" s="1">
        <v>47123.95</v>
      </c>
      <c r="L592" s="1">
        <v>27215</v>
      </c>
      <c r="M592" s="1">
        <v>2527</v>
      </c>
      <c r="N592" s="1">
        <v>88124.85</v>
      </c>
      <c r="O592" s="1">
        <v>2024</v>
      </c>
      <c r="P592" s="1" t="s">
        <v>45</v>
      </c>
      <c r="Q592" s="1" t="s">
        <v>46</v>
      </c>
      <c r="R592" s="4" t="s">
        <v>54</v>
      </c>
      <c r="S592" s="25">
        <f>Table1[[#This Row],[Clicks]]/Table1[[#This Row],[Impressions]]</f>
        <v>9.2853205952599674E-2</v>
      </c>
      <c r="T592" s="22">
        <f>Table1[[#This Row],[Sales]]/Table1[[#This Row],[USD_Spend]]</f>
        <v>1.8700650094060454</v>
      </c>
      <c r="U592" s="1" t="str">
        <f>Outlier_Check!C602</f>
        <v>Normal</v>
      </c>
    </row>
    <row r="593" spans="1:21" x14ac:dyDescent="0.35">
      <c r="A593" s="3" t="s">
        <v>106</v>
      </c>
      <c r="B593" s="1" t="s">
        <v>35</v>
      </c>
      <c r="C593" s="1" t="s">
        <v>69</v>
      </c>
      <c r="D593" s="1" t="s">
        <v>63</v>
      </c>
      <c r="E593" s="1" t="s">
        <v>30</v>
      </c>
      <c r="F593" s="1" t="s">
        <v>49</v>
      </c>
      <c r="G593" s="2">
        <v>45440</v>
      </c>
      <c r="H593" s="2">
        <v>45478</v>
      </c>
      <c r="I593" s="1">
        <v>49621.66</v>
      </c>
      <c r="J593" s="1">
        <v>0.73440000000000005</v>
      </c>
      <c r="K593" s="1">
        <v>36442.15</v>
      </c>
      <c r="L593" s="1">
        <v>558706</v>
      </c>
      <c r="M593" s="1">
        <v>22474</v>
      </c>
      <c r="N593" s="1">
        <v>114632.65</v>
      </c>
      <c r="O593" s="1">
        <v>2024</v>
      </c>
      <c r="P593" s="1" t="s">
        <v>45</v>
      </c>
      <c r="Q593" s="1" t="s">
        <v>46</v>
      </c>
      <c r="R593" s="4" t="s">
        <v>26</v>
      </c>
      <c r="S593" s="25">
        <f>Table1[[#This Row],[Clicks]]/Table1[[#This Row],[Impressions]]</f>
        <v>4.0225091550833536E-2</v>
      </c>
      <c r="T593" s="22">
        <f>Table1[[#This Row],[Sales]]/Table1[[#This Row],[USD_Spend]]</f>
        <v>3.1456061181900625</v>
      </c>
      <c r="U593" s="1" t="str">
        <f>Outlier_Check!C603</f>
        <v>Normal</v>
      </c>
    </row>
    <row r="594" spans="1:21" x14ac:dyDescent="0.35">
      <c r="A594" s="3" t="s">
        <v>96</v>
      </c>
      <c r="B594" s="1" t="s">
        <v>28</v>
      </c>
      <c r="C594" s="1" t="s">
        <v>36</v>
      </c>
      <c r="D594" s="1" t="s">
        <v>43</v>
      </c>
      <c r="E594" s="1" t="s">
        <v>22</v>
      </c>
      <c r="F594" s="1" t="s">
        <v>49</v>
      </c>
      <c r="G594" s="2">
        <v>45442</v>
      </c>
      <c r="H594" s="2">
        <v>45490</v>
      </c>
      <c r="I594" s="1">
        <v>35917.33</v>
      </c>
      <c r="J594" s="1">
        <v>0.56740000000000002</v>
      </c>
      <c r="K594" s="1">
        <v>20379.490000000002</v>
      </c>
      <c r="L594" s="1">
        <v>458443</v>
      </c>
      <c r="M594" s="1">
        <v>30675</v>
      </c>
      <c r="N594" s="1">
        <v>108023.89</v>
      </c>
      <c r="O594" s="1">
        <v>2024</v>
      </c>
      <c r="P594" s="1" t="s">
        <v>45</v>
      </c>
      <c r="Q594" s="1" t="s">
        <v>46</v>
      </c>
      <c r="R594" s="4" t="s">
        <v>26</v>
      </c>
      <c r="S594" s="25">
        <f>Table1[[#This Row],[Clicks]]/Table1[[#This Row],[Impressions]]</f>
        <v>6.691126268696436E-2</v>
      </c>
      <c r="T594" s="22">
        <f>Table1[[#This Row],[Sales]]/Table1[[#This Row],[USD_Spend]]</f>
        <v>5.3006179251786962</v>
      </c>
      <c r="U594" s="1" t="str">
        <f>Outlier_Check!C604</f>
        <v>Normal</v>
      </c>
    </row>
    <row r="595" spans="1:21" x14ac:dyDescent="0.35">
      <c r="A595" s="3" t="s">
        <v>83</v>
      </c>
      <c r="B595" s="1" t="s">
        <v>28</v>
      </c>
      <c r="C595" s="1" t="s">
        <v>20</v>
      </c>
      <c r="D595" s="1" t="s">
        <v>59</v>
      </c>
      <c r="E595" s="1" t="s">
        <v>22</v>
      </c>
      <c r="F595" s="1" t="s">
        <v>44</v>
      </c>
      <c r="G595" s="2">
        <v>45443</v>
      </c>
      <c r="H595" s="2">
        <v>45499</v>
      </c>
      <c r="I595" s="1">
        <v>15695.54</v>
      </c>
      <c r="J595" s="1">
        <v>0.79949999999999999</v>
      </c>
      <c r="K595" s="1">
        <v>12548.58</v>
      </c>
      <c r="L595" s="1">
        <v>338574</v>
      </c>
      <c r="M595" s="1">
        <v>13212</v>
      </c>
      <c r="N595" s="1">
        <v>106506.99</v>
      </c>
      <c r="O595" s="1">
        <v>2024</v>
      </c>
      <c r="P595" s="1" t="s">
        <v>45</v>
      </c>
      <c r="Q595" s="1" t="s">
        <v>46</v>
      </c>
      <c r="R595" s="4" t="s">
        <v>61</v>
      </c>
      <c r="S595" s="25">
        <f>Table1[[#This Row],[Clicks]]/Table1[[#This Row],[Impressions]]</f>
        <v>3.9022488436796683E-2</v>
      </c>
      <c r="T595" s="22">
        <f>Table1[[#This Row],[Sales]]/Table1[[#This Row],[USD_Spend]]</f>
        <v>8.4875730959200162</v>
      </c>
      <c r="U595" s="1" t="str">
        <f>Outlier_Check!C605</f>
        <v>Normal</v>
      </c>
    </row>
    <row r="596" spans="1:21" x14ac:dyDescent="0.35">
      <c r="A596" s="3" t="s">
        <v>88</v>
      </c>
      <c r="B596" s="1" t="s">
        <v>19</v>
      </c>
      <c r="C596" s="1" t="s">
        <v>20</v>
      </c>
      <c r="D596" s="1" t="s">
        <v>51</v>
      </c>
      <c r="E596" s="1" t="s">
        <v>30</v>
      </c>
      <c r="F596" s="1" t="s">
        <v>49</v>
      </c>
      <c r="G596" s="2">
        <v>45443</v>
      </c>
      <c r="H596" s="2">
        <v>45488</v>
      </c>
      <c r="I596" s="1">
        <v>23585.87</v>
      </c>
      <c r="J596" s="1">
        <v>0.5454</v>
      </c>
      <c r="K596" s="1">
        <v>12863.73</v>
      </c>
      <c r="L596" s="1">
        <v>480888</v>
      </c>
      <c r="M596" s="1">
        <v>9863</v>
      </c>
      <c r="N596" s="1">
        <v>217254.66</v>
      </c>
      <c r="O596" s="1">
        <v>2024</v>
      </c>
      <c r="P596" s="1" t="s">
        <v>45</v>
      </c>
      <c r="Q596" s="1" t="s">
        <v>46</v>
      </c>
      <c r="R596" s="4" t="s">
        <v>54</v>
      </c>
      <c r="S596" s="25">
        <f>Table1[[#This Row],[Clicks]]/Table1[[#This Row],[Impressions]]</f>
        <v>2.0509973216216667E-2</v>
      </c>
      <c r="T596" s="22">
        <f>Table1[[#This Row],[Sales]]/Table1[[#This Row],[USD_Spend]]</f>
        <v>16.888931903887908</v>
      </c>
      <c r="U596" s="1" t="str">
        <f>Outlier_Check!C606</f>
        <v>Normal</v>
      </c>
    </row>
    <row r="597" spans="1:21" x14ac:dyDescent="0.35">
      <c r="A597" s="3" t="s">
        <v>105</v>
      </c>
      <c r="B597" s="1" t="s">
        <v>28</v>
      </c>
      <c r="C597" s="1" t="s">
        <v>36</v>
      </c>
      <c r="D597" s="1" t="s">
        <v>63</v>
      </c>
      <c r="E597" s="1" t="s">
        <v>30</v>
      </c>
      <c r="F597" s="1" t="s">
        <v>44</v>
      </c>
      <c r="G597" s="2">
        <v>45444</v>
      </c>
      <c r="H597" s="2">
        <v>45488</v>
      </c>
      <c r="I597" s="1">
        <v>37011.480000000003</v>
      </c>
      <c r="J597" s="1">
        <v>0.91479999999999995</v>
      </c>
      <c r="K597" s="1">
        <v>33858.1</v>
      </c>
      <c r="L597" s="1">
        <v>869416</v>
      </c>
      <c r="M597" s="1">
        <v>31688</v>
      </c>
      <c r="N597" s="1">
        <v>9853.7099999999991</v>
      </c>
      <c r="O597" s="1">
        <v>2024</v>
      </c>
      <c r="P597" s="1" t="s">
        <v>53</v>
      </c>
      <c r="Q597" s="1" t="s">
        <v>46</v>
      </c>
      <c r="R597" s="4" t="s">
        <v>61</v>
      </c>
      <c r="S597" s="25">
        <f>Table1[[#This Row],[Clicks]]/Table1[[#This Row],[Impressions]]</f>
        <v>3.6447454383172151E-2</v>
      </c>
      <c r="T597" s="22">
        <f>Table1[[#This Row],[Sales]]/Table1[[#This Row],[USD_Spend]]</f>
        <v>0.29102962068160942</v>
      </c>
      <c r="U597" s="1" t="str">
        <f>Outlier_Check!C607</f>
        <v>Normal</v>
      </c>
    </row>
    <row r="598" spans="1:21" x14ac:dyDescent="0.35">
      <c r="A598" s="3" t="s">
        <v>79</v>
      </c>
      <c r="B598" s="1" t="s">
        <v>19</v>
      </c>
      <c r="C598" s="1" t="s">
        <v>20</v>
      </c>
      <c r="D598" s="1" t="s">
        <v>63</v>
      </c>
      <c r="E598" s="1" t="s">
        <v>30</v>
      </c>
      <c r="F598" s="1" t="s">
        <v>44</v>
      </c>
      <c r="G598" s="2">
        <v>45445</v>
      </c>
      <c r="H598" s="2">
        <v>45469</v>
      </c>
      <c r="I598" s="1">
        <v>18814.419999999998</v>
      </c>
      <c r="J598" s="1">
        <v>0.65790000000000004</v>
      </c>
      <c r="K598" s="1">
        <v>12378.01</v>
      </c>
      <c r="L598" s="1">
        <v>453601</v>
      </c>
      <c r="M598" s="1">
        <v>43233</v>
      </c>
      <c r="N598" s="1">
        <v>5020.96</v>
      </c>
      <c r="O598" s="1">
        <v>2024</v>
      </c>
      <c r="P598" s="1" t="s">
        <v>53</v>
      </c>
      <c r="Q598" s="1" t="s">
        <v>46</v>
      </c>
      <c r="R598" s="4" t="s">
        <v>54</v>
      </c>
      <c r="S598" s="25">
        <f>Table1[[#This Row],[Clicks]]/Table1[[#This Row],[Impressions]]</f>
        <v>9.5310636440395849E-2</v>
      </c>
      <c r="T598" s="22">
        <f>Table1[[#This Row],[Sales]]/Table1[[#This Row],[USD_Spend]]</f>
        <v>0.40563547775450171</v>
      </c>
      <c r="U598" s="1" t="str">
        <f>Outlier_Check!C608</f>
        <v>Normal</v>
      </c>
    </row>
    <row r="599" spans="1:21" x14ac:dyDescent="0.35">
      <c r="A599" s="3" t="s">
        <v>109</v>
      </c>
      <c r="B599" s="1" t="s">
        <v>35</v>
      </c>
      <c r="C599" s="1" t="s">
        <v>36</v>
      </c>
      <c r="D599" s="1" t="s">
        <v>21</v>
      </c>
      <c r="E599" s="1" t="s">
        <v>22</v>
      </c>
      <c r="F599" s="1" t="s">
        <v>44</v>
      </c>
      <c r="G599" s="2">
        <v>45446</v>
      </c>
      <c r="H599" s="2">
        <v>45472</v>
      </c>
      <c r="I599" s="1">
        <v>14529.29</v>
      </c>
      <c r="J599" s="1">
        <v>0.76039999999999996</v>
      </c>
      <c r="K599" s="1">
        <v>11048.07</v>
      </c>
      <c r="L599" s="1">
        <v>547756</v>
      </c>
      <c r="M599" s="1">
        <v>44145</v>
      </c>
      <c r="N599" s="1">
        <v>195376.16</v>
      </c>
      <c r="O599" s="1">
        <v>2024</v>
      </c>
      <c r="P599" s="1" t="s">
        <v>53</v>
      </c>
      <c r="Q599" s="1" t="s">
        <v>46</v>
      </c>
      <c r="R599" s="4" t="s">
        <v>41</v>
      </c>
      <c r="S599" s="25">
        <f>Table1[[#This Row],[Clicks]]/Table1[[#This Row],[Impressions]]</f>
        <v>8.0592453574219181E-2</v>
      </c>
      <c r="T599" s="22">
        <f>Table1[[#This Row],[Sales]]/Table1[[#This Row],[USD_Spend]]</f>
        <v>17.684189184174251</v>
      </c>
      <c r="U599" s="1" t="str">
        <f>Outlier_Check!C609</f>
        <v>Normal</v>
      </c>
    </row>
    <row r="600" spans="1:21" x14ac:dyDescent="0.35">
      <c r="A600" s="3" t="s">
        <v>66</v>
      </c>
      <c r="B600" s="1" t="s">
        <v>35</v>
      </c>
      <c r="C600" s="1" t="s">
        <v>29</v>
      </c>
      <c r="D600" s="1" t="s">
        <v>43</v>
      </c>
      <c r="E600" s="1" t="s">
        <v>30</v>
      </c>
      <c r="F600" s="1" t="s">
        <v>23</v>
      </c>
      <c r="G600" s="2">
        <v>45446</v>
      </c>
      <c r="H600" s="2">
        <v>45457</v>
      </c>
      <c r="I600" s="1">
        <v>43655.41</v>
      </c>
      <c r="J600" s="1">
        <v>0.36509999999999998</v>
      </c>
      <c r="K600" s="1">
        <v>15938.59</v>
      </c>
      <c r="L600" s="1">
        <v>679987</v>
      </c>
      <c r="M600" s="1">
        <v>33370</v>
      </c>
      <c r="N600" s="1">
        <v>154197.70000000001</v>
      </c>
      <c r="O600" s="1">
        <v>2024</v>
      </c>
      <c r="P600" s="1" t="s">
        <v>53</v>
      </c>
      <c r="Q600" s="1" t="s">
        <v>46</v>
      </c>
      <c r="R600" s="4" t="s">
        <v>41</v>
      </c>
      <c r="S600" s="25">
        <f>Table1[[#This Row],[Clicks]]/Table1[[#This Row],[Impressions]]</f>
        <v>4.9074467600115884E-2</v>
      </c>
      <c r="T600" s="22">
        <f>Table1[[#This Row],[Sales]]/Table1[[#This Row],[USD_Spend]]</f>
        <v>9.6744881448108018</v>
      </c>
      <c r="U600" s="1" t="str">
        <f>Outlier_Check!C610</f>
        <v>Normal</v>
      </c>
    </row>
    <row r="601" spans="1:21" x14ac:dyDescent="0.35">
      <c r="A601" s="3" t="s">
        <v>102</v>
      </c>
      <c r="B601" s="1" t="s">
        <v>19</v>
      </c>
      <c r="C601" s="1" t="s">
        <v>20</v>
      </c>
      <c r="D601" s="1" t="s">
        <v>43</v>
      </c>
      <c r="E601" s="1" t="s">
        <v>30</v>
      </c>
      <c r="F601" s="1" t="s">
        <v>44</v>
      </c>
      <c r="G601" s="2">
        <v>45447</v>
      </c>
      <c r="H601" s="2">
        <v>45498</v>
      </c>
      <c r="I601" s="1">
        <v>29815.96</v>
      </c>
      <c r="J601" s="1">
        <v>1.1343000000000001</v>
      </c>
      <c r="K601" s="1">
        <v>33820.239999999998</v>
      </c>
      <c r="L601" s="1">
        <v>111605</v>
      </c>
      <c r="M601" s="1">
        <v>15321</v>
      </c>
      <c r="N601" s="1">
        <v>77850.39</v>
      </c>
      <c r="O601" s="1">
        <v>2024</v>
      </c>
      <c r="P601" s="1" t="s">
        <v>53</v>
      </c>
      <c r="Q601" s="1" t="s">
        <v>46</v>
      </c>
      <c r="R601" s="4" t="s">
        <v>54</v>
      </c>
      <c r="S601" s="25">
        <f>Table1[[#This Row],[Clicks]]/Table1[[#This Row],[Impressions]]</f>
        <v>0.13727879575287846</v>
      </c>
      <c r="T601" s="22">
        <f>Table1[[#This Row],[Sales]]/Table1[[#This Row],[USD_Spend]]</f>
        <v>2.3018875679179098</v>
      </c>
      <c r="U601" s="1" t="str">
        <f>Outlier_Check!C611</f>
        <v>Normal</v>
      </c>
    </row>
    <row r="602" spans="1:21" x14ac:dyDescent="0.35">
      <c r="A602" s="3" t="s">
        <v>115</v>
      </c>
      <c r="B602" s="1" t="s">
        <v>28</v>
      </c>
      <c r="C602" s="1" t="s">
        <v>29</v>
      </c>
      <c r="D602" s="1" t="s">
        <v>63</v>
      </c>
      <c r="E602" s="1" t="s">
        <v>22</v>
      </c>
      <c r="F602" s="1" t="s">
        <v>49</v>
      </c>
      <c r="G602" s="2">
        <v>45447</v>
      </c>
      <c r="H602" s="2">
        <v>45473</v>
      </c>
      <c r="I602" s="1">
        <v>3604.7</v>
      </c>
      <c r="J602" s="1">
        <v>0.33439999999999998</v>
      </c>
      <c r="K602" s="1">
        <v>1205.4100000000001</v>
      </c>
      <c r="L602" s="1">
        <v>112564</v>
      </c>
      <c r="M602" s="1">
        <v>3320</v>
      </c>
      <c r="N602" s="1">
        <v>163912.32999999999</v>
      </c>
      <c r="O602" s="1">
        <v>2024</v>
      </c>
      <c r="P602" s="1" t="s">
        <v>53</v>
      </c>
      <c r="Q602" s="1" t="s">
        <v>46</v>
      </c>
      <c r="R602" s="4" t="s">
        <v>61</v>
      </c>
      <c r="S602" s="25">
        <f>Table1[[#This Row],[Clicks]]/Table1[[#This Row],[Impressions]]</f>
        <v>2.9494332113286663E-2</v>
      </c>
      <c r="T602" s="22">
        <f>Table1[[#This Row],[Sales]]/Table1[[#This Row],[USD_Spend]]</f>
        <v>135.98056263014243</v>
      </c>
      <c r="U602" s="1" t="str">
        <f>Outlier_Check!C612</f>
        <v>Normal</v>
      </c>
    </row>
    <row r="603" spans="1:21" x14ac:dyDescent="0.35">
      <c r="A603" s="3" t="s">
        <v>42</v>
      </c>
      <c r="B603" s="1" t="s">
        <v>28</v>
      </c>
      <c r="C603" s="1" t="s">
        <v>58</v>
      </c>
      <c r="D603" s="1" t="s">
        <v>37</v>
      </c>
      <c r="E603" s="1" t="s">
        <v>22</v>
      </c>
      <c r="F603" s="1" t="s">
        <v>52</v>
      </c>
      <c r="G603" s="2">
        <v>45451</v>
      </c>
      <c r="H603" s="2">
        <v>45462</v>
      </c>
      <c r="I603" s="1">
        <v>40965.589999999997</v>
      </c>
      <c r="J603" s="1">
        <v>0.39400000000000002</v>
      </c>
      <c r="K603" s="1">
        <v>16140.44</v>
      </c>
      <c r="L603" s="1">
        <v>667233</v>
      </c>
      <c r="M603" s="1">
        <v>12522</v>
      </c>
      <c r="N603" s="1">
        <v>158044.97</v>
      </c>
      <c r="O603" s="1">
        <v>2024</v>
      </c>
      <c r="P603" s="1" t="s">
        <v>53</v>
      </c>
      <c r="Q603" s="1" t="s">
        <v>46</v>
      </c>
      <c r="R603" s="4" t="s">
        <v>26</v>
      </c>
      <c r="S603" s="25">
        <f>Table1[[#This Row],[Clicks]]/Table1[[#This Row],[Impressions]]</f>
        <v>1.8767057384751654E-2</v>
      </c>
      <c r="T603" s="22">
        <f>Table1[[#This Row],[Sales]]/Table1[[#This Row],[USD_Spend]]</f>
        <v>9.7918625514546065</v>
      </c>
      <c r="U603" s="1" t="str">
        <f>Outlier_Check!C613</f>
        <v>Normal</v>
      </c>
    </row>
    <row r="604" spans="1:21" x14ac:dyDescent="0.35">
      <c r="A604" s="3" t="s">
        <v>42</v>
      </c>
      <c r="B604" s="1" t="s">
        <v>28</v>
      </c>
      <c r="C604" s="1" t="s">
        <v>20</v>
      </c>
      <c r="D604" s="1" t="s">
        <v>51</v>
      </c>
      <c r="E604" s="1" t="s">
        <v>30</v>
      </c>
      <c r="F604" s="1" t="s">
        <v>44</v>
      </c>
      <c r="G604" s="2">
        <v>45452</v>
      </c>
      <c r="H604" s="2">
        <v>45478</v>
      </c>
      <c r="I604" s="1">
        <v>48690.32</v>
      </c>
      <c r="J604" s="1">
        <v>0.81499999999999995</v>
      </c>
      <c r="K604" s="1">
        <v>39682.61</v>
      </c>
      <c r="L604" s="1">
        <v>689068</v>
      </c>
      <c r="M604" s="1">
        <v>45073</v>
      </c>
      <c r="N604" s="1">
        <v>179840.69</v>
      </c>
      <c r="O604" s="1">
        <v>2024</v>
      </c>
      <c r="P604" s="1" t="s">
        <v>53</v>
      </c>
      <c r="Q604" s="1" t="s">
        <v>46</v>
      </c>
      <c r="R604" s="4" t="s">
        <v>26</v>
      </c>
      <c r="S604" s="25">
        <f>Table1[[#This Row],[Clicks]]/Table1[[#This Row],[Impressions]]</f>
        <v>6.5411541386336328E-2</v>
      </c>
      <c r="T604" s="22">
        <f>Table1[[#This Row],[Sales]]/Table1[[#This Row],[USD_Spend]]</f>
        <v>4.5319773573361228</v>
      </c>
      <c r="U604" s="1" t="str">
        <f>Outlier_Check!C614</f>
        <v>Normal</v>
      </c>
    </row>
    <row r="605" spans="1:21" x14ac:dyDescent="0.35">
      <c r="A605" s="3" t="s">
        <v>96</v>
      </c>
      <c r="B605" s="1" t="s">
        <v>48</v>
      </c>
      <c r="C605" s="1" t="s">
        <v>69</v>
      </c>
      <c r="D605" s="1" t="s">
        <v>59</v>
      </c>
      <c r="E605" s="1" t="s">
        <v>22</v>
      </c>
      <c r="F605" s="1" t="s">
        <v>31</v>
      </c>
      <c r="G605" s="2">
        <v>45454</v>
      </c>
      <c r="H605" s="2">
        <v>45466</v>
      </c>
      <c r="I605" s="1">
        <v>4472.12</v>
      </c>
      <c r="J605" s="1">
        <v>0.28999999999999998</v>
      </c>
      <c r="K605" s="1">
        <v>1296.9100000000001</v>
      </c>
      <c r="L605" s="1">
        <v>476428</v>
      </c>
      <c r="M605" s="1">
        <v>38943</v>
      </c>
      <c r="N605" s="1">
        <v>147041.64000000001</v>
      </c>
      <c r="O605" s="1">
        <v>2024</v>
      </c>
      <c r="P605" s="1" t="s">
        <v>53</v>
      </c>
      <c r="Q605" s="1" t="s">
        <v>46</v>
      </c>
      <c r="R605" s="4" t="s">
        <v>61</v>
      </c>
      <c r="S605" s="25">
        <f>Table1[[#This Row],[Clicks]]/Table1[[#This Row],[Impressions]]</f>
        <v>8.1739528323272345E-2</v>
      </c>
      <c r="T605" s="22">
        <f>Table1[[#This Row],[Sales]]/Table1[[#This Row],[USD_Spend]]</f>
        <v>113.37844569014041</v>
      </c>
      <c r="U605" s="1" t="str">
        <f>Outlier_Check!C615</f>
        <v>Normal</v>
      </c>
    </row>
    <row r="606" spans="1:21" x14ac:dyDescent="0.35">
      <c r="A606" s="3" t="s">
        <v>86</v>
      </c>
      <c r="B606" s="1" t="s">
        <v>35</v>
      </c>
      <c r="C606" s="1" t="s">
        <v>29</v>
      </c>
      <c r="D606" s="1" t="s">
        <v>59</v>
      </c>
      <c r="E606" s="1" t="s">
        <v>22</v>
      </c>
      <c r="F606" s="1" t="s">
        <v>52</v>
      </c>
      <c r="G606" s="2">
        <v>45457</v>
      </c>
      <c r="H606" s="2">
        <v>45494</v>
      </c>
      <c r="I606" s="1">
        <v>38287.089999999997</v>
      </c>
      <c r="J606" s="1">
        <v>0.26740000000000003</v>
      </c>
      <c r="K606" s="1">
        <v>10237.969999999999</v>
      </c>
      <c r="L606" s="1">
        <v>392615</v>
      </c>
      <c r="M606" s="1">
        <v>7622</v>
      </c>
      <c r="N606" s="1">
        <v>225150.23</v>
      </c>
      <c r="O606" s="1">
        <v>2024</v>
      </c>
      <c r="P606" s="1" t="s">
        <v>53</v>
      </c>
      <c r="Q606" s="1" t="s">
        <v>46</v>
      </c>
      <c r="R606" s="4" t="s">
        <v>41</v>
      </c>
      <c r="S606" s="25">
        <f>Table1[[#This Row],[Clicks]]/Table1[[#This Row],[Impressions]]</f>
        <v>1.9413420271767508E-2</v>
      </c>
      <c r="T606" s="22">
        <f>Table1[[#This Row],[Sales]]/Table1[[#This Row],[USD_Spend]]</f>
        <v>21.991686828541209</v>
      </c>
      <c r="U606" s="1" t="str">
        <f>Outlier_Check!C616</f>
        <v>Normal</v>
      </c>
    </row>
    <row r="607" spans="1:21" x14ac:dyDescent="0.35">
      <c r="A607" s="3" t="s">
        <v>34</v>
      </c>
      <c r="B607" s="1" t="s">
        <v>48</v>
      </c>
      <c r="C607" s="1" t="s">
        <v>36</v>
      </c>
      <c r="D607" s="1" t="s">
        <v>59</v>
      </c>
      <c r="E607" s="1" t="s">
        <v>30</v>
      </c>
      <c r="F607" s="1" t="s">
        <v>52</v>
      </c>
      <c r="G607" s="2">
        <v>45458</v>
      </c>
      <c r="H607" s="2">
        <v>45516</v>
      </c>
      <c r="I607" s="1">
        <v>29651.360000000001</v>
      </c>
      <c r="J607" s="1">
        <v>0.85940000000000005</v>
      </c>
      <c r="K607" s="1">
        <v>25482.38</v>
      </c>
      <c r="L607" s="1">
        <v>838446</v>
      </c>
      <c r="M607" s="1">
        <v>42809</v>
      </c>
      <c r="N607" s="1">
        <v>35401.89</v>
      </c>
      <c r="O607" s="1">
        <v>2024</v>
      </c>
      <c r="P607" s="1" t="s">
        <v>53</v>
      </c>
      <c r="Q607" s="1" t="s">
        <v>46</v>
      </c>
      <c r="R607" s="4" t="s">
        <v>26</v>
      </c>
      <c r="S607" s="25">
        <f>Table1[[#This Row],[Clicks]]/Table1[[#This Row],[Impressions]]</f>
        <v>5.1057551708756435E-2</v>
      </c>
      <c r="T607" s="22">
        <f>Table1[[#This Row],[Sales]]/Table1[[#This Row],[USD_Spend]]</f>
        <v>1.3892693696585641</v>
      </c>
      <c r="U607" s="1" t="str">
        <f>Outlier_Check!C617</f>
        <v>Normal</v>
      </c>
    </row>
    <row r="608" spans="1:21" x14ac:dyDescent="0.35">
      <c r="A608" s="3" t="s">
        <v>99</v>
      </c>
      <c r="B608" s="1" t="s">
        <v>35</v>
      </c>
      <c r="C608" s="1" t="s">
        <v>20</v>
      </c>
      <c r="D608" s="1" t="s">
        <v>43</v>
      </c>
      <c r="E608" s="1" t="s">
        <v>22</v>
      </c>
      <c r="F608" s="1" t="s">
        <v>44</v>
      </c>
      <c r="G608" s="2">
        <v>45458</v>
      </c>
      <c r="H608" s="2">
        <v>45481</v>
      </c>
      <c r="I608" s="1">
        <v>42450.75</v>
      </c>
      <c r="J608" s="1">
        <v>0.30819999999999997</v>
      </c>
      <c r="K608" s="1">
        <v>13083.32</v>
      </c>
      <c r="L608" s="1">
        <v>675905</v>
      </c>
      <c r="M608" s="1">
        <v>36199</v>
      </c>
      <c r="N608" s="1">
        <v>72240.5</v>
      </c>
      <c r="O608" s="1">
        <v>2024</v>
      </c>
      <c r="P608" s="1" t="s">
        <v>53</v>
      </c>
      <c r="Q608" s="1" t="s">
        <v>46</v>
      </c>
      <c r="R608" s="4" t="s">
        <v>61</v>
      </c>
      <c r="S608" s="25">
        <f>Table1[[#This Row],[Clicks]]/Table1[[#This Row],[Impressions]]</f>
        <v>5.3556342977193541E-2</v>
      </c>
      <c r="T608" s="22">
        <f>Table1[[#This Row],[Sales]]/Table1[[#This Row],[USD_Spend]]</f>
        <v>5.5215725060611529</v>
      </c>
      <c r="U608" s="1" t="str">
        <f>Outlier_Check!C618</f>
        <v>Normal</v>
      </c>
    </row>
    <row r="609" spans="1:21" x14ac:dyDescent="0.35">
      <c r="A609" s="3" t="s">
        <v>120</v>
      </c>
      <c r="B609" s="1" t="s">
        <v>19</v>
      </c>
      <c r="C609" s="1" t="s">
        <v>36</v>
      </c>
      <c r="D609" s="1" t="s">
        <v>21</v>
      </c>
      <c r="E609" s="1" t="s">
        <v>22</v>
      </c>
      <c r="F609" s="1" t="s">
        <v>44</v>
      </c>
      <c r="G609" s="2">
        <v>45459</v>
      </c>
      <c r="H609" s="2">
        <v>45485</v>
      </c>
      <c r="I609" s="1">
        <v>34208.19</v>
      </c>
      <c r="J609" s="1">
        <v>1.1919</v>
      </c>
      <c r="K609" s="1">
        <v>40772.74</v>
      </c>
      <c r="L609" s="1">
        <v>338487</v>
      </c>
      <c r="M609" s="1">
        <v>35988</v>
      </c>
      <c r="N609" s="1">
        <v>7591.61</v>
      </c>
      <c r="O609" s="1">
        <v>2024</v>
      </c>
      <c r="P609" s="1" t="s">
        <v>53</v>
      </c>
      <c r="Q609" s="1" t="s">
        <v>46</v>
      </c>
      <c r="R609" s="4" t="s">
        <v>26</v>
      </c>
      <c r="S609" s="25">
        <f>Table1[[#This Row],[Clicks]]/Table1[[#This Row],[Impressions]]</f>
        <v>0.10632018364073066</v>
      </c>
      <c r="T609" s="22">
        <f>Table1[[#This Row],[Sales]]/Table1[[#This Row],[USD_Spend]]</f>
        <v>0.18619327521280149</v>
      </c>
      <c r="U609" s="1" t="str">
        <f>Outlier_Check!C619</f>
        <v>Normal</v>
      </c>
    </row>
    <row r="610" spans="1:21" x14ac:dyDescent="0.35">
      <c r="A610" s="3" t="s">
        <v>94</v>
      </c>
      <c r="B610" s="1" t="s">
        <v>48</v>
      </c>
      <c r="C610" s="1" t="s">
        <v>58</v>
      </c>
      <c r="D610" s="1" t="s">
        <v>51</v>
      </c>
      <c r="E610" s="1" t="s">
        <v>30</v>
      </c>
      <c r="F610" s="1" t="s">
        <v>31</v>
      </c>
      <c r="G610" s="2">
        <v>45459</v>
      </c>
      <c r="H610" s="2">
        <v>45464</v>
      </c>
      <c r="I610" s="1">
        <v>19376.46</v>
      </c>
      <c r="J610" s="1">
        <v>0.25440000000000002</v>
      </c>
      <c r="K610" s="1">
        <v>4929.37</v>
      </c>
      <c r="L610" s="1">
        <v>853356</v>
      </c>
      <c r="M610" s="1">
        <v>20802</v>
      </c>
      <c r="N610" s="1">
        <v>105167.03999999999</v>
      </c>
      <c r="O610" s="1">
        <v>2024</v>
      </c>
      <c r="P610" s="1" t="s">
        <v>53</v>
      </c>
      <c r="Q610" s="1" t="s">
        <v>46</v>
      </c>
      <c r="R610" s="4" t="s">
        <v>41</v>
      </c>
      <c r="S610" s="25">
        <f>Table1[[#This Row],[Clicks]]/Table1[[#This Row],[Impressions]]</f>
        <v>2.437669624400602E-2</v>
      </c>
      <c r="T610" s="22">
        <f>Table1[[#This Row],[Sales]]/Table1[[#This Row],[USD_Spend]]</f>
        <v>21.334783146730718</v>
      </c>
      <c r="U610" s="1" t="str">
        <f>Outlier_Check!C620</f>
        <v>Normal</v>
      </c>
    </row>
    <row r="611" spans="1:21" x14ac:dyDescent="0.35">
      <c r="A611" s="3" t="s">
        <v>98</v>
      </c>
      <c r="B611" s="1" t="s">
        <v>35</v>
      </c>
      <c r="C611" s="1" t="s">
        <v>36</v>
      </c>
      <c r="D611" s="1" t="s">
        <v>51</v>
      </c>
      <c r="E611" s="1" t="s">
        <v>22</v>
      </c>
      <c r="F611" s="1" t="s">
        <v>23</v>
      </c>
      <c r="G611" s="2">
        <v>45460</v>
      </c>
      <c r="H611" s="2">
        <v>45495</v>
      </c>
      <c r="I611" s="1">
        <v>18066.71</v>
      </c>
      <c r="J611" s="1">
        <v>0.12620000000000001</v>
      </c>
      <c r="K611" s="1">
        <v>2280.02</v>
      </c>
      <c r="L611" s="1">
        <v>767065</v>
      </c>
      <c r="M611" s="1">
        <v>45763</v>
      </c>
      <c r="N611" s="1">
        <v>115849.56</v>
      </c>
      <c r="O611" s="1">
        <v>2024</v>
      </c>
      <c r="P611" s="1" t="s">
        <v>53</v>
      </c>
      <c r="Q611" s="1" t="s">
        <v>46</v>
      </c>
      <c r="R611" s="4" t="s">
        <v>41</v>
      </c>
      <c r="S611" s="25">
        <f>Table1[[#This Row],[Clicks]]/Table1[[#This Row],[Impressions]]</f>
        <v>5.9659872370659589E-2</v>
      </c>
      <c r="T611" s="22">
        <f>Table1[[#This Row],[Sales]]/Table1[[#This Row],[USD_Spend]]</f>
        <v>50.810764817852473</v>
      </c>
      <c r="U611" s="1" t="str">
        <f>Outlier_Check!C621</f>
        <v>Normal</v>
      </c>
    </row>
    <row r="612" spans="1:21" x14ac:dyDescent="0.35">
      <c r="A612" s="3" t="s">
        <v>67</v>
      </c>
      <c r="B612" s="1" t="s">
        <v>35</v>
      </c>
      <c r="C612" s="1" t="s">
        <v>58</v>
      </c>
      <c r="D612" s="1" t="s">
        <v>43</v>
      </c>
      <c r="E612" s="1" t="s">
        <v>22</v>
      </c>
      <c r="F612" s="1" t="s">
        <v>23</v>
      </c>
      <c r="G612" s="2">
        <v>45460</v>
      </c>
      <c r="H612" s="2">
        <v>45486</v>
      </c>
      <c r="I612" s="1">
        <v>38095.269999999997</v>
      </c>
      <c r="J612" s="1">
        <v>0.20039999999999999</v>
      </c>
      <c r="K612" s="1">
        <v>7634.29</v>
      </c>
      <c r="L612" s="1">
        <v>39246</v>
      </c>
      <c r="M612" s="1">
        <v>35485</v>
      </c>
      <c r="N612" s="1">
        <v>150163.38</v>
      </c>
      <c r="O612" s="1">
        <v>2024</v>
      </c>
      <c r="P612" s="1" t="s">
        <v>53</v>
      </c>
      <c r="Q612" s="1" t="s">
        <v>46</v>
      </c>
      <c r="R612" s="4" t="s">
        <v>41</v>
      </c>
      <c r="S612" s="25">
        <f>Table1[[#This Row],[Clicks]]/Table1[[#This Row],[Impressions]]</f>
        <v>0.90416857768944603</v>
      </c>
      <c r="T612" s="22">
        <f>Table1[[#This Row],[Sales]]/Table1[[#This Row],[USD_Spend]]</f>
        <v>19.669593374105517</v>
      </c>
      <c r="U612" s="1" t="str">
        <f>Outlier_Check!C622</f>
        <v>Normal</v>
      </c>
    </row>
    <row r="613" spans="1:21" x14ac:dyDescent="0.35">
      <c r="A613" s="3" t="s">
        <v>75</v>
      </c>
      <c r="B613" s="1" t="s">
        <v>19</v>
      </c>
      <c r="C613" s="1" t="s">
        <v>20</v>
      </c>
      <c r="D613" s="1" t="s">
        <v>21</v>
      </c>
      <c r="E613" s="1" t="s">
        <v>30</v>
      </c>
      <c r="F613" s="1" t="s">
        <v>23</v>
      </c>
      <c r="G613" s="2">
        <v>45460</v>
      </c>
      <c r="H613" s="2">
        <v>45471</v>
      </c>
      <c r="I613" s="1">
        <v>23128.87</v>
      </c>
      <c r="J613" s="1">
        <v>0.99409999999999998</v>
      </c>
      <c r="K613" s="1">
        <v>22992.41</v>
      </c>
      <c r="L613" s="1">
        <v>54476</v>
      </c>
      <c r="M613" s="1">
        <v>16203</v>
      </c>
      <c r="N613" s="1">
        <v>132082.15</v>
      </c>
      <c r="O613" s="1">
        <v>2024</v>
      </c>
      <c r="P613" s="1" t="s">
        <v>53</v>
      </c>
      <c r="Q613" s="1" t="s">
        <v>46</v>
      </c>
      <c r="R613" s="4" t="s">
        <v>61</v>
      </c>
      <c r="S613" s="25">
        <f>Table1[[#This Row],[Clicks]]/Table1[[#This Row],[Impressions]]</f>
        <v>0.29743373228577724</v>
      </c>
      <c r="T613" s="22">
        <f>Table1[[#This Row],[Sales]]/Table1[[#This Row],[USD_Spend]]</f>
        <v>5.7445978912171451</v>
      </c>
      <c r="U613" s="1" t="str">
        <f>Outlier_Check!C623</f>
        <v>Normal</v>
      </c>
    </row>
    <row r="614" spans="1:21" x14ac:dyDescent="0.35">
      <c r="A614" s="3" t="s">
        <v>115</v>
      </c>
      <c r="B614" s="1" t="s">
        <v>28</v>
      </c>
      <c r="C614" s="1" t="s">
        <v>29</v>
      </c>
      <c r="D614" s="1" t="s">
        <v>37</v>
      </c>
      <c r="E614" s="1" t="s">
        <v>38</v>
      </c>
      <c r="F614" s="1" t="s">
        <v>31</v>
      </c>
      <c r="G614" s="2">
        <v>45461</v>
      </c>
      <c r="H614" s="2">
        <v>45499</v>
      </c>
      <c r="I614" s="1">
        <v>12785.65</v>
      </c>
      <c r="J614" s="1">
        <v>0.57869999999999999</v>
      </c>
      <c r="K614" s="1">
        <v>7399.06</v>
      </c>
      <c r="L614" s="1">
        <v>523911</v>
      </c>
      <c r="M614" s="1">
        <v>18485</v>
      </c>
      <c r="N614" s="1">
        <v>83868.28</v>
      </c>
      <c r="O614" s="1">
        <v>2024</v>
      </c>
      <c r="P614" s="1" t="s">
        <v>53</v>
      </c>
      <c r="Q614" s="1" t="s">
        <v>46</v>
      </c>
      <c r="R614" s="4" t="s">
        <v>26</v>
      </c>
      <c r="S614" s="25">
        <f>Table1[[#This Row],[Clicks]]/Table1[[#This Row],[Impressions]]</f>
        <v>3.5282710231317918E-2</v>
      </c>
      <c r="T614" s="22">
        <f>Table1[[#This Row],[Sales]]/Table1[[#This Row],[USD_Spend]]</f>
        <v>11.334991201585066</v>
      </c>
      <c r="U614" s="1" t="str">
        <f>Outlier_Check!C624</f>
        <v>Normal</v>
      </c>
    </row>
    <row r="615" spans="1:21" x14ac:dyDescent="0.35">
      <c r="A615" s="3" t="s">
        <v>118</v>
      </c>
      <c r="B615" s="1" t="s">
        <v>19</v>
      </c>
      <c r="C615" s="1" t="s">
        <v>58</v>
      </c>
      <c r="D615" s="1" t="s">
        <v>63</v>
      </c>
      <c r="E615" s="1" t="s">
        <v>38</v>
      </c>
      <c r="F615" s="1" t="s">
        <v>49</v>
      </c>
      <c r="G615" s="2">
        <v>45463</v>
      </c>
      <c r="H615" s="2">
        <v>45508</v>
      </c>
      <c r="I615" s="1">
        <v>32336.880000000001</v>
      </c>
      <c r="J615" s="1">
        <v>0.3785</v>
      </c>
      <c r="K615" s="1">
        <v>12239.51</v>
      </c>
      <c r="L615" s="1">
        <v>374032</v>
      </c>
      <c r="M615" s="1">
        <v>31665</v>
      </c>
      <c r="N615" s="1">
        <v>137218.69</v>
      </c>
      <c r="O615" s="1">
        <v>2024</v>
      </c>
      <c r="P615" s="1" t="s">
        <v>53</v>
      </c>
      <c r="Q615" s="1" t="s">
        <v>46</v>
      </c>
      <c r="R615" s="4" t="s">
        <v>41</v>
      </c>
      <c r="S615" s="25">
        <f>Table1[[#This Row],[Clicks]]/Table1[[#This Row],[Impressions]]</f>
        <v>8.4658531890319549E-2</v>
      </c>
      <c r="T615" s="22">
        <f>Table1[[#This Row],[Sales]]/Table1[[#This Row],[USD_Spend]]</f>
        <v>11.21112609900233</v>
      </c>
      <c r="U615" s="1" t="str">
        <f>Outlier_Check!C625</f>
        <v>Normal</v>
      </c>
    </row>
    <row r="616" spans="1:21" x14ac:dyDescent="0.35">
      <c r="A616" s="3" t="s">
        <v>115</v>
      </c>
      <c r="B616" s="1" t="s">
        <v>19</v>
      </c>
      <c r="C616" s="1" t="s">
        <v>58</v>
      </c>
      <c r="D616" s="1" t="s">
        <v>51</v>
      </c>
      <c r="E616" s="1" t="s">
        <v>30</v>
      </c>
      <c r="F616" s="1" t="s">
        <v>44</v>
      </c>
      <c r="G616" s="2">
        <v>45466</v>
      </c>
      <c r="H616" s="2">
        <v>45497</v>
      </c>
      <c r="I616" s="1">
        <v>26707.66</v>
      </c>
      <c r="J616" s="1">
        <v>0.83799999999999997</v>
      </c>
      <c r="K616" s="1">
        <v>22381.02</v>
      </c>
      <c r="L616" s="1">
        <v>651784</v>
      </c>
      <c r="M616" s="1">
        <v>3913</v>
      </c>
      <c r="N616" s="1">
        <v>31779.05</v>
      </c>
      <c r="O616" s="1">
        <v>2024</v>
      </c>
      <c r="P616" s="1" t="s">
        <v>53</v>
      </c>
      <c r="Q616" s="1" t="s">
        <v>46</v>
      </c>
      <c r="R616" s="4" t="s">
        <v>41</v>
      </c>
      <c r="S616" s="25">
        <f>Table1[[#This Row],[Clicks]]/Table1[[#This Row],[Impressions]]</f>
        <v>6.0035226394020104E-3</v>
      </c>
      <c r="T616" s="22">
        <f>Table1[[#This Row],[Sales]]/Table1[[#This Row],[USD_Spend]]</f>
        <v>1.4199107100570036</v>
      </c>
      <c r="U616" s="1" t="str">
        <f>Outlier_Check!C626</f>
        <v>Normal</v>
      </c>
    </row>
    <row r="617" spans="1:21" x14ac:dyDescent="0.35">
      <c r="A617" s="3" t="s">
        <v>115</v>
      </c>
      <c r="B617" s="1" t="s">
        <v>19</v>
      </c>
      <c r="C617" s="1" t="s">
        <v>29</v>
      </c>
      <c r="D617" s="1" t="s">
        <v>43</v>
      </c>
      <c r="E617" s="1" t="s">
        <v>30</v>
      </c>
      <c r="F617" s="1" t="s">
        <v>49</v>
      </c>
      <c r="G617" s="2">
        <v>45468</v>
      </c>
      <c r="H617" s="2">
        <v>45486</v>
      </c>
      <c r="I617" s="1">
        <v>36074.769999999997</v>
      </c>
      <c r="J617" s="1">
        <v>1.1575</v>
      </c>
      <c r="K617" s="1">
        <v>41756.550000000003</v>
      </c>
      <c r="L617" s="1">
        <v>190117</v>
      </c>
      <c r="M617" s="1">
        <v>49515</v>
      </c>
      <c r="N617" s="1">
        <v>136595.99</v>
      </c>
      <c r="O617" s="1">
        <v>2024</v>
      </c>
      <c r="P617" s="1" t="s">
        <v>53</v>
      </c>
      <c r="Q617" s="1" t="s">
        <v>46</v>
      </c>
      <c r="R617" s="4" t="s">
        <v>41</v>
      </c>
      <c r="S617" s="25">
        <f>Table1[[#This Row],[Clicks]]/Table1[[#This Row],[Impressions]]</f>
        <v>0.26044488393988963</v>
      </c>
      <c r="T617" s="22">
        <f>Table1[[#This Row],[Sales]]/Table1[[#This Row],[USD_Spend]]</f>
        <v>3.2712470259156943</v>
      </c>
      <c r="U617" s="1" t="str">
        <f>Outlier_Check!C627</f>
        <v>Normal</v>
      </c>
    </row>
    <row r="618" spans="1:21" x14ac:dyDescent="0.35">
      <c r="A618" s="3" t="s">
        <v>79</v>
      </c>
      <c r="B618" s="1" t="s">
        <v>28</v>
      </c>
      <c r="C618" s="1" t="s">
        <v>20</v>
      </c>
      <c r="D618" s="1" t="s">
        <v>21</v>
      </c>
      <c r="E618" s="1" t="s">
        <v>30</v>
      </c>
      <c r="F618" s="1" t="s">
        <v>49</v>
      </c>
      <c r="G618" s="2">
        <v>45468</v>
      </c>
      <c r="H618" s="2">
        <v>45481</v>
      </c>
      <c r="I618" s="1">
        <v>36665.050000000003</v>
      </c>
      <c r="J618" s="1">
        <v>0.27500000000000002</v>
      </c>
      <c r="K618" s="1">
        <v>10082.89</v>
      </c>
      <c r="L618" s="1">
        <v>13642</v>
      </c>
      <c r="M618" s="1">
        <v>49656</v>
      </c>
      <c r="N618" s="1">
        <v>10570.16</v>
      </c>
      <c r="O618" s="1">
        <v>2024</v>
      </c>
      <c r="P618" s="1" t="s">
        <v>53</v>
      </c>
      <c r="Q618" s="1" t="s">
        <v>46</v>
      </c>
      <c r="R618" s="4" t="s">
        <v>61</v>
      </c>
      <c r="S618" s="25">
        <f>Table1[[#This Row],[Clicks]]/Table1[[#This Row],[Impressions]]</f>
        <v>3.6399354933294239</v>
      </c>
      <c r="T618" s="22">
        <f>Table1[[#This Row],[Sales]]/Table1[[#This Row],[USD_Spend]]</f>
        <v>1.0483264222856741</v>
      </c>
      <c r="U618" s="1" t="str">
        <f>Outlier_Check!C628</f>
        <v>Normal</v>
      </c>
    </row>
    <row r="619" spans="1:21" x14ac:dyDescent="0.35">
      <c r="A619" s="3" t="s">
        <v>99</v>
      </c>
      <c r="B619" s="1" t="s">
        <v>48</v>
      </c>
      <c r="C619" s="1" t="s">
        <v>58</v>
      </c>
      <c r="D619" s="1" t="s">
        <v>43</v>
      </c>
      <c r="E619" s="1" t="s">
        <v>30</v>
      </c>
      <c r="F619" s="1" t="s">
        <v>49</v>
      </c>
      <c r="G619" s="2">
        <v>45470</v>
      </c>
      <c r="H619" s="2">
        <v>45511</v>
      </c>
      <c r="I619" s="1">
        <v>1415.26</v>
      </c>
      <c r="J619" s="1">
        <v>0.78349999999999997</v>
      </c>
      <c r="K619" s="1">
        <v>1108.8599999999999</v>
      </c>
      <c r="L619" s="1">
        <v>471477</v>
      </c>
      <c r="M619" s="1">
        <v>23115</v>
      </c>
      <c r="N619" s="1">
        <v>181995.85</v>
      </c>
      <c r="O619" s="1">
        <v>2024</v>
      </c>
      <c r="P619" s="1" t="s">
        <v>53</v>
      </c>
      <c r="Q619" s="1" t="s">
        <v>46</v>
      </c>
      <c r="R619" s="4" t="s">
        <v>61</v>
      </c>
      <c r="S619" s="25">
        <f>Table1[[#This Row],[Clicks]]/Table1[[#This Row],[Impressions]]</f>
        <v>4.9026781794233865E-2</v>
      </c>
      <c r="T619" s="22">
        <f>Table1[[#This Row],[Sales]]/Table1[[#This Row],[USD_Spend]]</f>
        <v>164.12878992839495</v>
      </c>
      <c r="U619" s="1" t="str">
        <f>Outlier_Check!C629</f>
        <v>Normal</v>
      </c>
    </row>
    <row r="620" spans="1:21" x14ac:dyDescent="0.35">
      <c r="A620" s="3" t="s">
        <v>71</v>
      </c>
      <c r="B620" s="1" t="s">
        <v>48</v>
      </c>
      <c r="C620" s="1" t="s">
        <v>36</v>
      </c>
      <c r="D620" s="1" t="s">
        <v>43</v>
      </c>
      <c r="E620" s="1" t="s">
        <v>38</v>
      </c>
      <c r="F620" s="1" t="s">
        <v>23</v>
      </c>
      <c r="G620" s="2">
        <v>45470</v>
      </c>
      <c r="H620" s="2">
        <v>45477</v>
      </c>
      <c r="I620" s="1">
        <v>15532.91</v>
      </c>
      <c r="J620" s="1">
        <v>0.90590000000000004</v>
      </c>
      <c r="K620" s="1">
        <v>14071.26</v>
      </c>
      <c r="L620" s="1">
        <v>741963</v>
      </c>
      <c r="M620" s="1">
        <v>40240</v>
      </c>
      <c r="N620" s="1">
        <v>137896.6</v>
      </c>
      <c r="O620" s="1">
        <v>2024</v>
      </c>
      <c r="P620" s="1" t="s">
        <v>53</v>
      </c>
      <c r="Q620" s="1" t="s">
        <v>46</v>
      </c>
      <c r="R620" s="4" t="s">
        <v>41</v>
      </c>
      <c r="S620" s="25">
        <f>Table1[[#This Row],[Clicks]]/Table1[[#This Row],[Impressions]]</f>
        <v>5.4234510346203246E-2</v>
      </c>
      <c r="T620" s="22">
        <f>Table1[[#This Row],[Sales]]/Table1[[#This Row],[USD_Spend]]</f>
        <v>9.7998757751615706</v>
      </c>
      <c r="U620" s="1" t="str">
        <f>Outlier_Check!C630</f>
        <v>Normal</v>
      </c>
    </row>
    <row r="621" spans="1:21" x14ac:dyDescent="0.35">
      <c r="A621" s="3" t="s">
        <v>117</v>
      </c>
      <c r="B621" s="1" t="s">
        <v>28</v>
      </c>
      <c r="C621" s="1" t="s">
        <v>36</v>
      </c>
      <c r="D621" s="1" t="s">
        <v>63</v>
      </c>
      <c r="E621" s="1" t="s">
        <v>22</v>
      </c>
      <c r="F621" s="1" t="s">
        <v>44</v>
      </c>
      <c r="G621" s="2">
        <v>45472</v>
      </c>
      <c r="H621" s="2">
        <v>45506</v>
      </c>
      <c r="I621" s="1">
        <v>20640.009999999998</v>
      </c>
      <c r="J621" s="1">
        <v>0.502</v>
      </c>
      <c r="K621" s="1">
        <v>10361.290000000001</v>
      </c>
      <c r="L621" s="1">
        <v>661034</v>
      </c>
      <c r="M621" s="1">
        <v>16070</v>
      </c>
      <c r="N621" s="1">
        <v>139247.51</v>
      </c>
      <c r="O621" s="1">
        <v>2024</v>
      </c>
      <c r="P621" s="1" t="s">
        <v>53</v>
      </c>
      <c r="Q621" s="1" t="s">
        <v>46</v>
      </c>
      <c r="R621" s="4" t="s">
        <v>54</v>
      </c>
      <c r="S621" s="25">
        <f>Table1[[#This Row],[Clicks]]/Table1[[#This Row],[Impressions]]</f>
        <v>2.4310398557411569E-2</v>
      </c>
      <c r="T621" s="22">
        <f>Table1[[#This Row],[Sales]]/Table1[[#This Row],[USD_Spend]]</f>
        <v>13.439205928991466</v>
      </c>
      <c r="U621" s="1" t="str">
        <f>Outlier_Check!C631</f>
        <v>Normal</v>
      </c>
    </row>
    <row r="622" spans="1:21" x14ac:dyDescent="0.35">
      <c r="A622" s="3" t="s">
        <v>96</v>
      </c>
      <c r="B622" s="1" t="s">
        <v>28</v>
      </c>
      <c r="C622" s="1" t="s">
        <v>36</v>
      </c>
      <c r="D622" s="1" t="s">
        <v>21</v>
      </c>
      <c r="E622" s="1" t="s">
        <v>38</v>
      </c>
      <c r="F622" s="1" t="s">
        <v>49</v>
      </c>
      <c r="G622" s="2">
        <v>45472</v>
      </c>
      <c r="H622" s="2">
        <v>45504</v>
      </c>
      <c r="I622" s="1">
        <v>33414.550000000003</v>
      </c>
      <c r="J622" s="1">
        <v>9.2100000000000001E-2</v>
      </c>
      <c r="K622" s="1">
        <v>3077.48</v>
      </c>
      <c r="L622" s="1">
        <v>688998</v>
      </c>
      <c r="M622" s="1">
        <v>22462</v>
      </c>
      <c r="N622" s="1">
        <v>8099.78</v>
      </c>
      <c r="O622" s="1">
        <v>2024</v>
      </c>
      <c r="P622" s="1" t="s">
        <v>53</v>
      </c>
      <c r="Q622" s="1" t="s">
        <v>46</v>
      </c>
      <c r="R622" s="4" t="s">
        <v>61</v>
      </c>
      <c r="S622" s="25">
        <f>Table1[[#This Row],[Clicks]]/Table1[[#This Row],[Impressions]]</f>
        <v>3.2600965459986822E-2</v>
      </c>
      <c r="T622" s="22">
        <f>Table1[[#This Row],[Sales]]/Table1[[#This Row],[USD_Spend]]</f>
        <v>2.6319521166668833</v>
      </c>
      <c r="U622" s="1" t="str">
        <f>Outlier_Check!C632</f>
        <v>Normal</v>
      </c>
    </row>
    <row r="623" spans="1:21" x14ac:dyDescent="0.35">
      <c r="A623" s="3" t="s">
        <v>103</v>
      </c>
      <c r="B623" s="1" t="s">
        <v>35</v>
      </c>
      <c r="C623" s="1" t="s">
        <v>69</v>
      </c>
      <c r="D623" s="1" t="s">
        <v>37</v>
      </c>
      <c r="E623" s="1" t="s">
        <v>22</v>
      </c>
      <c r="F623" s="1" t="s">
        <v>31</v>
      </c>
      <c r="G623" s="2">
        <v>45474</v>
      </c>
      <c r="H623" s="2">
        <v>45534</v>
      </c>
      <c r="I623" s="1">
        <v>12582.71</v>
      </c>
      <c r="J623" s="1">
        <v>0.53649999999999998</v>
      </c>
      <c r="K623" s="1">
        <v>6750.62</v>
      </c>
      <c r="L623" s="1">
        <v>18248</v>
      </c>
      <c r="M623" s="1">
        <v>25854</v>
      </c>
      <c r="N623" s="1">
        <v>232239.31</v>
      </c>
      <c r="O623" s="1">
        <v>2024</v>
      </c>
      <c r="P623" s="1" t="s">
        <v>80</v>
      </c>
      <c r="Q623" s="1" t="s">
        <v>33</v>
      </c>
      <c r="R623" s="4" t="s">
        <v>61</v>
      </c>
      <c r="S623" s="25">
        <f>Table1[[#This Row],[Clicks]]/Table1[[#This Row],[Impressions]]</f>
        <v>1.4168128014028936</v>
      </c>
      <c r="T623" s="22">
        <f>Table1[[#This Row],[Sales]]/Table1[[#This Row],[USD_Spend]]</f>
        <v>34.402663755329144</v>
      </c>
      <c r="U623" s="1" t="str">
        <f>Outlier_Check!C633</f>
        <v>Normal</v>
      </c>
    </row>
    <row r="624" spans="1:21" x14ac:dyDescent="0.35">
      <c r="A624" s="3" t="s">
        <v>111</v>
      </c>
      <c r="B624" s="1" t="s">
        <v>19</v>
      </c>
      <c r="C624" s="1" t="s">
        <v>36</v>
      </c>
      <c r="D624" s="1" t="s">
        <v>59</v>
      </c>
      <c r="E624" s="1" t="s">
        <v>30</v>
      </c>
      <c r="F624" s="1" t="s">
        <v>31</v>
      </c>
      <c r="G624" s="2">
        <v>45474</v>
      </c>
      <c r="H624" s="2">
        <v>45511</v>
      </c>
      <c r="I624" s="1">
        <v>46251.29</v>
      </c>
      <c r="J624" s="1">
        <v>1.0448999999999999</v>
      </c>
      <c r="K624" s="1">
        <v>48327.97</v>
      </c>
      <c r="L624" s="1">
        <v>448620</v>
      </c>
      <c r="M624" s="1">
        <v>35728</v>
      </c>
      <c r="N624" s="1">
        <v>14007.47</v>
      </c>
      <c r="O624" s="1">
        <v>2024</v>
      </c>
      <c r="P624" s="1" t="s">
        <v>80</v>
      </c>
      <c r="Q624" s="1" t="s">
        <v>33</v>
      </c>
      <c r="R624" s="4" t="s">
        <v>61</v>
      </c>
      <c r="S624" s="25">
        <f>Table1[[#This Row],[Clicks]]/Table1[[#This Row],[Impressions]]</f>
        <v>7.9639784227185595E-2</v>
      </c>
      <c r="T624" s="22">
        <f>Table1[[#This Row],[Sales]]/Table1[[#This Row],[USD_Spend]]</f>
        <v>0.28984188659279503</v>
      </c>
      <c r="U624" s="1" t="str">
        <f>Outlier_Check!C634</f>
        <v>Normal</v>
      </c>
    </row>
    <row r="625" spans="1:21" x14ac:dyDescent="0.35">
      <c r="A625" s="3" t="s">
        <v>89</v>
      </c>
      <c r="B625" s="1" t="s">
        <v>19</v>
      </c>
      <c r="C625" s="1" t="s">
        <v>69</v>
      </c>
      <c r="D625" s="1" t="s">
        <v>43</v>
      </c>
      <c r="E625" s="1" t="s">
        <v>22</v>
      </c>
      <c r="F625" s="1" t="s">
        <v>31</v>
      </c>
      <c r="G625" s="2">
        <v>45474</v>
      </c>
      <c r="H625" s="2">
        <v>45479</v>
      </c>
      <c r="I625" s="1">
        <v>32429.71</v>
      </c>
      <c r="J625" s="1">
        <v>0.74580000000000002</v>
      </c>
      <c r="K625" s="1">
        <v>24186.080000000002</v>
      </c>
      <c r="L625" s="1">
        <v>802682</v>
      </c>
      <c r="M625" s="1">
        <v>48986</v>
      </c>
      <c r="N625" s="1">
        <v>148473.96</v>
      </c>
      <c r="O625" s="1">
        <v>2024</v>
      </c>
      <c r="P625" s="1" t="s">
        <v>80</v>
      </c>
      <c r="Q625" s="1" t="s">
        <v>33</v>
      </c>
      <c r="R625" s="4" t="s">
        <v>41</v>
      </c>
      <c r="S625" s="25">
        <f>Table1[[#This Row],[Clicks]]/Table1[[#This Row],[Impressions]]</f>
        <v>6.1027903952000917E-2</v>
      </c>
      <c r="T625" s="22">
        <f>Table1[[#This Row],[Sales]]/Table1[[#This Row],[USD_Spend]]</f>
        <v>6.1388186924048869</v>
      </c>
      <c r="U625" s="1" t="str">
        <f>Outlier_Check!C635</f>
        <v>Normal</v>
      </c>
    </row>
    <row r="626" spans="1:21" x14ac:dyDescent="0.35">
      <c r="A626" s="3" t="s">
        <v>78</v>
      </c>
      <c r="B626" s="1" t="s">
        <v>28</v>
      </c>
      <c r="C626" s="1" t="s">
        <v>36</v>
      </c>
      <c r="D626" s="1" t="s">
        <v>43</v>
      </c>
      <c r="E626" s="1" t="s">
        <v>30</v>
      </c>
      <c r="F626" s="1" t="s">
        <v>44</v>
      </c>
      <c r="G626" s="2">
        <v>45475</v>
      </c>
      <c r="H626" s="2">
        <v>45523</v>
      </c>
      <c r="I626" s="1">
        <v>43477.81</v>
      </c>
      <c r="J626" s="1">
        <v>0.57499999999999996</v>
      </c>
      <c r="K626" s="1">
        <v>24999.74</v>
      </c>
      <c r="L626" s="1">
        <v>934481</v>
      </c>
      <c r="M626" s="1">
        <v>15543</v>
      </c>
      <c r="N626" s="1">
        <v>121684.26</v>
      </c>
      <c r="O626" s="1">
        <v>2024</v>
      </c>
      <c r="P626" s="1" t="s">
        <v>80</v>
      </c>
      <c r="Q626" s="1" t="s">
        <v>33</v>
      </c>
      <c r="R626" s="4" t="s">
        <v>61</v>
      </c>
      <c r="S626" s="25">
        <f>Table1[[#This Row],[Clicks]]/Table1[[#This Row],[Impressions]]</f>
        <v>1.6632761928813963E-2</v>
      </c>
      <c r="T626" s="22">
        <f>Table1[[#This Row],[Sales]]/Table1[[#This Row],[USD_Spend]]</f>
        <v>4.86742102117862</v>
      </c>
      <c r="U626" s="1" t="str">
        <f>Outlier_Check!C636</f>
        <v>Normal</v>
      </c>
    </row>
    <row r="627" spans="1:21" x14ac:dyDescent="0.35">
      <c r="A627" s="3" t="s">
        <v>82</v>
      </c>
      <c r="B627" s="1" t="s">
        <v>28</v>
      </c>
      <c r="C627" s="1" t="s">
        <v>69</v>
      </c>
      <c r="D627" s="1" t="s">
        <v>63</v>
      </c>
      <c r="E627" s="1" t="s">
        <v>22</v>
      </c>
      <c r="F627" s="1" t="s">
        <v>44</v>
      </c>
      <c r="G627" s="2">
        <v>45478</v>
      </c>
      <c r="H627" s="2">
        <v>45529</v>
      </c>
      <c r="I627" s="1">
        <v>6940.88</v>
      </c>
      <c r="J627" s="1">
        <v>1.0553999999999999</v>
      </c>
      <c r="K627" s="1">
        <v>7325.4</v>
      </c>
      <c r="L627" s="1">
        <v>846979</v>
      </c>
      <c r="M627" s="1">
        <v>3470</v>
      </c>
      <c r="N627" s="1">
        <v>153739.99</v>
      </c>
      <c r="O627" s="1">
        <v>2024</v>
      </c>
      <c r="P627" s="1" t="s">
        <v>80</v>
      </c>
      <c r="Q627" s="1" t="s">
        <v>33</v>
      </c>
      <c r="R627" s="4" t="s">
        <v>41</v>
      </c>
      <c r="S627" s="25">
        <f>Table1[[#This Row],[Clicks]]/Table1[[#This Row],[Impressions]]</f>
        <v>4.0969138550070311E-3</v>
      </c>
      <c r="T627" s="22">
        <f>Table1[[#This Row],[Sales]]/Table1[[#This Row],[USD_Spend]]</f>
        <v>20.987248477898817</v>
      </c>
      <c r="U627" s="1" t="str">
        <f>Outlier_Check!C637</f>
        <v>Normal</v>
      </c>
    </row>
    <row r="628" spans="1:21" x14ac:dyDescent="0.35">
      <c r="A628" s="3" t="s">
        <v>105</v>
      </c>
      <c r="B628" s="1" t="s">
        <v>19</v>
      </c>
      <c r="C628" s="1" t="s">
        <v>36</v>
      </c>
      <c r="D628" s="1" t="s">
        <v>21</v>
      </c>
      <c r="E628" s="1" t="s">
        <v>38</v>
      </c>
      <c r="F628" s="1" t="s">
        <v>52</v>
      </c>
      <c r="G628" s="2">
        <v>45480</v>
      </c>
      <c r="H628" s="2">
        <v>45513</v>
      </c>
      <c r="I628" s="1">
        <v>3485.58</v>
      </c>
      <c r="J628" s="1">
        <v>4.4499999999999998E-2</v>
      </c>
      <c r="K628" s="1">
        <v>155.11000000000001</v>
      </c>
      <c r="L628" s="1">
        <v>957170</v>
      </c>
      <c r="M628" s="1">
        <v>44369</v>
      </c>
      <c r="N628" s="1">
        <v>17361.72</v>
      </c>
      <c r="O628" s="1">
        <v>2024</v>
      </c>
      <c r="P628" s="1" t="s">
        <v>80</v>
      </c>
      <c r="Q628" s="1" t="s">
        <v>33</v>
      </c>
      <c r="R628" s="4" t="s">
        <v>54</v>
      </c>
      <c r="S628" s="25">
        <f>Table1[[#This Row],[Clicks]]/Table1[[#This Row],[Impressions]]</f>
        <v>4.6354357115245985E-2</v>
      </c>
      <c r="T628" s="22">
        <f>Table1[[#This Row],[Sales]]/Table1[[#This Row],[USD_Spend]]</f>
        <v>111.93166140158597</v>
      </c>
      <c r="U628" s="1" t="str">
        <f>Outlier_Check!C638</f>
        <v>Normal</v>
      </c>
    </row>
    <row r="629" spans="1:21" x14ac:dyDescent="0.35">
      <c r="A629" s="3" t="s">
        <v>82</v>
      </c>
      <c r="B629" s="1" t="s">
        <v>28</v>
      </c>
      <c r="C629" s="1" t="s">
        <v>69</v>
      </c>
      <c r="D629" s="1" t="s">
        <v>37</v>
      </c>
      <c r="E629" s="1" t="s">
        <v>22</v>
      </c>
      <c r="F629" s="1" t="s">
        <v>44</v>
      </c>
      <c r="G629" s="2">
        <v>45481</v>
      </c>
      <c r="H629" s="2">
        <v>45508</v>
      </c>
      <c r="I629" s="1">
        <v>32161.15</v>
      </c>
      <c r="J629" s="1">
        <v>0.83520000000000005</v>
      </c>
      <c r="K629" s="1">
        <v>26860.99</v>
      </c>
      <c r="L629" s="1">
        <v>20060</v>
      </c>
      <c r="M629" s="1">
        <v>22055</v>
      </c>
      <c r="N629" s="1">
        <v>5358.2</v>
      </c>
      <c r="O629" s="1">
        <v>2024</v>
      </c>
      <c r="P629" s="1" t="s">
        <v>80</v>
      </c>
      <c r="Q629" s="1" t="s">
        <v>33</v>
      </c>
      <c r="R629" s="4" t="s">
        <v>61</v>
      </c>
      <c r="S629" s="25">
        <f>Table1[[#This Row],[Clicks]]/Table1[[#This Row],[Impressions]]</f>
        <v>1.0994516450648055</v>
      </c>
      <c r="T629" s="22">
        <f>Table1[[#This Row],[Sales]]/Table1[[#This Row],[USD_Spend]]</f>
        <v>0.19947887252107982</v>
      </c>
      <c r="U629" s="1" t="str">
        <f>Outlier_Check!C639</f>
        <v>Normal</v>
      </c>
    </row>
    <row r="630" spans="1:21" x14ac:dyDescent="0.35">
      <c r="A630" s="3" t="s">
        <v>96</v>
      </c>
      <c r="B630" s="1" t="s">
        <v>48</v>
      </c>
      <c r="C630" s="1" t="s">
        <v>36</v>
      </c>
      <c r="D630" s="1" t="s">
        <v>43</v>
      </c>
      <c r="E630" s="1" t="s">
        <v>38</v>
      </c>
      <c r="F630" s="1" t="s">
        <v>52</v>
      </c>
      <c r="G630" s="2">
        <v>45481</v>
      </c>
      <c r="H630" s="2">
        <v>45496</v>
      </c>
      <c r="I630" s="1">
        <v>14982.23</v>
      </c>
      <c r="J630" s="1">
        <v>0.22739999999999999</v>
      </c>
      <c r="K630" s="1">
        <v>3406.96</v>
      </c>
      <c r="L630" s="1">
        <v>815625</v>
      </c>
      <c r="M630" s="1">
        <v>5973</v>
      </c>
      <c r="N630" s="1">
        <v>42785.71</v>
      </c>
      <c r="O630" s="1">
        <v>2024</v>
      </c>
      <c r="P630" s="1" t="s">
        <v>80</v>
      </c>
      <c r="Q630" s="1" t="s">
        <v>33</v>
      </c>
      <c r="R630" s="4" t="s">
        <v>26</v>
      </c>
      <c r="S630" s="25">
        <f>Table1[[#This Row],[Clicks]]/Table1[[#This Row],[Impressions]]</f>
        <v>7.3232183908045973E-3</v>
      </c>
      <c r="T630" s="22">
        <f>Table1[[#This Row],[Sales]]/Table1[[#This Row],[USD_Spend]]</f>
        <v>12.558324723507173</v>
      </c>
      <c r="U630" s="1" t="str">
        <f>Outlier_Check!C640</f>
        <v>Normal</v>
      </c>
    </row>
    <row r="631" spans="1:21" x14ac:dyDescent="0.35">
      <c r="A631" s="3" t="s">
        <v>90</v>
      </c>
      <c r="B631" s="1" t="s">
        <v>19</v>
      </c>
      <c r="C631" s="1" t="s">
        <v>20</v>
      </c>
      <c r="D631" s="1" t="s">
        <v>21</v>
      </c>
      <c r="E631" s="1" t="s">
        <v>38</v>
      </c>
      <c r="F631" s="1" t="s">
        <v>23</v>
      </c>
      <c r="G631" s="2">
        <v>45482</v>
      </c>
      <c r="H631" s="2">
        <v>45516</v>
      </c>
      <c r="I631" s="1">
        <v>21372.94</v>
      </c>
      <c r="J631" s="1">
        <v>0.25609999999999999</v>
      </c>
      <c r="K631" s="1">
        <v>5473.61</v>
      </c>
      <c r="L631" s="1">
        <v>450552</v>
      </c>
      <c r="M631" s="1">
        <v>25624</v>
      </c>
      <c r="N631" s="1">
        <v>226685.43</v>
      </c>
      <c r="O631" s="1">
        <v>2024</v>
      </c>
      <c r="P631" s="1" t="s">
        <v>80</v>
      </c>
      <c r="Q631" s="1" t="s">
        <v>33</v>
      </c>
      <c r="R631" s="4" t="s">
        <v>41</v>
      </c>
      <c r="S631" s="25">
        <f>Table1[[#This Row],[Clicks]]/Table1[[#This Row],[Impressions]]</f>
        <v>5.6872458672916779E-2</v>
      </c>
      <c r="T631" s="22">
        <f>Table1[[#This Row],[Sales]]/Table1[[#This Row],[USD_Spend]]</f>
        <v>41.414245808524903</v>
      </c>
      <c r="U631" s="1" t="str">
        <f>Outlier_Check!C641</f>
        <v>Normal</v>
      </c>
    </row>
    <row r="632" spans="1:21" x14ac:dyDescent="0.35">
      <c r="A632" s="3" t="s">
        <v>95</v>
      </c>
      <c r="B632" s="1" t="s">
        <v>35</v>
      </c>
      <c r="C632" s="1" t="s">
        <v>29</v>
      </c>
      <c r="D632" s="1" t="s">
        <v>21</v>
      </c>
      <c r="E632" s="1" t="s">
        <v>30</v>
      </c>
      <c r="F632" s="1" t="s">
        <v>44</v>
      </c>
      <c r="G632" s="2">
        <v>45483</v>
      </c>
      <c r="H632" s="2">
        <v>45522</v>
      </c>
      <c r="I632" s="1">
        <v>24133.09</v>
      </c>
      <c r="J632" s="1">
        <v>0.9325</v>
      </c>
      <c r="K632" s="1">
        <v>22504.11</v>
      </c>
      <c r="L632" s="1">
        <v>393588</v>
      </c>
      <c r="M632" s="1">
        <v>25822</v>
      </c>
      <c r="N632" s="1">
        <v>59710.13</v>
      </c>
      <c r="O632" s="1">
        <v>2024</v>
      </c>
      <c r="P632" s="1" t="s">
        <v>80</v>
      </c>
      <c r="Q632" s="1" t="s">
        <v>33</v>
      </c>
      <c r="R632" s="4" t="s">
        <v>26</v>
      </c>
      <c r="S632" s="25">
        <f>Table1[[#This Row],[Clicks]]/Table1[[#This Row],[Impressions]]</f>
        <v>6.5606675000254078E-2</v>
      </c>
      <c r="T632" s="22">
        <f>Table1[[#This Row],[Sales]]/Table1[[#This Row],[USD_Spend]]</f>
        <v>2.6532988862923261</v>
      </c>
      <c r="U632" s="1" t="str">
        <f>Outlier_Check!C642</f>
        <v>Normal</v>
      </c>
    </row>
    <row r="633" spans="1:21" x14ac:dyDescent="0.35">
      <c r="A633" s="3" t="s">
        <v>96</v>
      </c>
      <c r="B633" s="1" t="s">
        <v>28</v>
      </c>
      <c r="C633" s="1" t="s">
        <v>69</v>
      </c>
      <c r="D633" s="1" t="s">
        <v>59</v>
      </c>
      <c r="E633" s="1" t="s">
        <v>30</v>
      </c>
      <c r="F633" s="1" t="s">
        <v>49</v>
      </c>
      <c r="G633" s="2">
        <v>45483</v>
      </c>
      <c r="H633" s="2">
        <v>45518</v>
      </c>
      <c r="I633" s="1">
        <v>15475.44</v>
      </c>
      <c r="J633" s="1">
        <v>0.27050000000000002</v>
      </c>
      <c r="K633" s="1">
        <v>4186.1099999999997</v>
      </c>
      <c r="L633" s="1">
        <v>933685</v>
      </c>
      <c r="M633" s="1">
        <v>49577</v>
      </c>
      <c r="N633" s="1">
        <v>192164.47</v>
      </c>
      <c r="O633" s="1">
        <v>2024</v>
      </c>
      <c r="P633" s="1" t="s">
        <v>80</v>
      </c>
      <c r="Q633" s="1" t="s">
        <v>33</v>
      </c>
      <c r="R633" s="4" t="s">
        <v>26</v>
      </c>
      <c r="S633" s="25">
        <f>Table1[[#This Row],[Clicks]]/Table1[[#This Row],[Impressions]]</f>
        <v>5.3098207639621503E-2</v>
      </c>
      <c r="T633" s="22">
        <f>Table1[[#This Row],[Sales]]/Table1[[#This Row],[USD_Spend]]</f>
        <v>45.905260492438089</v>
      </c>
      <c r="U633" s="1" t="str">
        <f>Outlier_Check!C643</f>
        <v>Normal</v>
      </c>
    </row>
    <row r="634" spans="1:21" x14ac:dyDescent="0.35">
      <c r="A634" s="3" t="s">
        <v>77</v>
      </c>
      <c r="B634" s="1" t="s">
        <v>19</v>
      </c>
      <c r="C634" s="1" t="s">
        <v>36</v>
      </c>
      <c r="D634" s="1" t="s">
        <v>21</v>
      </c>
      <c r="E634" s="1" t="s">
        <v>30</v>
      </c>
      <c r="F634" s="1" t="s">
        <v>23</v>
      </c>
      <c r="G634" s="2">
        <v>45485</v>
      </c>
      <c r="H634" s="2">
        <v>45521</v>
      </c>
      <c r="I634" s="1">
        <v>16337.79</v>
      </c>
      <c r="J634" s="1">
        <v>0.78590000000000004</v>
      </c>
      <c r="K634" s="1">
        <v>12839.87</v>
      </c>
      <c r="L634" s="1">
        <v>347471</v>
      </c>
      <c r="M634" s="1">
        <v>30336</v>
      </c>
      <c r="N634" s="1">
        <v>178672.7</v>
      </c>
      <c r="O634" s="1">
        <v>2024</v>
      </c>
      <c r="P634" s="1" t="s">
        <v>80</v>
      </c>
      <c r="Q634" s="1" t="s">
        <v>33</v>
      </c>
      <c r="R634" s="4" t="s">
        <v>54</v>
      </c>
      <c r="S634" s="25">
        <f>Table1[[#This Row],[Clicks]]/Table1[[#This Row],[Impressions]]</f>
        <v>8.7305127622161277E-2</v>
      </c>
      <c r="T634" s="22">
        <f>Table1[[#This Row],[Sales]]/Table1[[#This Row],[USD_Spend]]</f>
        <v>13.91546020325751</v>
      </c>
      <c r="U634" s="1" t="str">
        <f>Outlier_Check!C644</f>
        <v>Normal</v>
      </c>
    </row>
    <row r="635" spans="1:21" x14ac:dyDescent="0.35">
      <c r="A635" s="3" t="s">
        <v>79</v>
      </c>
      <c r="B635" s="1" t="s">
        <v>35</v>
      </c>
      <c r="C635" s="1" t="s">
        <v>36</v>
      </c>
      <c r="D635" s="1" t="s">
        <v>63</v>
      </c>
      <c r="E635" s="1" t="s">
        <v>22</v>
      </c>
      <c r="F635" s="1" t="s">
        <v>52</v>
      </c>
      <c r="G635" s="2">
        <v>45485</v>
      </c>
      <c r="H635" s="2">
        <v>45492</v>
      </c>
      <c r="I635" s="1">
        <v>41895.160000000003</v>
      </c>
      <c r="J635" s="1">
        <v>0.70320000000000005</v>
      </c>
      <c r="K635" s="1">
        <v>29460.68</v>
      </c>
      <c r="L635" s="1">
        <v>165287</v>
      </c>
      <c r="M635" s="1">
        <v>28266</v>
      </c>
      <c r="N635" s="1">
        <v>36224.15</v>
      </c>
      <c r="O635" s="1">
        <v>2024</v>
      </c>
      <c r="P635" s="1" t="s">
        <v>80</v>
      </c>
      <c r="Q635" s="1" t="s">
        <v>33</v>
      </c>
      <c r="R635" s="4" t="s">
        <v>26</v>
      </c>
      <c r="S635" s="25">
        <f>Table1[[#This Row],[Clicks]]/Table1[[#This Row],[Impressions]]</f>
        <v>0.17101163430880831</v>
      </c>
      <c r="T635" s="22">
        <f>Table1[[#This Row],[Sales]]/Table1[[#This Row],[USD_Spend]]</f>
        <v>1.2295761672846655</v>
      </c>
      <c r="U635" s="1" t="str">
        <f>Outlier_Check!C645</f>
        <v>Normal</v>
      </c>
    </row>
    <row r="636" spans="1:21" x14ac:dyDescent="0.35">
      <c r="A636" s="3" t="s">
        <v>98</v>
      </c>
      <c r="B636" s="1" t="s">
        <v>19</v>
      </c>
      <c r="C636" s="1" t="s">
        <v>69</v>
      </c>
      <c r="D636" s="1" t="s">
        <v>37</v>
      </c>
      <c r="E636" s="1" t="s">
        <v>38</v>
      </c>
      <c r="F636" s="1" t="s">
        <v>44</v>
      </c>
      <c r="G636" s="2">
        <v>45487</v>
      </c>
      <c r="H636" s="2">
        <v>45544</v>
      </c>
      <c r="I636" s="1">
        <v>36959.760000000002</v>
      </c>
      <c r="J636" s="1">
        <v>1.1097999999999999</v>
      </c>
      <c r="K636" s="1">
        <v>41017.94</v>
      </c>
      <c r="L636" s="1">
        <v>705558</v>
      </c>
      <c r="M636" s="1">
        <v>4184</v>
      </c>
      <c r="N636" s="1">
        <v>62726.21</v>
      </c>
      <c r="O636" s="1">
        <v>2024</v>
      </c>
      <c r="P636" s="1" t="s">
        <v>80</v>
      </c>
      <c r="Q636" s="1" t="s">
        <v>33</v>
      </c>
      <c r="R636" s="4" t="s">
        <v>26</v>
      </c>
      <c r="S636" s="25">
        <f>Table1[[#This Row],[Clicks]]/Table1[[#This Row],[Impressions]]</f>
        <v>5.9300581950739702E-3</v>
      </c>
      <c r="T636" s="22">
        <f>Table1[[#This Row],[Sales]]/Table1[[#This Row],[USD_Spend]]</f>
        <v>1.5292384259180249</v>
      </c>
      <c r="U636" s="1" t="str">
        <f>Outlier_Check!C646</f>
        <v>Normal</v>
      </c>
    </row>
    <row r="637" spans="1:21" x14ac:dyDescent="0.35">
      <c r="A637" s="3" t="s">
        <v>34</v>
      </c>
      <c r="B637" s="1" t="s">
        <v>19</v>
      </c>
      <c r="C637" s="1" t="s">
        <v>36</v>
      </c>
      <c r="D637" s="1" t="s">
        <v>37</v>
      </c>
      <c r="E637" s="1" t="s">
        <v>30</v>
      </c>
      <c r="F637" s="1" t="s">
        <v>49</v>
      </c>
      <c r="G637" s="2">
        <v>45487</v>
      </c>
      <c r="H637" s="2">
        <v>45528</v>
      </c>
      <c r="I637" s="1">
        <v>7399.12</v>
      </c>
      <c r="J637" s="1">
        <v>1.0244</v>
      </c>
      <c r="K637" s="1">
        <v>7579.66</v>
      </c>
      <c r="L637" s="1">
        <v>836596</v>
      </c>
      <c r="M637" s="1">
        <v>22627</v>
      </c>
      <c r="N637" s="1">
        <v>224067.89</v>
      </c>
      <c r="O637" s="1">
        <v>2024</v>
      </c>
      <c r="P637" s="1" t="s">
        <v>80</v>
      </c>
      <c r="Q637" s="1" t="s">
        <v>33</v>
      </c>
      <c r="R637" s="4" t="s">
        <v>26</v>
      </c>
      <c r="S637" s="25">
        <f>Table1[[#This Row],[Clicks]]/Table1[[#This Row],[Impressions]]</f>
        <v>2.7046507513782042E-2</v>
      </c>
      <c r="T637" s="22">
        <f>Table1[[#This Row],[Sales]]/Table1[[#This Row],[USD_Spend]]</f>
        <v>29.561733639767485</v>
      </c>
      <c r="U637" s="1" t="str">
        <f>Outlier_Check!C647</f>
        <v>Normal</v>
      </c>
    </row>
    <row r="638" spans="1:21" x14ac:dyDescent="0.35">
      <c r="A638" s="3" t="s">
        <v>68</v>
      </c>
      <c r="B638" s="1" t="s">
        <v>48</v>
      </c>
      <c r="C638" s="1" t="s">
        <v>20</v>
      </c>
      <c r="D638" s="1" t="s">
        <v>21</v>
      </c>
      <c r="E638" s="1" t="s">
        <v>22</v>
      </c>
      <c r="F638" s="1" t="s">
        <v>23</v>
      </c>
      <c r="G638" s="2">
        <v>45487</v>
      </c>
      <c r="H638" s="2">
        <v>45497</v>
      </c>
      <c r="I638" s="1">
        <v>17559.580000000002</v>
      </c>
      <c r="J638" s="1">
        <v>1.1825000000000001</v>
      </c>
      <c r="K638" s="1">
        <v>20764.2</v>
      </c>
      <c r="L638" s="1">
        <v>946615</v>
      </c>
      <c r="M638" s="1">
        <v>31736</v>
      </c>
      <c r="N638" s="1">
        <v>177603.64</v>
      </c>
      <c r="O638" s="1">
        <v>2024</v>
      </c>
      <c r="P638" s="1" t="s">
        <v>80</v>
      </c>
      <c r="Q638" s="1" t="s">
        <v>33</v>
      </c>
      <c r="R638" s="4" t="s">
        <v>26</v>
      </c>
      <c r="S638" s="25">
        <f>Table1[[#This Row],[Clicks]]/Table1[[#This Row],[Impressions]]</f>
        <v>3.3525773413689834E-2</v>
      </c>
      <c r="T638" s="22">
        <f>Table1[[#This Row],[Sales]]/Table1[[#This Row],[USD_Spend]]</f>
        <v>8.553358183797112</v>
      </c>
      <c r="U638" s="1" t="str">
        <f>Outlier_Check!C648</f>
        <v>Normal</v>
      </c>
    </row>
    <row r="639" spans="1:21" x14ac:dyDescent="0.35">
      <c r="A639" s="3" t="s">
        <v>57</v>
      </c>
      <c r="B639" s="1" t="s">
        <v>28</v>
      </c>
      <c r="C639" s="1" t="s">
        <v>29</v>
      </c>
      <c r="D639" s="1" t="s">
        <v>21</v>
      </c>
      <c r="E639" s="1" t="s">
        <v>30</v>
      </c>
      <c r="F639" s="1" t="s">
        <v>31</v>
      </c>
      <c r="G639" s="2">
        <v>45488</v>
      </c>
      <c r="H639" s="2">
        <v>45509</v>
      </c>
      <c r="I639" s="1">
        <v>12619.82</v>
      </c>
      <c r="J639" s="1">
        <v>0.57089999999999996</v>
      </c>
      <c r="K639" s="1">
        <v>7204.66</v>
      </c>
      <c r="L639" s="1">
        <v>652865</v>
      </c>
      <c r="M639" s="1">
        <v>22585</v>
      </c>
      <c r="N639" s="1">
        <v>94651.42</v>
      </c>
      <c r="O639" s="1">
        <v>2024</v>
      </c>
      <c r="P639" s="1" t="s">
        <v>80</v>
      </c>
      <c r="Q639" s="1" t="s">
        <v>33</v>
      </c>
      <c r="R639" s="4" t="s">
        <v>41</v>
      </c>
      <c r="S639" s="25">
        <f>Table1[[#This Row],[Clicks]]/Table1[[#This Row],[Impressions]]</f>
        <v>3.459367556845596E-2</v>
      </c>
      <c r="T639" s="22">
        <f>Table1[[#This Row],[Sales]]/Table1[[#This Row],[USD_Spend]]</f>
        <v>13.13752765571172</v>
      </c>
      <c r="U639" s="1" t="str">
        <f>Outlier_Check!C649</f>
        <v>Normal</v>
      </c>
    </row>
    <row r="640" spans="1:21" x14ac:dyDescent="0.35">
      <c r="A640" s="3" t="s">
        <v>72</v>
      </c>
      <c r="B640" s="1" t="s">
        <v>28</v>
      </c>
      <c r="C640" s="1" t="s">
        <v>58</v>
      </c>
      <c r="D640" s="1" t="s">
        <v>59</v>
      </c>
      <c r="E640" s="1" t="s">
        <v>30</v>
      </c>
      <c r="F640" s="1" t="s">
        <v>31</v>
      </c>
      <c r="G640" s="2">
        <v>45490</v>
      </c>
      <c r="H640" s="2">
        <v>45536</v>
      </c>
      <c r="I640" s="1">
        <v>47229.760000000002</v>
      </c>
      <c r="J640" s="1">
        <v>0.41170000000000001</v>
      </c>
      <c r="K640" s="1">
        <v>19444.490000000002</v>
      </c>
      <c r="L640" s="1">
        <v>810441</v>
      </c>
      <c r="M640" s="1">
        <v>32122</v>
      </c>
      <c r="N640" s="1">
        <v>241794.53</v>
      </c>
      <c r="O640" s="1">
        <v>2024</v>
      </c>
      <c r="P640" s="1" t="s">
        <v>80</v>
      </c>
      <c r="Q640" s="1" t="s">
        <v>33</v>
      </c>
      <c r="R640" s="4" t="s">
        <v>61</v>
      </c>
      <c r="S640" s="25">
        <f>Table1[[#This Row],[Clicks]]/Table1[[#This Row],[Impressions]]</f>
        <v>3.9635210953049019E-2</v>
      </c>
      <c r="T640" s="22">
        <f>Table1[[#This Row],[Sales]]/Table1[[#This Row],[USD_Spend]]</f>
        <v>12.435118123437539</v>
      </c>
      <c r="U640" s="1" t="str">
        <f>Outlier_Check!C650</f>
        <v>Normal</v>
      </c>
    </row>
    <row r="641" spans="1:21" x14ac:dyDescent="0.35">
      <c r="A641" s="3" t="s">
        <v>114</v>
      </c>
      <c r="B641" s="1" t="s">
        <v>35</v>
      </c>
      <c r="C641" s="1" t="s">
        <v>69</v>
      </c>
      <c r="D641" s="1" t="s">
        <v>63</v>
      </c>
      <c r="E641" s="1" t="s">
        <v>30</v>
      </c>
      <c r="F641" s="1" t="s">
        <v>23</v>
      </c>
      <c r="G641" s="2">
        <v>45490</v>
      </c>
      <c r="H641" s="2">
        <v>45505</v>
      </c>
      <c r="I641" s="1">
        <v>20938.47</v>
      </c>
      <c r="J641" s="1">
        <v>1.1227</v>
      </c>
      <c r="K641" s="1">
        <v>23507.62</v>
      </c>
      <c r="L641" s="1">
        <v>931068</v>
      </c>
      <c r="M641" s="1">
        <v>31275</v>
      </c>
      <c r="N641" s="1">
        <v>121974.89</v>
      </c>
      <c r="O641" s="1">
        <v>2024</v>
      </c>
      <c r="P641" s="1" t="s">
        <v>80</v>
      </c>
      <c r="Q641" s="1" t="s">
        <v>33</v>
      </c>
      <c r="R641" s="4" t="s">
        <v>26</v>
      </c>
      <c r="S641" s="25">
        <f>Table1[[#This Row],[Clicks]]/Table1[[#This Row],[Impressions]]</f>
        <v>3.3590457410199899E-2</v>
      </c>
      <c r="T641" s="22">
        <f>Table1[[#This Row],[Sales]]/Table1[[#This Row],[USD_Spend]]</f>
        <v>5.1887383750460492</v>
      </c>
      <c r="U641" s="1" t="str">
        <f>Outlier_Check!C651</f>
        <v>Normal</v>
      </c>
    </row>
    <row r="642" spans="1:21" x14ac:dyDescent="0.35">
      <c r="A642" s="3" t="s">
        <v>77</v>
      </c>
      <c r="B642" s="1" t="s">
        <v>48</v>
      </c>
      <c r="C642" s="1" t="s">
        <v>69</v>
      </c>
      <c r="D642" s="1" t="s">
        <v>21</v>
      </c>
      <c r="E642" s="1" t="s">
        <v>38</v>
      </c>
      <c r="F642" s="1" t="s">
        <v>31</v>
      </c>
      <c r="G642" s="2">
        <v>45491</v>
      </c>
      <c r="H642" s="2">
        <v>45526</v>
      </c>
      <c r="I642" s="1">
        <v>47383.43</v>
      </c>
      <c r="J642" s="1">
        <v>0.33189999999999997</v>
      </c>
      <c r="K642" s="1">
        <v>15726.56</v>
      </c>
      <c r="L642" s="1">
        <v>53768</v>
      </c>
      <c r="M642" s="1">
        <v>6919</v>
      </c>
      <c r="N642" s="1">
        <v>13722.02</v>
      </c>
      <c r="O642" s="1">
        <v>2024</v>
      </c>
      <c r="P642" s="1" t="s">
        <v>80</v>
      </c>
      <c r="Q642" s="1" t="s">
        <v>33</v>
      </c>
      <c r="R642" s="4" t="s">
        <v>61</v>
      </c>
      <c r="S642" s="25">
        <f>Table1[[#This Row],[Clicks]]/Table1[[#This Row],[Impressions]]</f>
        <v>0.12868248772504093</v>
      </c>
      <c r="T642" s="22">
        <f>Table1[[#This Row],[Sales]]/Table1[[#This Row],[USD_Spend]]</f>
        <v>0.87253792310587952</v>
      </c>
      <c r="U642" s="1" t="str">
        <f>Outlier_Check!C652</f>
        <v>Normal</v>
      </c>
    </row>
    <row r="643" spans="1:21" x14ac:dyDescent="0.35">
      <c r="A643" s="3" t="s">
        <v>91</v>
      </c>
      <c r="B643" s="1" t="s">
        <v>35</v>
      </c>
      <c r="C643" s="1" t="s">
        <v>69</v>
      </c>
      <c r="D643" s="1" t="s">
        <v>63</v>
      </c>
      <c r="E643" s="1" t="s">
        <v>30</v>
      </c>
      <c r="F643" s="1" t="s">
        <v>23</v>
      </c>
      <c r="G643" s="2">
        <v>45491</v>
      </c>
      <c r="H643" s="2">
        <v>45500</v>
      </c>
      <c r="I643" s="1">
        <v>45947.8</v>
      </c>
      <c r="J643" s="1">
        <v>0.621</v>
      </c>
      <c r="K643" s="1">
        <v>28533.58</v>
      </c>
      <c r="L643" s="1">
        <v>545456</v>
      </c>
      <c r="M643" s="1">
        <v>27947</v>
      </c>
      <c r="N643" s="1">
        <v>106189.75</v>
      </c>
      <c r="O643" s="1">
        <v>2024</v>
      </c>
      <c r="P643" s="1" t="s">
        <v>80</v>
      </c>
      <c r="Q643" s="1" t="s">
        <v>33</v>
      </c>
      <c r="R643" s="4" t="s">
        <v>26</v>
      </c>
      <c r="S643" s="25">
        <f>Table1[[#This Row],[Clicks]]/Table1[[#This Row],[Impressions]]</f>
        <v>5.1236030037253237E-2</v>
      </c>
      <c r="T643" s="22">
        <f>Table1[[#This Row],[Sales]]/Table1[[#This Row],[USD_Spend]]</f>
        <v>3.7215712153890257</v>
      </c>
      <c r="U643" s="1" t="str">
        <f>Outlier_Check!C653</f>
        <v>Normal</v>
      </c>
    </row>
    <row r="644" spans="1:21" x14ac:dyDescent="0.35">
      <c r="A644" s="3" t="s">
        <v>67</v>
      </c>
      <c r="B644" s="1" t="s">
        <v>28</v>
      </c>
      <c r="C644" s="1" t="s">
        <v>29</v>
      </c>
      <c r="D644" s="1" t="s">
        <v>21</v>
      </c>
      <c r="E644" s="1" t="s">
        <v>22</v>
      </c>
      <c r="F644" s="1" t="s">
        <v>31</v>
      </c>
      <c r="G644" s="2">
        <v>45492</v>
      </c>
      <c r="H644" s="2">
        <v>45545</v>
      </c>
      <c r="I644" s="1">
        <v>27628.07</v>
      </c>
      <c r="J644" s="1">
        <v>0.55189999999999995</v>
      </c>
      <c r="K644" s="1">
        <v>15247.93</v>
      </c>
      <c r="L644" s="1">
        <v>347408</v>
      </c>
      <c r="M644" s="1">
        <v>12463</v>
      </c>
      <c r="N644" s="1">
        <v>245289.78</v>
      </c>
      <c r="O644" s="1">
        <v>2024</v>
      </c>
      <c r="P644" s="1" t="s">
        <v>80</v>
      </c>
      <c r="Q644" s="1" t="s">
        <v>33</v>
      </c>
      <c r="R644" s="4" t="s">
        <v>54</v>
      </c>
      <c r="S644" s="25">
        <f>Table1[[#This Row],[Clicks]]/Table1[[#This Row],[Impressions]]</f>
        <v>3.5874245843503891E-2</v>
      </c>
      <c r="T644" s="22">
        <f>Table1[[#This Row],[Sales]]/Table1[[#This Row],[USD_Spend]]</f>
        <v>16.086759317494241</v>
      </c>
      <c r="U644" s="1" t="str">
        <f>Outlier_Check!C654</f>
        <v>Normal</v>
      </c>
    </row>
    <row r="645" spans="1:21" x14ac:dyDescent="0.35">
      <c r="A645" s="3" t="s">
        <v>68</v>
      </c>
      <c r="B645" s="1" t="s">
        <v>35</v>
      </c>
      <c r="C645" s="1" t="s">
        <v>20</v>
      </c>
      <c r="D645" s="1" t="s">
        <v>37</v>
      </c>
      <c r="E645" s="1" t="s">
        <v>30</v>
      </c>
      <c r="F645" s="1" t="s">
        <v>23</v>
      </c>
      <c r="G645" s="2">
        <v>45492</v>
      </c>
      <c r="H645" s="2">
        <v>45527</v>
      </c>
      <c r="I645" s="1">
        <v>3749.63</v>
      </c>
      <c r="J645" s="1">
        <v>2.12E-2</v>
      </c>
      <c r="K645" s="1">
        <v>79.489999999999995</v>
      </c>
      <c r="L645" s="1">
        <v>189708</v>
      </c>
      <c r="M645" s="1">
        <v>5518</v>
      </c>
      <c r="N645" s="1">
        <v>127465.31</v>
      </c>
      <c r="O645" s="1">
        <v>2024</v>
      </c>
      <c r="P645" s="1" t="s">
        <v>80</v>
      </c>
      <c r="Q645" s="1" t="s">
        <v>33</v>
      </c>
      <c r="R645" s="4" t="s">
        <v>61</v>
      </c>
      <c r="S645" s="25">
        <f>Table1[[#This Row],[Clicks]]/Table1[[#This Row],[Impressions]]</f>
        <v>2.9086807093006095E-2</v>
      </c>
      <c r="T645" s="22">
        <f>Table1[[#This Row],[Sales]]/Table1[[#This Row],[USD_Spend]]</f>
        <v>1603.5389357151844</v>
      </c>
      <c r="U645" s="1" t="str">
        <f>Outlier_Check!C655</f>
        <v>Normal</v>
      </c>
    </row>
    <row r="646" spans="1:21" x14ac:dyDescent="0.35">
      <c r="A646" s="3" t="s">
        <v>84</v>
      </c>
      <c r="B646" s="1" t="s">
        <v>28</v>
      </c>
      <c r="C646" s="1" t="s">
        <v>36</v>
      </c>
      <c r="D646" s="1" t="s">
        <v>63</v>
      </c>
      <c r="E646" s="1" t="s">
        <v>22</v>
      </c>
      <c r="F646" s="1" t="s">
        <v>49</v>
      </c>
      <c r="G646" s="2">
        <v>45493</v>
      </c>
      <c r="H646" s="2">
        <v>45544</v>
      </c>
      <c r="I646" s="1">
        <v>9609.27</v>
      </c>
      <c r="J646" s="1">
        <v>0.4627</v>
      </c>
      <c r="K646" s="1">
        <v>4446.21</v>
      </c>
      <c r="L646" s="1">
        <v>330704</v>
      </c>
      <c r="M646" s="1">
        <v>29827</v>
      </c>
      <c r="N646" s="1">
        <v>74390.31</v>
      </c>
      <c r="O646" s="1">
        <v>2024</v>
      </c>
      <c r="P646" s="1" t="s">
        <v>80</v>
      </c>
      <c r="Q646" s="1" t="s">
        <v>33</v>
      </c>
      <c r="R646" s="4" t="s">
        <v>61</v>
      </c>
      <c r="S646" s="25">
        <f>Table1[[#This Row],[Clicks]]/Table1[[#This Row],[Impressions]]</f>
        <v>9.0192437950553969E-2</v>
      </c>
      <c r="T646" s="22">
        <f>Table1[[#This Row],[Sales]]/Table1[[#This Row],[USD_Spend]]</f>
        <v>16.731173291409988</v>
      </c>
      <c r="U646" s="1" t="str">
        <f>Outlier_Check!C656</f>
        <v>Normal</v>
      </c>
    </row>
    <row r="647" spans="1:21" x14ac:dyDescent="0.35">
      <c r="A647" s="3" t="s">
        <v>47</v>
      </c>
      <c r="B647" s="1" t="s">
        <v>35</v>
      </c>
      <c r="C647" s="1" t="s">
        <v>29</v>
      </c>
      <c r="D647" s="1" t="s">
        <v>43</v>
      </c>
      <c r="E647" s="1" t="s">
        <v>30</v>
      </c>
      <c r="F647" s="1" t="s">
        <v>44</v>
      </c>
      <c r="G647" s="2">
        <v>45493</v>
      </c>
      <c r="H647" s="2">
        <v>45536</v>
      </c>
      <c r="I647" s="1">
        <v>30400.39</v>
      </c>
      <c r="J647" s="1">
        <v>0.73299999999999998</v>
      </c>
      <c r="K647" s="1">
        <v>22283.49</v>
      </c>
      <c r="L647" s="1">
        <v>826808</v>
      </c>
      <c r="M647" s="1">
        <v>45351</v>
      </c>
      <c r="N647" s="1">
        <v>11571.98</v>
      </c>
      <c r="O647" s="1">
        <v>2024</v>
      </c>
      <c r="P647" s="1" t="s">
        <v>80</v>
      </c>
      <c r="Q647" s="1" t="s">
        <v>33</v>
      </c>
      <c r="R647" s="4" t="s">
        <v>61</v>
      </c>
      <c r="S647" s="25">
        <f>Table1[[#This Row],[Clicks]]/Table1[[#This Row],[Impressions]]</f>
        <v>5.4850702944335326E-2</v>
      </c>
      <c r="T647" s="22">
        <f>Table1[[#This Row],[Sales]]/Table1[[#This Row],[USD_Spend]]</f>
        <v>0.51930734368808473</v>
      </c>
      <c r="U647" s="1" t="str">
        <f>Outlier_Check!C657</f>
        <v>Normal</v>
      </c>
    </row>
    <row r="648" spans="1:21" x14ac:dyDescent="0.35">
      <c r="A648" s="3" t="s">
        <v>115</v>
      </c>
      <c r="B648" s="1" t="s">
        <v>48</v>
      </c>
      <c r="C648" s="1" t="s">
        <v>58</v>
      </c>
      <c r="D648" s="1" t="s">
        <v>21</v>
      </c>
      <c r="E648" s="1" t="s">
        <v>30</v>
      </c>
      <c r="F648" s="1" t="s">
        <v>44</v>
      </c>
      <c r="G648" s="2">
        <v>45494</v>
      </c>
      <c r="H648" s="2">
        <v>45530</v>
      </c>
      <c r="I648" s="1">
        <v>40609</v>
      </c>
      <c r="J648" s="1">
        <v>2.2700000000000001E-2</v>
      </c>
      <c r="K648" s="1">
        <v>921.82</v>
      </c>
      <c r="L648" s="1">
        <v>454579</v>
      </c>
      <c r="M648" s="1">
        <v>44470</v>
      </c>
      <c r="N648" s="1">
        <v>129627.18</v>
      </c>
      <c r="O648" s="1">
        <v>2024</v>
      </c>
      <c r="P648" s="1" t="s">
        <v>80</v>
      </c>
      <c r="Q648" s="1" t="s">
        <v>33</v>
      </c>
      <c r="R648" s="4" t="s">
        <v>26</v>
      </c>
      <c r="S648" s="25">
        <f>Table1[[#This Row],[Clicks]]/Table1[[#This Row],[Impressions]]</f>
        <v>9.7826780383607689E-2</v>
      </c>
      <c r="T648" s="22">
        <f>Table1[[#This Row],[Sales]]/Table1[[#This Row],[USD_Spend]]</f>
        <v>140.62092382460781</v>
      </c>
      <c r="U648" s="1" t="str">
        <f>Outlier_Check!C658</f>
        <v>Normal</v>
      </c>
    </row>
    <row r="649" spans="1:21" x14ac:dyDescent="0.35">
      <c r="A649" s="3" t="s">
        <v>87</v>
      </c>
      <c r="B649" s="1" t="s">
        <v>48</v>
      </c>
      <c r="C649" s="1" t="s">
        <v>58</v>
      </c>
      <c r="D649" s="1" t="s">
        <v>51</v>
      </c>
      <c r="E649" s="1" t="s">
        <v>22</v>
      </c>
      <c r="F649" s="1" t="s">
        <v>52</v>
      </c>
      <c r="G649" s="2">
        <v>45494</v>
      </c>
      <c r="H649" s="2">
        <v>45510</v>
      </c>
      <c r="I649" s="1">
        <v>24351.22</v>
      </c>
      <c r="J649" s="1">
        <v>0.43070000000000003</v>
      </c>
      <c r="K649" s="1">
        <v>10488.07</v>
      </c>
      <c r="L649" s="1">
        <v>947758</v>
      </c>
      <c r="M649" s="1">
        <v>37698</v>
      </c>
      <c r="N649" s="1">
        <v>70923.570000000007</v>
      </c>
      <c r="O649" s="1">
        <v>2024</v>
      </c>
      <c r="P649" s="1" t="s">
        <v>80</v>
      </c>
      <c r="Q649" s="1" t="s">
        <v>33</v>
      </c>
      <c r="R649" s="4" t="s">
        <v>61</v>
      </c>
      <c r="S649" s="25">
        <f>Table1[[#This Row],[Clicks]]/Table1[[#This Row],[Impressions]]</f>
        <v>3.9775976567858043E-2</v>
      </c>
      <c r="T649" s="22">
        <f>Table1[[#This Row],[Sales]]/Table1[[#This Row],[USD_Spend]]</f>
        <v>6.7623089853519289</v>
      </c>
      <c r="U649" s="1" t="str">
        <f>Outlier_Check!C659</f>
        <v>Normal</v>
      </c>
    </row>
    <row r="650" spans="1:21" x14ac:dyDescent="0.35">
      <c r="A650" s="3" t="s">
        <v>64</v>
      </c>
      <c r="B650" s="1" t="s">
        <v>19</v>
      </c>
      <c r="C650" s="1" t="s">
        <v>20</v>
      </c>
      <c r="D650" s="1" t="s">
        <v>63</v>
      </c>
      <c r="E650" s="1" t="s">
        <v>22</v>
      </c>
      <c r="F650" s="1" t="s">
        <v>23</v>
      </c>
      <c r="G650" s="2">
        <v>45495</v>
      </c>
      <c r="H650" s="2">
        <v>45528</v>
      </c>
      <c r="I650" s="1">
        <v>40225.14</v>
      </c>
      <c r="J650" s="1">
        <v>0.15640000000000001</v>
      </c>
      <c r="K650" s="1">
        <v>6291.21</v>
      </c>
      <c r="L650" s="1">
        <v>145073</v>
      </c>
      <c r="M650" s="1">
        <v>37788</v>
      </c>
      <c r="N650" s="1">
        <v>55526.33</v>
      </c>
      <c r="O650" s="1">
        <v>2024</v>
      </c>
      <c r="P650" s="1" t="s">
        <v>80</v>
      </c>
      <c r="Q650" s="1" t="s">
        <v>33</v>
      </c>
      <c r="R650" s="4" t="s">
        <v>26</v>
      </c>
      <c r="S650" s="25">
        <f>Table1[[#This Row],[Clicks]]/Table1[[#This Row],[Impressions]]</f>
        <v>0.26047576047920701</v>
      </c>
      <c r="T650" s="22">
        <f>Table1[[#This Row],[Sales]]/Table1[[#This Row],[USD_Spend]]</f>
        <v>8.826017570546842</v>
      </c>
      <c r="U650" s="1" t="str">
        <f>Outlier_Check!C660</f>
        <v>Normal</v>
      </c>
    </row>
    <row r="651" spans="1:21" x14ac:dyDescent="0.35">
      <c r="A651" s="3" t="s">
        <v>113</v>
      </c>
      <c r="B651" s="1" t="s">
        <v>35</v>
      </c>
      <c r="C651" s="1" t="s">
        <v>36</v>
      </c>
      <c r="D651" s="1" t="s">
        <v>21</v>
      </c>
      <c r="E651" s="1" t="s">
        <v>22</v>
      </c>
      <c r="F651" s="1" t="s">
        <v>52</v>
      </c>
      <c r="G651" s="2">
        <v>45495</v>
      </c>
      <c r="H651" s="2">
        <v>45510</v>
      </c>
      <c r="I651" s="1">
        <v>24992.46</v>
      </c>
      <c r="J651" s="1">
        <v>0.17699999999999999</v>
      </c>
      <c r="K651" s="1">
        <v>4423.67</v>
      </c>
      <c r="L651" s="1">
        <v>339861</v>
      </c>
      <c r="M651" s="1">
        <v>29656</v>
      </c>
      <c r="N651" s="1">
        <v>156755.44</v>
      </c>
      <c r="O651" s="1">
        <v>2024</v>
      </c>
      <c r="P651" s="1" t="s">
        <v>80</v>
      </c>
      <c r="Q651" s="1" t="s">
        <v>33</v>
      </c>
      <c r="R651" s="4" t="s">
        <v>54</v>
      </c>
      <c r="S651" s="25">
        <f>Table1[[#This Row],[Clicks]]/Table1[[#This Row],[Impressions]]</f>
        <v>8.7259203027119911E-2</v>
      </c>
      <c r="T651" s="22">
        <f>Table1[[#This Row],[Sales]]/Table1[[#This Row],[USD_Spend]]</f>
        <v>35.435608894876879</v>
      </c>
      <c r="U651" s="1" t="str">
        <f>Outlier_Check!C661</f>
        <v>Normal</v>
      </c>
    </row>
    <row r="652" spans="1:21" x14ac:dyDescent="0.35">
      <c r="A652" s="3" t="s">
        <v>47</v>
      </c>
      <c r="B652" s="1" t="s">
        <v>48</v>
      </c>
      <c r="C652" s="1" t="s">
        <v>69</v>
      </c>
      <c r="D652" s="1" t="s">
        <v>21</v>
      </c>
      <c r="E652" s="1" t="s">
        <v>22</v>
      </c>
      <c r="F652" s="1" t="s">
        <v>44</v>
      </c>
      <c r="G652" s="2">
        <v>45498</v>
      </c>
      <c r="H652" s="2">
        <v>45533</v>
      </c>
      <c r="I652" s="1">
        <v>47923.17</v>
      </c>
      <c r="J652" s="1">
        <v>1.1059000000000001</v>
      </c>
      <c r="K652" s="1">
        <v>52998.23</v>
      </c>
      <c r="L652" s="1">
        <v>72471</v>
      </c>
      <c r="M652" s="1">
        <v>22994</v>
      </c>
      <c r="N652" s="1">
        <v>93410.34</v>
      </c>
      <c r="O652" s="1">
        <v>2024</v>
      </c>
      <c r="P652" s="1" t="s">
        <v>80</v>
      </c>
      <c r="Q652" s="1" t="s">
        <v>33</v>
      </c>
      <c r="R652" s="4" t="s">
        <v>54</v>
      </c>
      <c r="S652" s="25">
        <f>Table1[[#This Row],[Clicks]]/Table1[[#This Row],[Impressions]]</f>
        <v>0.31728553490361661</v>
      </c>
      <c r="T652" s="22">
        <f>Table1[[#This Row],[Sales]]/Table1[[#This Row],[USD_Spend]]</f>
        <v>1.7625181067367719</v>
      </c>
      <c r="U652" s="1" t="str">
        <f>Outlier_Check!C662</f>
        <v>Normal</v>
      </c>
    </row>
    <row r="653" spans="1:21" x14ac:dyDescent="0.35">
      <c r="A653" s="3" t="s">
        <v>95</v>
      </c>
      <c r="B653" s="1" t="s">
        <v>35</v>
      </c>
      <c r="C653" s="1" t="s">
        <v>58</v>
      </c>
      <c r="D653" s="1" t="s">
        <v>59</v>
      </c>
      <c r="E653" s="1" t="s">
        <v>30</v>
      </c>
      <c r="F653" s="1" t="s">
        <v>44</v>
      </c>
      <c r="G653" s="2">
        <v>45498</v>
      </c>
      <c r="H653" s="2">
        <v>45530</v>
      </c>
      <c r="I653" s="1">
        <v>32952.51</v>
      </c>
      <c r="J653" s="1">
        <v>0.2218</v>
      </c>
      <c r="K653" s="1">
        <v>7308.87</v>
      </c>
      <c r="L653" s="1">
        <v>918211</v>
      </c>
      <c r="M653" s="1">
        <v>24065</v>
      </c>
      <c r="N653" s="1">
        <v>214566.22</v>
      </c>
      <c r="O653" s="1">
        <v>2024</v>
      </c>
      <c r="P653" s="1" t="s">
        <v>80</v>
      </c>
      <c r="Q653" s="1" t="s">
        <v>33</v>
      </c>
      <c r="R653" s="4" t="s">
        <v>61</v>
      </c>
      <c r="S653" s="25">
        <f>Table1[[#This Row],[Clicks]]/Table1[[#This Row],[Impressions]]</f>
        <v>2.620857297505693E-2</v>
      </c>
      <c r="T653" s="22">
        <f>Table1[[#This Row],[Sales]]/Table1[[#This Row],[USD_Spend]]</f>
        <v>29.356962156940813</v>
      </c>
      <c r="U653" s="1" t="str">
        <f>Outlier_Check!C663</f>
        <v>Normal</v>
      </c>
    </row>
    <row r="654" spans="1:21" x14ac:dyDescent="0.35">
      <c r="A654" s="3" t="s">
        <v>99</v>
      </c>
      <c r="B654" s="1" t="s">
        <v>28</v>
      </c>
      <c r="C654" s="1" t="s">
        <v>58</v>
      </c>
      <c r="D654" s="1" t="s">
        <v>63</v>
      </c>
      <c r="E654" s="1" t="s">
        <v>22</v>
      </c>
      <c r="F654" s="1" t="s">
        <v>49</v>
      </c>
      <c r="G654" s="2">
        <v>45498</v>
      </c>
      <c r="H654" s="2">
        <v>45507</v>
      </c>
      <c r="I654" s="1">
        <v>29173.15</v>
      </c>
      <c r="J654" s="1">
        <v>0.28089999999999998</v>
      </c>
      <c r="K654" s="1">
        <v>8194.74</v>
      </c>
      <c r="L654" s="1">
        <v>281212</v>
      </c>
      <c r="M654" s="1">
        <v>26814</v>
      </c>
      <c r="N654" s="1">
        <v>100067.99</v>
      </c>
      <c r="O654" s="1">
        <v>2024</v>
      </c>
      <c r="P654" s="1" t="s">
        <v>80</v>
      </c>
      <c r="Q654" s="1" t="s">
        <v>33</v>
      </c>
      <c r="R654" s="4" t="s">
        <v>26</v>
      </c>
      <c r="S654" s="25">
        <f>Table1[[#This Row],[Clicks]]/Table1[[#This Row],[Impressions]]</f>
        <v>9.5351549720495574E-2</v>
      </c>
      <c r="T654" s="22">
        <f>Table1[[#This Row],[Sales]]/Table1[[#This Row],[USD_Spend]]</f>
        <v>12.211246482499751</v>
      </c>
      <c r="U654" s="1" t="str">
        <f>Outlier_Check!C664</f>
        <v>Normal</v>
      </c>
    </row>
    <row r="655" spans="1:21" x14ac:dyDescent="0.35">
      <c r="A655" s="3" t="s">
        <v>75</v>
      </c>
      <c r="B655" s="1" t="s">
        <v>48</v>
      </c>
      <c r="C655" s="1" t="s">
        <v>36</v>
      </c>
      <c r="D655" s="1" t="s">
        <v>51</v>
      </c>
      <c r="E655" s="1" t="s">
        <v>22</v>
      </c>
      <c r="F655" s="1" t="s">
        <v>49</v>
      </c>
      <c r="G655" s="2">
        <v>45499</v>
      </c>
      <c r="H655" s="2">
        <v>45539</v>
      </c>
      <c r="I655" s="1">
        <v>24704.25</v>
      </c>
      <c r="J655" s="1">
        <v>1.1862999999999999</v>
      </c>
      <c r="K655" s="1">
        <v>29306.65</v>
      </c>
      <c r="L655" s="1">
        <v>615711</v>
      </c>
      <c r="M655" s="1">
        <v>22667</v>
      </c>
      <c r="N655" s="1">
        <v>194677.65</v>
      </c>
      <c r="O655" s="1">
        <v>2024</v>
      </c>
      <c r="P655" s="1" t="s">
        <v>80</v>
      </c>
      <c r="Q655" s="1" t="s">
        <v>33</v>
      </c>
      <c r="R655" s="4" t="s">
        <v>61</v>
      </c>
      <c r="S655" s="25">
        <f>Table1[[#This Row],[Clicks]]/Table1[[#This Row],[Impressions]]</f>
        <v>3.6814349589336555E-2</v>
      </c>
      <c r="T655" s="22">
        <f>Table1[[#This Row],[Sales]]/Table1[[#This Row],[USD_Spend]]</f>
        <v>6.6427807340654761</v>
      </c>
      <c r="U655" s="1" t="str">
        <f>Outlier_Check!C665</f>
        <v>Normal</v>
      </c>
    </row>
    <row r="656" spans="1:21" x14ac:dyDescent="0.35">
      <c r="A656" s="3" t="s">
        <v>81</v>
      </c>
      <c r="B656" s="1" t="s">
        <v>35</v>
      </c>
      <c r="C656" s="1" t="s">
        <v>58</v>
      </c>
      <c r="D656" s="1" t="s">
        <v>21</v>
      </c>
      <c r="E656" s="1" t="s">
        <v>30</v>
      </c>
      <c r="F656" s="1" t="s">
        <v>49</v>
      </c>
      <c r="G656" s="2">
        <v>45499</v>
      </c>
      <c r="H656" s="2">
        <v>45508</v>
      </c>
      <c r="I656" s="1">
        <v>25655.29</v>
      </c>
      <c r="J656" s="1">
        <v>0.41460000000000002</v>
      </c>
      <c r="K656" s="1">
        <v>10636.68</v>
      </c>
      <c r="L656" s="1">
        <v>132692</v>
      </c>
      <c r="M656" s="1">
        <v>33738</v>
      </c>
      <c r="N656" s="1">
        <v>239393.79</v>
      </c>
      <c r="O656" s="1">
        <v>2024</v>
      </c>
      <c r="P656" s="1" t="s">
        <v>80</v>
      </c>
      <c r="Q656" s="1" t="s">
        <v>33</v>
      </c>
      <c r="R656" s="4" t="s">
        <v>61</v>
      </c>
      <c r="S656" s="25">
        <f>Table1[[#This Row],[Clicks]]/Table1[[#This Row],[Impressions]]</f>
        <v>0.25425798088807161</v>
      </c>
      <c r="T656" s="22">
        <f>Table1[[#This Row],[Sales]]/Table1[[#This Row],[USD_Spend]]</f>
        <v>22.506439039249088</v>
      </c>
      <c r="U656" s="1" t="str">
        <f>Outlier_Check!C666</f>
        <v>Normal</v>
      </c>
    </row>
    <row r="657" spans="1:21" x14ac:dyDescent="0.35">
      <c r="A657" s="3" t="s">
        <v>102</v>
      </c>
      <c r="B657" s="1" t="s">
        <v>35</v>
      </c>
      <c r="C657" s="1" t="s">
        <v>69</v>
      </c>
      <c r="D657" s="1" t="s">
        <v>63</v>
      </c>
      <c r="E657" s="1" t="s">
        <v>38</v>
      </c>
      <c r="F657" s="1" t="s">
        <v>31</v>
      </c>
      <c r="G657" s="2">
        <v>45501</v>
      </c>
      <c r="H657" s="2">
        <v>45547</v>
      </c>
      <c r="I657" s="1">
        <v>30094.85</v>
      </c>
      <c r="J657" s="1">
        <v>0.34639999999999999</v>
      </c>
      <c r="K657" s="1">
        <v>10424.86</v>
      </c>
      <c r="L657" s="1">
        <v>727659</v>
      </c>
      <c r="M657" s="1">
        <v>7184</v>
      </c>
      <c r="N657" s="1">
        <v>123025.91</v>
      </c>
      <c r="O657" s="1">
        <v>2024</v>
      </c>
      <c r="P657" s="1" t="s">
        <v>80</v>
      </c>
      <c r="Q657" s="1" t="s">
        <v>33</v>
      </c>
      <c r="R657" s="4" t="s">
        <v>61</v>
      </c>
      <c r="S657" s="25">
        <f>Table1[[#This Row],[Clicks]]/Table1[[#This Row],[Impressions]]</f>
        <v>9.8727563322930107E-3</v>
      </c>
      <c r="T657" s="22">
        <f>Table1[[#This Row],[Sales]]/Table1[[#This Row],[USD_Spend]]</f>
        <v>11.801205004191903</v>
      </c>
      <c r="U657" s="1" t="str">
        <f>Outlier_Check!C667</f>
        <v>Normal</v>
      </c>
    </row>
    <row r="658" spans="1:21" x14ac:dyDescent="0.35">
      <c r="A658" s="3" t="s">
        <v>34</v>
      </c>
      <c r="B658" s="1" t="s">
        <v>19</v>
      </c>
      <c r="C658" s="1" t="s">
        <v>20</v>
      </c>
      <c r="D658" s="1" t="s">
        <v>43</v>
      </c>
      <c r="E658" s="1" t="s">
        <v>22</v>
      </c>
      <c r="F658" s="1" t="s">
        <v>49</v>
      </c>
      <c r="G658" s="2">
        <v>45501</v>
      </c>
      <c r="H658" s="2">
        <v>45547</v>
      </c>
      <c r="I658" s="1">
        <v>7065.3</v>
      </c>
      <c r="J658" s="1">
        <v>0.67559999999999998</v>
      </c>
      <c r="K658" s="1">
        <v>4773.32</v>
      </c>
      <c r="L658" s="1">
        <v>211774</v>
      </c>
      <c r="M658" s="1">
        <v>40647</v>
      </c>
      <c r="N658" s="1">
        <v>137749.41</v>
      </c>
      <c r="O658" s="1">
        <v>2024</v>
      </c>
      <c r="P658" s="1" t="s">
        <v>80</v>
      </c>
      <c r="Q658" s="1" t="s">
        <v>33</v>
      </c>
      <c r="R658" s="4" t="s">
        <v>26</v>
      </c>
      <c r="S658" s="25">
        <f>Table1[[#This Row],[Clicks]]/Table1[[#This Row],[Impressions]]</f>
        <v>0.19193574282017623</v>
      </c>
      <c r="T658" s="22">
        <f>Table1[[#This Row],[Sales]]/Table1[[#This Row],[USD_Spend]]</f>
        <v>28.858197229601203</v>
      </c>
      <c r="U658" s="1" t="str">
        <f>Outlier_Check!C668</f>
        <v>Normal</v>
      </c>
    </row>
    <row r="659" spans="1:21" x14ac:dyDescent="0.35">
      <c r="A659" s="3" t="s">
        <v>91</v>
      </c>
      <c r="B659" s="1" t="s">
        <v>35</v>
      </c>
      <c r="C659" s="1" t="s">
        <v>20</v>
      </c>
      <c r="D659" s="1" t="s">
        <v>63</v>
      </c>
      <c r="E659" s="1" t="s">
        <v>30</v>
      </c>
      <c r="F659" s="1" t="s">
        <v>31</v>
      </c>
      <c r="G659" s="2">
        <v>45501</v>
      </c>
      <c r="H659" s="2">
        <v>45526</v>
      </c>
      <c r="I659" s="1">
        <v>49908.02</v>
      </c>
      <c r="J659" s="1">
        <v>0.57930000000000004</v>
      </c>
      <c r="K659" s="1">
        <v>28911.72</v>
      </c>
      <c r="L659" s="1">
        <v>405129</v>
      </c>
      <c r="M659" s="1">
        <v>20662</v>
      </c>
      <c r="N659" s="1">
        <v>239387.95</v>
      </c>
      <c r="O659" s="1">
        <v>2024</v>
      </c>
      <c r="P659" s="1" t="s">
        <v>80</v>
      </c>
      <c r="Q659" s="1" t="s">
        <v>33</v>
      </c>
      <c r="R659" s="4" t="s">
        <v>54</v>
      </c>
      <c r="S659" s="25">
        <f>Table1[[#This Row],[Clicks]]/Table1[[#This Row],[Impressions]]</f>
        <v>5.1001039175176302E-2</v>
      </c>
      <c r="T659" s="22">
        <f>Table1[[#This Row],[Sales]]/Table1[[#This Row],[USD_Spend]]</f>
        <v>8.2799622436852598</v>
      </c>
      <c r="U659" s="1" t="str">
        <f>Outlier_Check!C669</f>
        <v>Normal</v>
      </c>
    </row>
    <row r="660" spans="1:21" x14ac:dyDescent="0.35">
      <c r="A660" s="3" t="s">
        <v>75</v>
      </c>
      <c r="B660" s="1" t="s">
        <v>28</v>
      </c>
      <c r="C660" s="1" t="s">
        <v>20</v>
      </c>
      <c r="D660" s="1" t="s">
        <v>51</v>
      </c>
      <c r="E660" s="1" t="s">
        <v>30</v>
      </c>
      <c r="F660" s="1" t="s">
        <v>52</v>
      </c>
      <c r="G660" s="2">
        <v>45501</v>
      </c>
      <c r="H660" s="2">
        <v>45516</v>
      </c>
      <c r="I660" s="1">
        <v>11176.41</v>
      </c>
      <c r="J660" s="1">
        <v>1.1311</v>
      </c>
      <c r="K660" s="1">
        <v>12641.64</v>
      </c>
      <c r="L660" s="1">
        <v>632234</v>
      </c>
      <c r="M660" s="1">
        <v>16481</v>
      </c>
      <c r="N660" s="1">
        <v>25552.75</v>
      </c>
      <c r="O660" s="1">
        <v>2024</v>
      </c>
      <c r="P660" s="1" t="s">
        <v>80</v>
      </c>
      <c r="Q660" s="1" t="s">
        <v>33</v>
      </c>
      <c r="R660" s="4" t="s">
        <v>26</v>
      </c>
      <c r="S660" s="25">
        <f>Table1[[#This Row],[Clicks]]/Table1[[#This Row],[Impressions]]</f>
        <v>2.6067879930532049E-2</v>
      </c>
      <c r="T660" s="22">
        <f>Table1[[#This Row],[Sales]]/Table1[[#This Row],[USD_Spend]]</f>
        <v>2.0213160634221512</v>
      </c>
      <c r="U660" s="1" t="str">
        <f>Outlier_Check!C670</f>
        <v>Normal</v>
      </c>
    </row>
    <row r="661" spans="1:21" x14ac:dyDescent="0.35">
      <c r="A661" s="3" t="s">
        <v>119</v>
      </c>
      <c r="B661" s="1" t="s">
        <v>28</v>
      </c>
      <c r="C661" s="1" t="s">
        <v>29</v>
      </c>
      <c r="D661" s="1" t="s">
        <v>37</v>
      </c>
      <c r="E661" s="1" t="s">
        <v>30</v>
      </c>
      <c r="F661" s="1" t="s">
        <v>23</v>
      </c>
      <c r="G661" s="2">
        <v>45502</v>
      </c>
      <c r="H661" s="2">
        <v>45539</v>
      </c>
      <c r="I661" s="1">
        <v>33000.42</v>
      </c>
      <c r="J661" s="1">
        <v>0.49690000000000001</v>
      </c>
      <c r="K661" s="1">
        <v>16397.91</v>
      </c>
      <c r="L661" s="1">
        <v>525611</v>
      </c>
      <c r="M661" s="1">
        <v>27338</v>
      </c>
      <c r="N661" s="1">
        <v>178984.88</v>
      </c>
      <c r="O661" s="1">
        <v>2024</v>
      </c>
      <c r="P661" s="1" t="s">
        <v>80</v>
      </c>
      <c r="Q661" s="1" t="s">
        <v>33</v>
      </c>
      <c r="R661" s="4" t="s">
        <v>61</v>
      </c>
      <c r="S661" s="25">
        <f>Table1[[#This Row],[Clicks]]/Table1[[#This Row],[Impressions]]</f>
        <v>5.2011849067085732E-2</v>
      </c>
      <c r="T661" s="22">
        <f>Table1[[#This Row],[Sales]]/Table1[[#This Row],[USD_Spend]]</f>
        <v>10.915103205225545</v>
      </c>
      <c r="U661" s="1" t="str">
        <f>Outlier_Check!C671</f>
        <v>Normal</v>
      </c>
    </row>
    <row r="662" spans="1:21" x14ac:dyDescent="0.35">
      <c r="A662" s="3" t="s">
        <v>112</v>
      </c>
      <c r="B662" s="1" t="s">
        <v>35</v>
      </c>
      <c r="C662" s="1" t="s">
        <v>58</v>
      </c>
      <c r="D662" s="1" t="s">
        <v>43</v>
      </c>
      <c r="E662" s="1" t="s">
        <v>22</v>
      </c>
      <c r="F662" s="1" t="s">
        <v>31</v>
      </c>
      <c r="G662" s="2">
        <v>45504</v>
      </c>
      <c r="H662" s="2">
        <v>45559</v>
      </c>
      <c r="I662" s="1">
        <v>24706.54</v>
      </c>
      <c r="J662" s="1">
        <v>6.7199999999999996E-2</v>
      </c>
      <c r="K662" s="1">
        <v>1660.28</v>
      </c>
      <c r="L662" s="1">
        <v>107738</v>
      </c>
      <c r="M662" s="1">
        <v>20324</v>
      </c>
      <c r="N662" s="1">
        <v>7077.29</v>
      </c>
      <c r="O662" s="1">
        <v>2024</v>
      </c>
      <c r="P662" s="1" t="s">
        <v>80</v>
      </c>
      <c r="Q662" s="1" t="s">
        <v>33</v>
      </c>
      <c r="R662" s="4" t="s">
        <v>54</v>
      </c>
      <c r="S662" s="25">
        <f>Table1[[#This Row],[Clicks]]/Table1[[#This Row],[Impressions]]</f>
        <v>0.18864281868978447</v>
      </c>
      <c r="T662" s="22">
        <f>Table1[[#This Row],[Sales]]/Table1[[#This Row],[USD_Spend]]</f>
        <v>4.2627086997373933</v>
      </c>
      <c r="U662" s="1" t="str">
        <f>Outlier_Check!C672</f>
        <v>Normal</v>
      </c>
    </row>
    <row r="663" spans="1:21" x14ac:dyDescent="0.35">
      <c r="A663" s="3" t="s">
        <v>102</v>
      </c>
      <c r="B663" s="1" t="s">
        <v>35</v>
      </c>
      <c r="C663" s="1" t="s">
        <v>36</v>
      </c>
      <c r="D663" s="1" t="s">
        <v>59</v>
      </c>
      <c r="E663" s="1" t="s">
        <v>38</v>
      </c>
      <c r="F663" s="1" t="s">
        <v>23</v>
      </c>
      <c r="G663" s="2">
        <v>45505</v>
      </c>
      <c r="H663" s="2">
        <v>45556</v>
      </c>
      <c r="I663" s="1">
        <v>34231.68</v>
      </c>
      <c r="J663" s="1">
        <v>0.67069999999999996</v>
      </c>
      <c r="K663" s="1">
        <v>22959.19</v>
      </c>
      <c r="L663" s="1">
        <v>29627</v>
      </c>
      <c r="M663" s="1">
        <v>13748</v>
      </c>
      <c r="N663" s="1">
        <v>146462.42000000001</v>
      </c>
      <c r="O663" s="1">
        <v>2024</v>
      </c>
      <c r="P663" s="1" t="s">
        <v>32</v>
      </c>
      <c r="Q663" s="1" t="s">
        <v>33</v>
      </c>
      <c r="R663" s="4" t="s">
        <v>41</v>
      </c>
      <c r="S663" s="25">
        <f>Table1[[#This Row],[Clicks]]/Table1[[#This Row],[Impressions]]</f>
        <v>0.46403618321126</v>
      </c>
      <c r="T663" s="22">
        <f>Table1[[#This Row],[Sales]]/Table1[[#This Row],[USD_Spend]]</f>
        <v>6.3792503132732481</v>
      </c>
      <c r="U663" s="1" t="str">
        <f>Outlier_Check!C673</f>
        <v>Normal</v>
      </c>
    </row>
    <row r="664" spans="1:21" x14ac:dyDescent="0.35">
      <c r="A664" s="3" t="s">
        <v>87</v>
      </c>
      <c r="B664" s="1" t="s">
        <v>48</v>
      </c>
      <c r="C664" s="1" t="s">
        <v>36</v>
      </c>
      <c r="D664" s="1" t="s">
        <v>43</v>
      </c>
      <c r="E664" s="1" t="s">
        <v>30</v>
      </c>
      <c r="F664" s="1" t="s">
        <v>31</v>
      </c>
      <c r="G664" s="2">
        <v>45507</v>
      </c>
      <c r="H664" s="2">
        <v>45565</v>
      </c>
      <c r="I664" s="1">
        <v>42622.68</v>
      </c>
      <c r="J664" s="1">
        <v>0.81569999999999998</v>
      </c>
      <c r="K664" s="1">
        <v>34767.32</v>
      </c>
      <c r="L664" s="1">
        <v>576820</v>
      </c>
      <c r="M664" s="1">
        <v>21840</v>
      </c>
      <c r="N664" s="1">
        <v>99042.32</v>
      </c>
      <c r="O664" s="1">
        <v>2024</v>
      </c>
      <c r="P664" s="1" t="s">
        <v>32</v>
      </c>
      <c r="Q664" s="1" t="s">
        <v>33</v>
      </c>
      <c r="R664" s="4" t="s">
        <v>26</v>
      </c>
      <c r="S664" s="25">
        <f>Table1[[#This Row],[Clicks]]/Table1[[#This Row],[Impressions]]</f>
        <v>3.7862764813980099E-2</v>
      </c>
      <c r="T664" s="22">
        <f>Table1[[#This Row],[Sales]]/Table1[[#This Row],[USD_Spend]]</f>
        <v>2.8487188543724398</v>
      </c>
      <c r="U664" s="1" t="str">
        <f>Outlier_Check!C674</f>
        <v>Normal</v>
      </c>
    </row>
    <row r="665" spans="1:21" x14ac:dyDescent="0.35">
      <c r="A665" s="3" t="s">
        <v>116</v>
      </c>
      <c r="B665" s="1" t="s">
        <v>28</v>
      </c>
      <c r="C665" s="1" t="s">
        <v>36</v>
      </c>
      <c r="D665" s="1" t="s">
        <v>43</v>
      </c>
      <c r="E665" s="1" t="s">
        <v>38</v>
      </c>
      <c r="F665" s="1" t="s">
        <v>52</v>
      </c>
      <c r="G665" s="2">
        <v>45508</v>
      </c>
      <c r="H665" s="2">
        <v>45553</v>
      </c>
      <c r="I665" s="1">
        <v>40158.14</v>
      </c>
      <c r="J665" s="1">
        <v>1.0973999999999999</v>
      </c>
      <c r="K665" s="1">
        <v>44069.54</v>
      </c>
      <c r="L665" s="1">
        <v>611755</v>
      </c>
      <c r="M665" s="1">
        <v>25717</v>
      </c>
      <c r="N665" s="1">
        <v>245142.17</v>
      </c>
      <c r="O665" s="1">
        <v>2024</v>
      </c>
      <c r="P665" s="1" t="s">
        <v>32</v>
      </c>
      <c r="Q665" s="1" t="s">
        <v>33</v>
      </c>
      <c r="R665" s="4" t="s">
        <v>54</v>
      </c>
      <c r="S665" s="25">
        <f>Table1[[#This Row],[Clicks]]/Table1[[#This Row],[Impressions]]</f>
        <v>4.2038070796315517E-2</v>
      </c>
      <c r="T665" s="22">
        <f>Table1[[#This Row],[Sales]]/Table1[[#This Row],[USD_Spend]]</f>
        <v>5.5626214841362085</v>
      </c>
      <c r="U665" s="1" t="str">
        <f>Outlier_Check!C675</f>
        <v>Normal</v>
      </c>
    </row>
    <row r="666" spans="1:21" x14ac:dyDescent="0.35">
      <c r="A666" s="3" t="s">
        <v>100</v>
      </c>
      <c r="B666" s="1" t="s">
        <v>19</v>
      </c>
      <c r="C666" s="1" t="s">
        <v>20</v>
      </c>
      <c r="D666" s="1" t="s">
        <v>51</v>
      </c>
      <c r="E666" s="1" t="s">
        <v>38</v>
      </c>
      <c r="F666" s="1" t="s">
        <v>23</v>
      </c>
      <c r="G666" s="2">
        <v>45509</v>
      </c>
      <c r="H666" s="2">
        <v>45527</v>
      </c>
      <c r="I666" s="1">
        <v>36979.03</v>
      </c>
      <c r="J666" s="1">
        <v>0.87109999999999999</v>
      </c>
      <c r="K666" s="1">
        <v>32212.43</v>
      </c>
      <c r="L666" s="1">
        <v>841420</v>
      </c>
      <c r="M666" s="1">
        <v>31723</v>
      </c>
      <c r="N666" s="1">
        <v>47361.11</v>
      </c>
      <c r="O666" s="1">
        <v>2024</v>
      </c>
      <c r="P666" s="1" t="s">
        <v>32</v>
      </c>
      <c r="Q666" s="1" t="s">
        <v>33</v>
      </c>
      <c r="R666" s="4" t="s">
        <v>54</v>
      </c>
      <c r="S666" s="25">
        <f>Table1[[#This Row],[Clicks]]/Table1[[#This Row],[Impressions]]</f>
        <v>3.770174229279076E-2</v>
      </c>
      <c r="T666" s="22">
        <f>Table1[[#This Row],[Sales]]/Table1[[#This Row],[USD_Spend]]</f>
        <v>1.4702743630331521</v>
      </c>
      <c r="U666" s="1" t="str">
        <f>Outlier_Check!C676</f>
        <v>Normal</v>
      </c>
    </row>
    <row r="667" spans="1:21" x14ac:dyDescent="0.35">
      <c r="A667" s="3" t="s">
        <v>112</v>
      </c>
      <c r="B667" s="1" t="s">
        <v>28</v>
      </c>
      <c r="C667" s="1" t="s">
        <v>58</v>
      </c>
      <c r="D667" s="1" t="s">
        <v>51</v>
      </c>
      <c r="E667" s="1" t="s">
        <v>30</v>
      </c>
      <c r="F667" s="1" t="s">
        <v>49</v>
      </c>
      <c r="G667" s="2">
        <v>45510</v>
      </c>
      <c r="H667" s="2">
        <v>45540</v>
      </c>
      <c r="I667" s="1">
        <v>42837.63</v>
      </c>
      <c r="J667" s="1">
        <v>0.27539999999999998</v>
      </c>
      <c r="K667" s="1">
        <v>11797.48</v>
      </c>
      <c r="L667" s="1">
        <v>926622</v>
      </c>
      <c r="M667" s="1">
        <v>30395</v>
      </c>
      <c r="N667" s="1">
        <v>168941.89</v>
      </c>
      <c r="O667" s="1">
        <v>2024</v>
      </c>
      <c r="P667" s="1" t="s">
        <v>32</v>
      </c>
      <c r="Q667" s="1" t="s">
        <v>33</v>
      </c>
      <c r="R667" s="4" t="s">
        <v>26</v>
      </c>
      <c r="S667" s="25">
        <f>Table1[[#This Row],[Clicks]]/Table1[[#This Row],[Impressions]]</f>
        <v>3.2801940812974439E-2</v>
      </c>
      <c r="T667" s="22">
        <f>Table1[[#This Row],[Sales]]/Table1[[#This Row],[USD_Spend]]</f>
        <v>14.320167527302443</v>
      </c>
      <c r="U667" s="1" t="str">
        <f>Outlier_Check!C677</f>
        <v>Normal</v>
      </c>
    </row>
    <row r="668" spans="1:21" x14ac:dyDescent="0.35">
      <c r="A668" s="3" t="s">
        <v>116</v>
      </c>
      <c r="B668" s="1" t="s">
        <v>28</v>
      </c>
      <c r="C668" s="1" t="s">
        <v>36</v>
      </c>
      <c r="D668" s="1" t="s">
        <v>43</v>
      </c>
      <c r="E668" s="1" t="s">
        <v>38</v>
      </c>
      <c r="F668" s="1" t="s">
        <v>23</v>
      </c>
      <c r="G668" s="2">
        <v>45513</v>
      </c>
      <c r="H668" s="2">
        <v>45552</v>
      </c>
      <c r="I668" s="1">
        <v>8342.77</v>
      </c>
      <c r="J668" s="1">
        <v>0.40050000000000002</v>
      </c>
      <c r="K668" s="1">
        <v>3341.28</v>
      </c>
      <c r="L668" s="1">
        <v>555617</v>
      </c>
      <c r="M668" s="1">
        <v>29056</v>
      </c>
      <c r="N668" s="1">
        <v>33478.81</v>
      </c>
      <c r="O668" s="1">
        <v>2024</v>
      </c>
      <c r="P668" s="1" t="s">
        <v>32</v>
      </c>
      <c r="Q668" s="1" t="s">
        <v>33</v>
      </c>
      <c r="R668" s="4" t="s">
        <v>54</v>
      </c>
      <c r="S668" s="25">
        <f>Table1[[#This Row],[Clicks]]/Table1[[#This Row],[Impressions]]</f>
        <v>5.2295016171211461E-2</v>
      </c>
      <c r="T668" s="22">
        <f>Table1[[#This Row],[Sales]]/Table1[[#This Row],[USD_Spend]]</f>
        <v>10.019755901929798</v>
      </c>
      <c r="U668" s="1" t="str">
        <f>Outlier_Check!C678</f>
        <v>Normal</v>
      </c>
    </row>
    <row r="669" spans="1:21" x14ac:dyDescent="0.35">
      <c r="A669" s="3" t="s">
        <v>106</v>
      </c>
      <c r="B669" s="1" t="s">
        <v>19</v>
      </c>
      <c r="C669" s="1" t="s">
        <v>36</v>
      </c>
      <c r="D669" s="1" t="s">
        <v>21</v>
      </c>
      <c r="E669" s="1" t="s">
        <v>22</v>
      </c>
      <c r="F669" s="1" t="s">
        <v>31</v>
      </c>
      <c r="G669" s="2">
        <v>45513</v>
      </c>
      <c r="H669" s="2">
        <v>45528</v>
      </c>
      <c r="I669" s="1">
        <v>27264.639999999999</v>
      </c>
      <c r="J669" s="1">
        <v>0.93769999999999998</v>
      </c>
      <c r="K669" s="1">
        <v>25566.05</v>
      </c>
      <c r="L669" s="1">
        <v>125674</v>
      </c>
      <c r="M669" s="1">
        <v>40293</v>
      </c>
      <c r="N669" s="1">
        <v>154634.09</v>
      </c>
      <c r="O669" s="1">
        <v>2024</v>
      </c>
      <c r="P669" s="1" t="s">
        <v>32</v>
      </c>
      <c r="Q669" s="1" t="s">
        <v>33</v>
      </c>
      <c r="R669" s="4" t="s">
        <v>41</v>
      </c>
      <c r="S669" s="25">
        <f>Table1[[#This Row],[Clicks]]/Table1[[#This Row],[Impressions]]</f>
        <v>0.32061524261183699</v>
      </c>
      <c r="T669" s="22">
        <f>Table1[[#This Row],[Sales]]/Table1[[#This Row],[USD_Spend]]</f>
        <v>6.048415378988933</v>
      </c>
      <c r="U669" s="1" t="str">
        <f>Outlier_Check!C679</f>
        <v>Normal</v>
      </c>
    </row>
    <row r="670" spans="1:21" x14ac:dyDescent="0.35">
      <c r="A670" s="3" t="s">
        <v>57</v>
      </c>
      <c r="B670" s="1" t="s">
        <v>19</v>
      </c>
      <c r="C670" s="1" t="s">
        <v>29</v>
      </c>
      <c r="D670" s="1" t="s">
        <v>43</v>
      </c>
      <c r="E670" s="1" t="s">
        <v>22</v>
      </c>
      <c r="F670" s="1" t="s">
        <v>31</v>
      </c>
      <c r="G670" s="2">
        <v>45513</v>
      </c>
      <c r="H670" s="2">
        <v>45521</v>
      </c>
      <c r="I670" s="1">
        <v>33159.67</v>
      </c>
      <c r="J670" s="1">
        <v>0.35720000000000002</v>
      </c>
      <c r="K670" s="1">
        <v>11844.63</v>
      </c>
      <c r="L670" s="1">
        <v>783199</v>
      </c>
      <c r="M670" s="1">
        <v>41015</v>
      </c>
      <c r="N670" s="1">
        <v>11688.03</v>
      </c>
      <c r="O670" s="1">
        <v>2024</v>
      </c>
      <c r="P670" s="1" t="s">
        <v>32</v>
      </c>
      <c r="Q670" s="1" t="s">
        <v>33</v>
      </c>
      <c r="R670" s="4" t="s">
        <v>41</v>
      </c>
      <c r="S670" s="25">
        <f>Table1[[#This Row],[Clicks]]/Table1[[#This Row],[Impressions]]</f>
        <v>5.2368555118175585E-2</v>
      </c>
      <c r="T670" s="22">
        <f>Table1[[#This Row],[Sales]]/Table1[[#This Row],[USD_Spend]]</f>
        <v>0.98677881875584139</v>
      </c>
      <c r="U670" s="1" t="str">
        <f>Outlier_Check!C680</f>
        <v>Normal</v>
      </c>
    </row>
    <row r="671" spans="1:21" x14ac:dyDescent="0.35">
      <c r="A671" s="3" t="s">
        <v>47</v>
      </c>
      <c r="B671" s="1" t="s">
        <v>19</v>
      </c>
      <c r="C671" s="1" t="s">
        <v>20</v>
      </c>
      <c r="D671" s="1" t="s">
        <v>59</v>
      </c>
      <c r="E671" s="1" t="s">
        <v>22</v>
      </c>
      <c r="F671" s="1" t="s">
        <v>49</v>
      </c>
      <c r="G671" s="2">
        <v>45515</v>
      </c>
      <c r="H671" s="2">
        <v>45520</v>
      </c>
      <c r="I671" s="1">
        <v>26253.77</v>
      </c>
      <c r="J671" s="1">
        <v>1.1285000000000001</v>
      </c>
      <c r="K671" s="1">
        <v>29627.38</v>
      </c>
      <c r="L671" s="1">
        <v>524514</v>
      </c>
      <c r="M671" s="1">
        <v>31435</v>
      </c>
      <c r="N671" s="1">
        <v>111834.13</v>
      </c>
      <c r="O671" s="1">
        <v>2024</v>
      </c>
      <c r="P671" s="1" t="s">
        <v>32</v>
      </c>
      <c r="Q671" s="1" t="s">
        <v>33</v>
      </c>
      <c r="R671" s="4" t="s">
        <v>54</v>
      </c>
      <c r="S671" s="25">
        <f>Table1[[#This Row],[Clicks]]/Table1[[#This Row],[Impressions]]</f>
        <v>5.9931670079349644E-2</v>
      </c>
      <c r="T671" s="22">
        <f>Table1[[#This Row],[Sales]]/Table1[[#This Row],[USD_Spend]]</f>
        <v>3.7746884807228991</v>
      </c>
      <c r="U671" s="1" t="str">
        <f>Outlier_Check!C681</f>
        <v>Normal</v>
      </c>
    </row>
    <row r="672" spans="1:21" x14ac:dyDescent="0.35">
      <c r="A672" s="3" t="s">
        <v>82</v>
      </c>
      <c r="B672" s="1" t="s">
        <v>28</v>
      </c>
      <c r="C672" s="1" t="s">
        <v>29</v>
      </c>
      <c r="D672" s="1" t="s">
        <v>59</v>
      </c>
      <c r="E672" s="1" t="s">
        <v>22</v>
      </c>
      <c r="F672" s="1" t="s">
        <v>52</v>
      </c>
      <c r="G672" s="2">
        <v>45516</v>
      </c>
      <c r="H672" s="2">
        <v>45570</v>
      </c>
      <c r="I672" s="1">
        <v>42816.61</v>
      </c>
      <c r="J672" s="1">
        <v>0.72970000000000002</v>
      </c>
      <c r="K672" s="1">
        <v>31243.279999999999</v>
      </c>
      <c r="L672" s="1">
        <v>856514</v>
      </c>
      <c r="M672" s="1">
        <v>48417</v>
      </c>
      <c r="N672" s="1">
        <v>218477.46</v>
      </c>
      <c r="O672" s="1">
        <v>2024</v>
      </c>
      <c r="P672" s="1" t="s">
        <v>32</v>
      </c>
      <c r="Q672" s="1" t="s">
        <v>33</v>
      </c>
      <c r="R672" s="4" t="s">
        <v>61</v>
      </c>
      <c r="S672" s="25">
        <f>Table1[[#This Row],[Clicks]]/Table1[[#This Row],[Impressions]]</f>
        <v>5.652797268929638E-2</v>
      </c>
      <c r="T672" s="22">
        <f>Table1[[#This Row],[Sales]]/Table1[[#This Row],[USD_Spend]]</f>
        <v>6.9927824479376044</v>
      </c>
      <c r="U672" s="1" t="str">
        <f>Outlier_Check!C682</f>
        <v>Normal</v>
      </c>
    </row>
    <row r="673" spans="1:21" x14ac:dyDescent="0.35">
      <c r="A673" s="3" t="s">
        <v>120</v>
      </c>
      <c r="B673" s="1" t="s">
        <v>48</v>
      </c>
      <c r="C673" s="1" t="s">
        <v>36</v>
      </c>
      <c r="D673" s="1" t="s">
        <v>21</v>
      </c>
      <c r="E673" s="1" t="s">
        <v>38</v>
      </c>
      <c r="F673" s="1" t="s">
        <v>44</v>
      </c>
      <c r="G673" s="2">
        <v>45516</v>
      </c>
      <c r="H673" s="2">
        <v>45552</v>
      </c>
      <c r="I673" s="1">
        <v>31998.86</v>
      </c>
      <c r="J673" s="1">
        <v>0.9294</v>
      </c>
      <c r="K673" s="1">
        <v>29739.74</v>
      </c>
      <c r="L673" s="1">
        <v>953584</v>
      </c>
      <c r="M673" s="1">
        <v>11890</v>
      </c>
      <c r="N673" s="1">
        <v>219719.4</v>
      </c>
      <c r="O673" s="1">
        <v>2024</v>
      </c>
      <c r="P673" s="1" t="s">
        <v>32</v>
      </c>
      <c r="Q673" s="1" t="s">
        <v>33</v>
      </c>
      <c r="R673" s="4" t="s">
        <v>54</v>
      </c>
      <c r="S673" s="25">
        <f>Table1[[#This Row],[Clicks]]/Table1[[#This Row],[Impressions]]</f>
        <v>1.2468749475662344E-2</v>
      </c>
      <c r="T673" s="22">
        <f>Table1[[#This Row],[Sales]]/Table1[[#This Row],[USD_Spend]]</f>
        <v>7.3880740046819504</v>
      </c>
      <c r="U673" s="1" t="str">
        <f>Outlier_Check!C683</f>
        <v>Normal</v>
      </c>
    </row>
    <row r="674" spans="1:21" x14ac:dyDescent="0.35">
      <c r="A674" s="3" t="s">
        <v>89</v>
      </c>
      <c r="B674" s="1" t="s">
        <v>28</v>
      </c>
      <c r="C674" s="1" t="s">
        <v>58</v>
      </c>
      <c r="D674" s="1" t="s">
        <v>21</v>
      </c>
      <c r="E674" s="1" t="s">
        <v>22</v>
      </c>
      <c r="F674" s="1" t="s">
        <v>52</v>
      </c>
      <c r="G674" s="2">
        <v>45516</v>
      </c>
      <c r="H674" s="2">
        <v>45538</v>
      </c>
      <c r="I674" s="1">
        <v>12699.59</v>
      </c>
      <c r="J674" s="1">
        <v>0.64319999999999999</v>
      </c>
      <c r="K674" s="1">
        <v>8168.38</v>
      </c>
      <c r="L674" s="1">
        <v>298840</v>
      </c>
      <c r="M674" s="1">
        <v>14941</v>
      </c>
      <c r="N674" s="1">
        <v>221237.07</v>
      </c>
      <c r="O674" s="1">
        <v>2024</v>
      </c>
      <c r="P674" s="1" t="s">
        <v>32</v>
      </c>
      <c r="Q674" s="1" t="s">
        <v>33</v>
      </c>
      <c r="R674" s="4" t="s">
        <v>41</v>
      </c>
      <c r="S674" s="25">
        <f>Table1[[#This Row],[Clicks]]/Table1[[#This Row],[Impressions]]</f>
        <v>4.9996653727747288E-2</v>
      </c>
      <c r="T674" s="22">
        <f>Table1[[#This Row],[Sales]]/Table1[[#This Row],[USD_Spend]]</f>
        <v>27.084571236891527</v>
      </c>
      <c r="U674" s="1" t="str">
        <f>Outlier_Check!C684</f>
        <v>Normal</v>
      </c>
    </row>
    <row r="675" spans="1:21" x14ac:dyDescent="0.35">
      <c r="A675" s="3" t="s">
        <v>47</v>
      </c>
      <c r="B675" s="1" t="s">
        <v>28</v>
      </c>
      <c r="C675" s="1" t="s">
        <v>69</v>
      </c>
      <c r="D675" s="1" t="s">
        <v>21</v>
      </c>
      <c r="E675" s="1" t="s">
        <v>38</v>
      </c>
      <c r="F675" s="1" t="s">
        <v>52</v>
      </c>
      <c r="G675" s="2">
        <v>45516</v>
      </c>
      <c r="H675" s="2">
        <v>45526</v>
      </c>
      <c r="I675" s="1">
        <v>6430.58</v>
      </c>
      <c r="J675" s="1">
        <v>0.307</v>
      </c>
      <c r="K675" s="1">
        <v>1974.19</v>
      </c>
      <c r="L675" s="1">
        <v>758226</v>
      </c>
      <c r="M675" s="1">
        <v>42644</v>
      </c>
      <c r="N675" s="1">
        <v>191974.86</v>
      </c>
      <c r="O675" s="1">
        <v>2024</v>
      </c>
      <c r="P675" s="1" t="s">
        <v>32</v>
      </c>
      <c r="Q675" s="1" t="s">
        <v>33</v>
      </c>
      <c r="R675" s="4" t="s">
        <v>41</v>
      </c>
      <c r="S675" s="25">
        <f>Table1[[#This Row],[Clicks]]/Table1[[#This Row],[Impressions]]</f>
        <v>5.6241806532616921E-2</v>
      </c>
      <c r="T675" s="22">
        <f>Table1[[#This Row],[Sales]]/Table1[[#This Row],[USD_Spend]]</f>
        <v>97.242342429046843</v>
      </c>
      <c r="U675" s="1" t="str">
        <f>Outlier_Check!C685</f>
        <v>Normal</v>
      </c>
    </row>
    <row r="676" spans="1:21" x14ac:dyDescent="0.35">
      <c r="A676" s="3" t="s">
        <v>99</v>
      </c>
      <c r="B676" s="1" t="s">
        <v>28</v>
      </c>
      <c r="C676" s="1" t="s">
        <v>20</v>
      </c>
      <c r="D676" s="1" t="s">
        <v>51</v>
      </c>
      <c r="E676" s="1" t="s">
        <v>30</v>
      </c>
      <c r="F676" s="1" t="s">
        <v>23</v>
      </c>
      <c r="G676" s="2">
        <v>45517</v>
      </c>
      <c r="H676" s="2">
        <v>45553</v>
      </c>
      <c r="I676" s="1">
        <v>11434.69</v>
      </c>
      <c r="J676" s="1">
        <v>1.1549</v>
      </c>
      <c r="K676" s="1">
        <v>13205.92</v>
      </c>
      <c r="L676" s="1">
        <v>788261</v>
      </c>
      <c r="M676" s="1">
        <v>30724</v>
      </c>
      <c r="N676" s="1">
        <v>70644.31</v>
      </c>
      <c r="O676" s="1">
        <v>2024</v>
      </c>
      <c r="P676" s="1" t="s">
        <v>32</v>
      </c>
      <c r="Q676" s="1" t="s">
        <v>33</v>
      </c>
      <c r="R676" s="4" t="s">
        <v>61</v>
      </c>
      <c r="S676" s="25">
        <f>Table1[[#This Row],[Clicks]]/Table1[[#This Row],[Impressions]]</f>
        <v>3.8976937841653972E-2</v>
      </c>
      <c r="T676" s="22">
        <f>Table1[[#This Row],[Sales]]/Table1[[#This Row],[USD_Spend]]</f>
        <v>5.3494425227473741</v>
      </c>
      <c r="U676" s="1" t="str">
        <f>Outlier_Check!C686</f>
        <v>Normal</v>
      </c>
    </row>
    <row r="677" spans="1:21" x14ac:dyDescent="0.35">
      <c r="A677" s="3" t="s">
        <v>111</v>
      </c>
      <c r="B677" s="1" t="s">
        <v>28</v>
      </c>
      <c r="C677" s="1" t="s">
        <v>58</v>
      </c>
      <c r="D677" s="1" t="s">
        <v>59</v>
      </c>
      <c r="E677" s="1" t="s">
        <v>38</v>
      </c>
      <c r="F677" s="1" t="s">
        <v>49</v>
      </c>
      <c r="G677" s="2">
        <v>45517</v>
      </c>
      <c r="H677" s="2">
        <v>45550</v>
      </c>
      <c r="I677" s="1">
        <v>48418.559999999998</v>
      </c>
      <c r="J677" s="1">
        <v>0.24970000000000001</v>
      </c>
      <c r="K677" s="1">
        <v>12090.11</v>
      </c>
      <c r="L677" s="1">
        <v>914318</v>
      </c>
      <c r="M677" s="1">
        <v>31634</v>
      </c>
      <c r="N677" s="1">
        <v>24603.91</v>
      </c>
      <c r="O677" s="1">
        <v>2024</v>
      </c>
      <c r="P677" s="1" t="s">
        <v>32</v>
      </c>
      <c r="Q677" s="1" t="s">
        <v>33</v>
      </c>
      <c r="R677" s="4" t="s">
        <v>54</v>
      </c>
      <c r="S677" s="25">
        <f>Table1[[#This Row],[Clicks]]/Table1[[#This Row],[Impressions]]</f>
        <v>3.4598465741678498E-2</v>
      </c>
      <c r="T677" s="22">
        <f>Table1[[#This Row],[Sales]]/Table1[[#This Row],[USD_Spend]]</f>
        <v>2.0350443461639305</v>
      </c>
      <c r="U677" s="1" t="str">
        <f>Outlier_Check!C687</f>
        <v>Normal</v>
      </c>
    </row>
    <row r="678" spans="1:21" x14ac:dyDescent="0.35">
      <c r="A678" s="3" t="s">
        <v>103</v>
      </c>
      <c r="B678" s="1" t="s">
        <v>28</v>
      </c>
      <c r="C678" s="1" t="s">
        <v>69</v>
      </c>
      <c r="D678" s="1" t="s">
        <v>59</v>
      </c>
      <c r="E678" s="1" t="s">
        <v>38</v>
      </c>
      <c r="F678" s="1" t="s">
        <v>23</v>
      </c>
      <c r="G678" s="2">
        <v>45517</v>
      </c>
      <c r="H678" s="2">
        <v>45523</v>
      </c>
      <c r="I678" s="1">
        <v>14966.81</v>
      </c>
      <c r="J678" s="1">
        <v>0.77600000000000002</v>
      </c>
      <c r="K678" s="1">
        <v>11614.24</v>
      </c>
      <c r="L678" s="1">
        <v>907689</v>
      </c>
      <c r="M678" s="1">
        <v>37832</v>
      </c>
      <c r="N678" s="1">
        <v>247048.92</v>
      </c>
      <c r="O678" s="1">
        <v>2024</v>
      </c>
      <c r="P678" s="1" t="s">
        <v>32</v>
      </c>
      <c r="Q678" s="1" t="s">
        <v>33</v>
      </c>
      <c r="R678" s="4" t="s">
        <v>26</v>
      </c>
      <c r="S678" s="25">
        <f>Table1[[#This Row],[Clicks]]/Table1[[#This Row],[Impressions]]</f>
        <v>4.1679473916726988E-2</v>
      </c>
      <c r="T678" s="22">
        <f>Table1[[#This Row],[Sales]]/Table1[[#This Row],[USD_Spend]]</f>
        <v>21.271208447560927</v>
      </c>
      <c r="U678" s="1" t="str">
        <f>Outlier_Check!C688</f>
        <v>Normal</v>
      </c>
    </row>
    <row r="679" spans="1:21" x14ac:dyDescent="0.35">
      <c r="A679" s="3" t="s">
        <v>116</v>
      </c>
      <c r="B679" s="1" t="s">
        <v>28</v>
      </c>
      <c r="C679" s="1" t="s">
        <v>58</v>
      </c>
      <c r="D679" s="1" t="s">
        <v>63</v>
      </c>
      <c r="E679" s="1" t="s">
        <v>22</v>
      </c>
      <c r="F679" s="1" t="s">
        <v>49</v>
      </c>
      <c r="G679" s="2">
        <v>45518</v>
      </c>
      <c r="H679" s="2">
        <v>45558</v>
      </c>
      <c r="I679" s="1">
        <v>42895.199999999997</v>
      </c>
      <c r="J679" s="1">
        <v>0.1129</v>
      </c>
      <c r="K679" s="1">
        <v>4842.87</v>
      </c>
      <c r="L679" s="1">
        <v>908602</v>
      </c>
      <c r="M679" s="1">
        <v>34294</v>
      </c>
      <c r="N679" s="1">
        <v>124857.28</v>
      </c>
      <c r="O679" s="1">
        <v>2024</v>
      </c>
      <c r="P679" s="1" t="s">
        <v>32</v>
      </c>
      <c r="Q679" s="1" t="s">
        <v>33</v>
      </c>
      <c r="R679" s="4" t="s">
        <v>61</v>
      </c>
      <c r="S679" s="25">
        <f>Table1[[#This Row],[Clicks]]/Table1[[#This Row],[Impressions]]</f>
        <v>3.7743698561086149E-2</v>
      </c>
      <c r="T679" s="22">
        <f>Table1[[#This Row],[Sales]]/Table1[[#This Row],[USD_Spend]]</f>
        <v>25.781670786124756</v>
      </c>
      <c r="U679" s="1" t="str">
        <f>Outlier_Check!C689</f>
        <v>Normal</v>
      </c>
    </row>
    <row r="680" spans="1:21" x14ac:dyDescent="0.35">
      <c r="A680" s="3" t="s">
        <v>47</v>
      </c>
      <c r="B680" s="1" t="s">
        <v>48</v>
      </c>
      <c r="C680" s="1" t="s">
        <v>36</v>
      </c>
      <c r="D680" s="1" t="s">
        <v>21</v>
      </c>
      <c r="E680" s="1" t="s">
        <v>38</v>
      </c>
      <c r="F680" s="1" t="s">
        <v>49</v>
      </c>
      <c r="G680" s="2">
        <v>45518</v>
      </c>
      <c r="H680" s="2">
        <v>45535</v>
      </c>
      <c r="I680" s="1">
        <v>35524.019999999997</v>
      </c>
      <c r="J680" s="1">
        <v>6.4500000000000002E-2</v>
      </c>
      <c r="K680" s="1">
        <v>2291.3000000000002</v>
      </c>
      <c r="L680" s="1">
        <v>248968</v>
      </c>
      <c r="M680" s="1">
        <v>19065</v>
      </c>
      <c r="N680" s="1">
        <v>246379.27</v>
      </c>
      <c r="O680" s="1">
        <v>2024</v>
      </c>
      <c r="P680" s="1" t="s">
        <v>32</v>
      </c>
      <c r="Q680" s="1" t="s">
        <v>33</v>
      </c>
      <c r="R680" s="4" t="s">
        <v>41</v>
      </c>
      <c r="S680" s="25">
        <f>Table1[[#This Row],[Clicks]]/Table1[[#This Row],[Impressions]]</f>
        <v>7.6576106166254293E-2</v>
      </c>
      <c r="T680" s="22">
        <f>Table1[[#This Row],[Sales]]/Table1[[#This Row],[USD_Spend]]</f>
        <v>107.52815868720812</v>
      </c>
      <c r="U680" s="1" t="str">
        <f>Outlier_Check!C690</f>
        <v>Normal</v>
      </c>
    </row>
    <row r="681" spans="1:21" x14ac:dyDescent="0.35">
      <c r="A681" s="3" t="s">
        <v>78</v>
      </c>
      <c r="B681" s="1" t="s">
        <v>48</v>
      </c>
      <c r="C681" s="1" t="s">
        <v>69</v>
      </c>
      <c r="D681" s="1" t="s">
        <v>37</v>
      </c>
      <c r="E681" s="1" t="s">
        <v>22</v>
      </c>
      <c r="F681" s="1" t="s">
        <v>23</v>
      </c>
      <c r="G681" s="2">
        <v>45521</v>
      </c>
      <c r="H681" s="2">
        <v>45571</v>
      </c>
      <c r="I681" s="1">
        <v>21670.2</v>
      </c>
      <c r="J681" s="1">
        <v>0.69769999999999999</v>
      </c>
      <c r="K681" s="1">
        <v>15119.3</v>
      </c>
      <c r="L681" s="1">
        <v>737186</v>
      </c>
      <c r="M681" s="1">
        <v>49139</v>
      </c>
      <c r="N681" s="1">
        <v>58736.83</v>
      </c>
      <c r="O681" s="1">
        <v>2024</v>
      </c>
      <c r="P681" s="1" t="s">
        <v>32</v>
      </c>
      <c r="Q681" s="1" t="s">
        <v>33</v>
      </c>
      <c r="R681" s="4" t="s">
        <v>41</v>
      </c>
      <c r="S681" s="25">
        <f>Table1[[#This Row],[Clicks]]/Table1[[#This Row],[Impressions]]</f>
        <v>6.6657532834318606E-2</v>
      </c>
      <c r="T681" s="22">
        <f>Table1[[#This Row],[Sales]]/Table1[[#This Row],[USD_Spend]]</f>
        <v>3.8848908348931501</v>
      </c>
      <c r="U681" s="1" t="str">
        <f>Outlier_Check!C691</f>
        <v>Normal</v>
      </c>
    </row>
    <row r="682" spans="1:21" x14ac:dyDescent="0.35">
      <c r="A682" s="3" t="s">
        <v>96</v>
      </c>
      <c r="B682" s="1" t="s">
        <v>35</v>
      </c>
      <c r="C682" s="1" t="s">
        <v>29</v>
      </c>
      <c r="D682" s="1" t="s">
        <v>63</v>
      </c>
      <c r="E682" s="1" t="s">
        <v>22</v>
      </c>
      <c r="F682" s="1" t="s">
        <v>52</v>
      </c>
      <c r="G682" s="2">
        <v>45523</v>
      </c>
      <c r="H682" s="2">
        <v>45558</v>
      </c>
      <c r="I682" s="1">
        <v>46909.42</v>
      </c>
      <c r="J682" s="1">
        <v>1.1820999999999999</v>
      </c>
      <c r="K682" s="1">
        <v>55451.63</v>
      </c>
      <c r="L682" s="1">
        <v>694963</v>
      </c>
      <c r="M682" s="1">
        <v>2064</v>
      </c>
      <c r="N682" s="1">
        <v>12907.31</v>
      </c>
      <c r="O682" s="1">
        <v>2024</v>
      </c>
      <c r="P682" s="1" t="s">
        <v>32</v>
      </c>
      <c r="Q682" s="1" t="s">
        <v>33</v>
      </c>
      <c r="R682" s="4" t="s">
        <v>61</v>
      </c>
      <c r="S682" s="25">
        <f>Table1[[#This Row],[Clicks]]/Table1[[#This Row],[Impressions]]</f>
        <v>2.9699422846971709E-3</v>
      </c>
      <c r="T682" s="22">
        <f>Table1[[#This Row],[Sales]]/Table1[[#This Row],[USD_Spend]]</f>
        <v>0.23276700793105631</v>
      </c>
      <c r="U682" s="1" t="str">
        <f>Outlier_Check!C692</f>
        <v>Outlier</v>
      </c>
    </row>
    <row r="683" spans="1:21" x14ac:dyDescent="0.35">
      <c r="A683" s="3" t="s">
        <v>27</v>
      </c>
      <c r="B683" s="1" t="s">
        <v>28</v>
      </c>
      <c r="C683" s="1" t="s">
        <v>36</v>
      </c>
      <c r="D683" s="1" t="s">
        <v>43</v>
      </c>
      <c r="E683" s="1" t="s">
        <v>38</v>
      </c>
      <c r="F683" s="1" t="s">
        <v>52</v>
      </c>
      <c r="G683" s="2">
        <v>45524</v>
      </c>
      <c r="H683" s="2">
        <v>45562</v>
      </c>
      <c r="I683" s="1">
        <v>11885.05</v>
      </c>
      <c r="J683" s="1">
        <v>1.1234</v>
      </c>
      <c r="K683" s="1">
        <v>13351.67</v>
      </c>
      <c r="L683" s="1">
        <v>301427</v>
      </c>
      <c r="M683" s="1">
        <v>12926</v>
      </c>
      <c r="N683" s="1">
        <v>10524.42</v>
      </c>
      <c r="O683" s="1">
        <v>2024</v>
      </c>
      <c r="P683" s="1" t="s">
        <v>32</v>
      </c>
      <c r="Q683" s="1" t="s">
        <v>33</v>
      </c>
      <c r="R683" s="4" t="s">
        <v>54</v>
      </c>
      <c r="S683" s="25">
        <f>Table1[[#This Row],[Clicks]]/Table1[[#This Row],[Impressions]]</f>
        <v>4.2882688014013341E-2</v>
      </c>
      <c r="T683" s="22">
        <f>Table1[[#This Row],[Sales]]/Table1[[#This Row],[USD_Spend]]</f>
        <v>0.78824746267695356</v>
      </c>
      <c r="U683" s="1" t="str">
        <f>Outlier_Check!C693</f>
        <v>Normal</v>
      </c>
    </row>
    <row r="684" spans="1:21" x14ac:dyDescent="0.35">
      <c r="A684" s="3" t="s">
        <v>94</v>
      </c>
      <c r="B684" s="1" t="s">
        <v>19</v>
      </c>
      <c r="C684" s="1" t="s">
        <v>58</v>
      </c>
      <c r="D684" s="1" t="s">
        <v>51</v>
      </c>
      <c r="E684" s="1" t="s">
        <v>38</v>
      </c>
      <c r="F684" s="1" t="s">
        <v>31</v>
      </c>
      <c r="G684" s="2">
        <v>45525</v>
      </c>
      <c r="H684" s="2">
        <v>45569</v>
      </c>
      <c r="I684" s="1">
        <v>41664.43</v>
      </c>
      <c r="J684" s="1">
        <v>9.0399999999999994E-2</v>
      </c>
      <c r="K684" s="1">
        <v>3766.46</v>
      </c>
      <c r="L684" s="1">
        <v>40955</v>
      </c>
      <c r="M684" s="1">
        <v>48129</v>
      </c>
      <c r="N684" s="1">
        <v>43999.02</v>
      </c>
      <c r="O684" s="1">
        <v>2024</v>
      </c>
      <c r="P684" s="1" t="s">
        <v>32</v>
      </c>
      <c r="Q684" s="1" t="s">
        <v>33</v>
      </c>
      <c r="R684" s="4" t="s">
        <v>61</v>
      </c>
      <c r="S684" s="25">
        <f>Table1[[#This Row],[Clicks]]/Table1[[#This Row],[Impressions]]</f>
        <v>1.1751678671712855</v>
      </c>
      <c r="T684" s="22">
        <f>Table1[[#This Row],[Sales]]/Table1[[#This Row],[USD_Spend]]</f>
        <v>11.681796700349929</v>
      </c>
      <c r="U684" s="1" t="str">
        <f>Outlier_Check!C694</f>
        <v>Normal</v>
      </c>
    </row>
    <row r="685" spans="1:21" x14ac:dyDescent="0.35">
      <c r="A685" s="3" t="s">
        <v>96</v>
      </c>
      <c r="B685" s="1" t="s">
        <v>48</v>
      </c>
      <c r="C685" s="1" t="s">
        <v>29</v>
      </c>
      <c r="D685" s="1" t="s">
        <v>43</v>
      </c>
      <c r="E685" s="1" t="s">
        <v>22</v>
      </c>
      <c r="F685" s="1" t="s">
        <v>49</v>
      </c>
      <c r="G685" s="2">
        <v>45525</v>
      </c>
      <c r="H685" s="2">
        <v>45561</v>
      </c>
      <c r="I685" s="1">
        <v>32186.6</v>
      </c>
      <c r="J685" s="1">
        <v>1.1958</v>
      </c>
      <c r="K685" s="1">
        <v>38488.74</v>
      </c>
      <c r="L685" s="1">
        <v>732487</v>
      </c>
      <c r="M685" s="1">
        <v>32182</v>
      </c>
      <c r="N685" s="1">
        <v>184270.66</v>
      </c>
      <c r="O685" s="1">
        <v>2024</v>
      </c>
      <c r="P685" s="1" t="s">
        <v>32</v>
      </c>
      <c r="Q685" s="1" t="s">
        <v>33</v>
      </c>
      <c r="R685" s="4" t="s">
        <v>54</v>
      </c>
      <c r="S685" s="25">
        <f>Table1[[#This Row],[Clicks]]/Table1[[#This Row],[Impressions]]</f>
        <v>4.3935250727999267E-2</v>
      </c>
      <c r="T685" s="22">
        <f>Table1[[#This Row],[Sales]]/Table1[[#This Row],[USD_Spend]]</f>
        <v>4.7876511416066103</v>
      </c>
      <c r="U685" s="1" t="str">
        <f>Outlier_Check!C695</f>
        <v>Normal</v>
      </c>
    </row>
    <row r="686" spans="1:21" x14ac:dyDescent="0.35">
      <c r="A686" s="3" t="s">
        <v>107</v>
      </c>
      <c r="B686" s="1" t="s">
        <v>28</v>
      </c>
      <c r="C686" s="1" t="s">
        <v>69</v>
      </c>
      <c r="D686" s="1" t="s">
        <v>37</v>
      </c>
      <c r="E686" s="1" t="s">
        <v>30</v>
      </c>
      <c r="F686" s="1" t="s">
        <v>31</v>
      </c>
      <c r="G686" s="2">
        <v>45528</v>
      </c>
      <c r="H686" s="2">
        <v>45580</v>
      </c>
      <c r="I686" s="1">
        <v>36603.360000000001</v>
      </c>
      <c r="J686" s="1">
        <v>1.0636000000000001</v>
      </c>
      <c r="K686" s="1">
        <v>38931.33</v>
      </c>
      <c r="L686" s="1">
        <v>696735</v>
      </c>
      <c r="M686" s="1">
        <v>6589</v>
      </c>
      <c r="N686" s="1">
        <v>209254.81</v>
      </c>
      <c r="O686" s="1">
        <v>2024</v>
      </c>
      <c r="P686" s="1" t="s">
        <v>32</v>
      </c>
      <c r="Q686" s="1" t="s">
        <v>33</v>
      </c>
      <c r="R686" s="4" t="s">
        <v>61</v>
      </c>
      <c r="S686" s="25">
        <f>Table1[[#This Row],[Clicks]]/Table1[[#This Row],[Impressions]]</f>
        <v>9.4569671395867867E-3</v>
      </c>
      <c r="T686" s="22">
        <f>Table1[[#This Row],[Sales]]/Table1[[#This Row],[USD_Spend]]</f>
        <v>5.3749720340918223</v>
      </c>
      <c r="U686" s="1" t="str">
        <f>Outlier_Check!C696</f>
        <v>Normal</v>
      </c>
    </row>
    <row r="687" spans="1:21" x14ac:dyDescent="0.35">
      <c r="A687" s="3" t="s">
        <v>97</v>
      </c>
      <c r="B687" s="1" t="s">
        <v>35</v>
      </c>
      <c r="C687" s="1" t="s">
        <v>20</v>
      </c>
      <c r="D687" s="1" t="s">
        <v>37</v>
      </c>
      <c r="E687" s="1" t="s">
        <v>22</v>
      </c>
      <c r="F687" s="1" t="s">
        <v>52</v>
      </c>
      <c r="G687" s="2">
        <v>45529</v>
      </c>
      <c r="H687" s="2">
        <v>45586</v>
      </c>
      <c r="I687" s="1">
        <v>40533.11</v>
      </c>
      <c r="J687" s="1">
        <v>0.1237</v>
      </c>
      <c r="K687" s="1">
        <v>5013.95</v>
      </c>
      <c r="L687" s="1">
        <v>375848</v>
      </c>
      <c r="M687" s="1">
        <v>46005</v>
      </c>
      <c r="N687" s="1">
        <v>145178.73000000001</v>
      </c>
      <c r="O687" s="1">
        <v>2024</v>
      </c>
      <c r="P687" s="1" t="s">
        <v>32</v>
      </c>
      <c r="Q687" s="1" t="s">
        <v>33</v>
      </c>
      <c r="R687" s="4" t="s">
        <v>41</v>
      </c>
      <c r="S687" s="25">
        <f>Table1[[#This Row],[Clicks]]/Table1[[#This Row],[Impressions]]</f>
        <v>0.12240320555118027</v>
      </c>
      <c r="T687" s="22">
        <f>Table1[[#This Row],[Sales]]/Table1[[#This Row],[USD_Spend]]</f>
        <v>28.954961656977037</v>
      </c>
      <c r="U687" s="1" t="str">
        <f>Outlier_Check!C697</f>
        <v>Normal</v>
      </c>
    </row>
    <row r="688" spans="1:21" x14ac:dyDescent="0.35">
      <c r="A688" s="3" t="s">
        <v>91</v>
      </c>
      <c r="B688" s="1" t="s">
        <v>28</v>
      </c>
      <c r="C688" s="1" t="s">
        <v>58</v>
      </c>
      <c r="D688" s="1" t="s">
        <v>59</v>
      </c>
      <c r="E688" s="1" t="s">
        <v>22</v>
      </c>
      <c r="F688" s="1" t="s">
        <v>31</v>
      </c>
      <c r="G688" s="2">
        <v>45529</v>
      </c>
      <c r="H688" s="2">
        <v>45565</v>
      </c>
      <c r="I688" s="1">
        <v>18999.63</v>
      </c>
      <c r="J688" s="1">
        <v>0.33750000000000002</v>
      </c>
      <c r="K688" s="1">
        <v>6412.38</v>
      </c>
      <c r="L688" s="1">
        <v>414562</v>
      </c>
      <c r="M688" s="1">
        <v>45821</v>
      </c>
      <c r="N688" s="1">
        <v>200964.52</v>
      </c>
      <c r="O688" s="1">
        <v>2024</v>
      </c>
      <c r="P688" s="1" t="s">
        <v>32</v>
      </c>
      <c r="Q688" s="1" t="s">
        <v>33</v>
      </c>
      <c r="R688" s="4" t="s">
        <v>54</v>
      </c>
      <c r="S688" s="25">
        <f>Table1[[#This Row],[Clicks]]/Table1[[#This Row],[Impressions]]</f>
        <v>0.11052870258248465</v>
      </c>
      <c r="T688" s="22">
        <f>Table1[[#This Row],[Sales]]/Table1[[#This Row],[USD_Spend]]</f>
        <v>31.340082777377507</v>
      </c>
      <c r="U688" s="1" t="str">
        <f>Outlier_Check!C698</f>
        <v>Normal</v>
      </c>
    </row>
    <row r="689" spans="1:21" x14ac:dyDescent="0.35">
      <c r="A689" s="3" t="s">
        <v>70</v>
      </c>
      <c r="B689" s="1" t="s">
        <v>35</v>
      </c>
      <c r="C689" s="1" t="s">
        <v>36</v>
      </c>
      <c r="D689" s="1" t="s">
        <v>43</v>
      </c>
      <c r="E689" s="1" t="s">
        <v>22</v>
      </c>
      <c r="F689" s="1" t="s">
        <v>31</v>
      </c>
      <c r="G689" s="2">
        <v>45529</v>
      </c>
      <c r="H689" s="2">
        <v>45548</v>
      </c>
      <c r="I689" s="1">
        <v>1352.35</v>
      </c>
      <c r="J689" s="1">
        <v>0.85229999999999995</v>
      </c>
      <c r="K689" s="1">
        <v>1152.6099999999999</v>
      </c>
      <c r="L689" s="1">
        <v>71733</v>
      </c>
      <c r="M689" s="1">
        <v>15103</v>
      </c>
      <c r="N689" s="1">
        <v>21513.08</v>
      </c>
      <c r="O689" s="1">
        <v>2024</v>
      </c>
      <c r="P689" s="1" t="s">
        <v>32</v>
      </c>
      <c r="Q689" s="1" t="s">
        <v>33</v>
      </c>
      <c r="R689" s="4" t="s">
        <v>54</v>
      </c>
      <c r="S689" s="25">
        <f>Table1[[#This Row],[Clicks]]/Table1[[#This Row],[Impressions]]</f>
        <v>0.21054465866477073</v>
      </c>
      <c r="T689" s="22">
        <f>Table1[[#This Row],[Sales]]/Table1[[#This Row],[USD_Spend]]</f>
        <v>18.664665411544238</v>
      </c>
      <c r="U689" s="1" t="str">
        <f>Outlier_Check!C699</f>
        <v>Normal</v>
      </c>
    </row>
    <row r="690" spans="1:21" x14ac:dyDescent="0.35">
      <c r="A690" s="3" t="s">
        <v>86</v>
      </c>
      <c r="B690" s="1" t="s">
        <v>35</v>
      </c>
      <c r="C690" s="1" t="s">
        <v>58</v>
      </c>
      <c r="D690" s="1" t="s">
        <v>63</v>
      </c>
      <c r="E690" s="1" t="s">
        <v>22</v>
      </c>
      <c r="F690" s="1" t="s">
        <v>23</v>
      </c>
      <c r="G690" s="2">
        <v>45530</v>
      </c>
      <c r="H690" s="2">
        <v>45537</v>
      </c>
      <c r="I690" s="1">
        <v>25082.18</v>
      </c>
      <c r="J690" s="1">
        <v>1.1213</v>
      </c>
      <c r="K690" s="1">
        <v>28124.65</v>
      </c>
      <c r="L690" s="1">
        <v>366470</v>
      </c>
      <c r="M690" s="1">
        <v>28740</v>
      </c>
      <c r="N690" s="1">
        <v>49224.46</v>
      </c>
      <c r="O690" s="1">
        <v>2024</v>
      </c>
      <c r="P690" s="1" t="s">
        <v>32</v>
      </c>
      <c r="Q690" s="1" t="s">
        <v>33</v>
      </c>
      <c r="R690" s="4" t="s">
        <v>26</v>
      </c>
      <c r="S690" s="25">
        <f>Table1[[#This Row],[Clicks]]/Table1[[#This Row],[Impressions]]</f>
        <v>7.8423881900291981E-2</v>
      </c>
      <c r="T690" s="22">
        <f>Table1[[#This Row],[Sales]]/Table1[[#This Row],[USD_Spend]]</f>
        <v>1.7502248027975458</v>
      </c>
      <c r="U690" s="1" t="str">
        <f>Outlier_Check!C700</f>
        <v>Normal</v>
      </c>
    </row>
    <row r="691" spans="1:21" x14ac:dyDescent="0.35">
      <c r="A691" s="3" t="s">
        <v>42</v>
      </c>
      <c r="B691" s="1" t="s">
        <v>19</v>
      </c>
      <c r="C691" s="1" t="s">
        <v>36</v>
      </c>
      <c r="D691" s="1" t="s">
        <v>37</v>
      </c>
      <c r="E691" s="1" t="s">
        <v>22</v>
      </c>
      <c r="F691" s="1" t="s">
        <v>44</v>
      </c>
      <c r="G691" s="2">
        <v>45533</v>
      </c>
      <c r="H691" s="2">
        <v>45575</v>
      </c>
      <c r="I691" s="1">
        <v>8555.52</v>
      </c>
      <c r="J691" s="1">
        <v>0.79390000000000005</v>
      </c>
      <c r="K691" s="1">
        <v>6792.23</v>
      </c>
      <c r="L691" s="1">
        <v>765638</v>
      </c>
      <c r="M691" s="1">
        <v>39758</v>
      </c>
      <c r="N691" s="1">
        <v>87716.800000000003</v>
      </c>
      <c r="O691" s="1">
        <v>2024</v>
      </c>
      <c r="P691" s="1" t="s">
        <v>32</v>
      </c>
      <c r="Q691" s="1" t="s">
        <v>33</v>
      </c>
      <c r="R691" s="4" t="s">
        <v>41</v>
      </c>
      <c r="S691" s="25">
        <f>Table1[[#This Row],[Clicks]]/Table1[[#This Row],[Impressions]]</f>
        <v>5.1927934611395984E-2</v>
      </c>
      <c r="T691" s="22">
        <f>Table1[[#This Row],[Sales]]/Table1[[#This Row],[USD_Spend]]</f>
        <v>12.914285882545204</v>
      </c>
      <c r="U691" s="1" t="str">
        <f>Outlier_Check!C701</f>
        <v>Normal</v>
      </c>
    </row>
    <row r="692" spans="1:21" x14ac:dyDescent="0.35">
      <c r="A692" s="3" t="s">
        <v>72</v>
      </c>
      <c r="B692" s="1" t="s">
        <v>48</v>
      </c>
      <c r="C692" s="1" t="s">
        <v>36</v>
      </c>
      <c r="D692" s="1" t="s">
        <v>59</v>
      </c>
      <c r="E692" s="1" t="s">
        <v>22</v>
      </c>
      <c r="F692" s="1" t="s">
        <v>23</v>
      </c>
      <c r="G692" s="2">
        <v>45535</v>
      </c>
      <c r="H692" s="2">
        <v>45557</v>
      </c>
      <c r="I692" s="1">
        <v>26948.57</v>
      </c>
      <c r="J692" s="1">
        <v>0.59740000000000004</v>
      </c>
      <c r="K692" s="1">
        <v>16099.08</v>
      </c>
      <c r="L692" s="1">
        <v>464626</v>
      </c>
      <c r="M692" s="1">
        <v>7255</v>
      </c>
      <c r="N692" s="1">
        <v>171884.33</v>
      </c>
      <c r="O692" s="1">
        <v>2024</v>
      </c>
      <c r="P692" s="1" t="s">
        <v>32</v>
      </c>
      <c r="Q692" s="1" t="s">
        <v>33</v>
      </c>
      <c r="R692" s="4" t="s">
        <v>26</v>
      </c>
      <c r="S692" s="25">
        <f>Table1[[#This Row],[Clicks]]/Table1[[#This Row],[Impressions]]</f>
        <v>1.5614709465247317E-2</v>
      </c>
      <c r="T692" s="22">
        <f>Table1[[#This Row],[Sales]]/Table1[[#This Row],[USD_Spend]]</f>
        <v>10.676655436211261</v>
      </c>
      <c r="U692" s="1" t="str">
        <f>Outlier_Check!C702</f>
        <v>Normal</v>
      </c>
    </row>
    <row r="693" spans="1:21" x14ac:dyDescent="0.35">
      <c r="A693" s="3" t="s">
        <v>96</v>
      </c>
      <c r="B693" s="1" t="s">
        <v>28</v>
      </c>
      <c r="C693" s="1" t="s">
        <v>58</v>
      </c>
      <c r="D693" s="1" t="s">
        <v>37</v>
      </c>
      <c r="E693" s="1" t="s">
        <v>30</v>
      </c>
      <c r="F693" s="1" t="s">
        <v>31</v>
      </c>
      <c r="G693" s="2">
        <v>45535</v>
      </c>
      <c r="H693" s="2">
        <v>45543</v>
      </c>
      <c r="I693" s="1">
        <v>33436.53</v>
      </c>
      <c r="J693" s="1">
        <v>0.78769999999999996</v>
      </c>
      <c r="K693" s="1">
        <v>26337.95</v>
      </c>
      <c r="L693" s="1">
        <v>30700</v>
      </c>
      <c r="M693" s="1">
        <v>3261</v>
      </c>
      <c r="N693" s="1">
        <v>173988.69</v>
      </c>
      <c r="O693" s="1">
        <v>2024</v>
      </c>
      <c r="P693" s="1" t="s">
        <v>32</v>
      </c>
      <c r="Q693" s="1" t="s">
        <v>33</v>
      </c>
      <c r="R693" s="4" t="s">
        <v>54</v>
      </c>
      <c r="S693" s="25">
        <f>Table1[[#This Row],[Clicks]]/Table1[[#This Row],[Impressions]]</f>
        <v>0.1062214983713355</v>
      </c>
      <c r="T693" s="22">
        <f>Table1[[#This Row],[Sales]]/Table1[[#This Row],[USD_Spend]]</f>
        <v>6.6060073012516156</v>
      </c>
      <c r="U693" s="1" t="str">
        <f>Outlier_Check!C703</f>
        <v>Normal</v>
      </c>
    </row>
    <row r="694" spans="1:21" x14ac:dyDescent="0.35">
      <c r="A694" s="3" t="s">
        <v>95</v>
      </c>
      <c r="B694" s="1" t="s">
        <v>19</v>
      </c>
      <c r="C694" s="1" t="s">
        <v>20</v>
      </c>
      <c r="D694" s="1" t="s">
        <v>59</v>
      </c>
      <c r="E694" s="1" t="s">
        <v>30</v>
      </c>
      <c r="F694" s="1" t="s">
        <v>44</v>
      </c>
      <c r="G694" s="2">
        <v>45538</v>
      </c>
      <c r="H694" s="2">
        <v>45581</v>
      </c>
      <c r="I694" s="1">
        <v>39437.5</v>
      </c>
      <c r="J694" s="1">
        <v>1.0378000000000001</v>
      </c>
      <c r="K694" s="1">
        <v>40928.239999999998</v>
      </c>
      <c r="L694" s="1">
        <v>22940</v>
      </c>
      <c r="M694" s="1">
        <v>19226</v>
      </c>
      <c r="N694" s="1">
        <v>106383.47</v>
      </c>
      <c r="O694" s="1">
        <v>2024</v>
      </c>
      <c r="P694" s="1" t="s">
        <v>74</v>
      </c>
      <c r="Q694" s="1" t="s">
        <v>33</v>
      </c>
      <c r="R694" s="4" t="s">
        <v>61</v>
      </c>
      <c r="S694" s="25">
        <f>Table1[[#This Row],[Clicks]]/Table1[[#This Row],[Impressions]]</f>
        <v>0.83809938971229292</v>
      </c>
      <c r="T694" s="22">
        <f>Table1[[#This Row],[Sales]]/Table1[[#This Row],[USD_Spend]]</f>
        <v>2.5992681336895993</v>
      </c>
      <c r="U694" s="1" t="str">
        <f>Outlier_Check!C704</f>
        <v>Normal</v>
      </c>
    </row>
    <row r="695" spans="1:21" x14ac:dyDescent="0.35">
      <c r="A695" s="3" t="s">
        <v>106</v>
      </c>
      <c r="B695" s="1" t="s">
        <v>48</v>
      </c>
      <c r="C695" s="1" t="s">
        <v>69</v>
      </c>
      <c r="D695" s="1" t="s">
        <v>59</v>
      </c>
      <c r="E695" s="1" t="s">
        <v>38</v>
      </c>
      <c r="F695" s="1" t="s">
        <v>44</v>
      </c>
      <c r="G695" s="2">
        <v>45538</v>
      </c>
      <c r="H695" s="2">
        <v>45562</v>
      </c>
      <c r="I695" s="1">
        <v>9491.7999999999993</v>
      </c>
      <c r="J695" s="1">
        <v>0.52859999999999996</v>
      </c>
      <c r="K695" s="1">
        <v>5017.37</v>
      </c>
      <c r="L695" s="1">
        <v>928481</v>
      </c>
      <c r="M695" s="1">
        <v>21234</v>
      </c>
      <c r="N695" s="1">
        <v>202073.16</v>
      </c>
      <c r="O695" s="1">
        <v>2024</v>
      </c>
      <c r="P695" s="1" t="s">
        <v>74</v>
      </c>
      <c r="Q695" s="1" t="s">
        <v>33</v>
      </c>
      <c r="R695" s="4" t="s">
        <v>61</v>
      </c>
      <c r="S695" s="25">
        <f>Table1[[#This Row],[Clicks]]/Table1[[#This Row],[Impressions]]</f>
        <v>2.2869611763730223E-2</v>
      </c>
      <c r="T695" s="22">
        <f>Table1[[#This Row],[Sales]]/Table1[[#This Row],[USD_Spend]]</f>
        <v>40.274717630950079</v>
      </c>
      <c r="U695" s="1" t="str">
        <f>Outlier_Check!C705</f>
        <v>Normal</v>
      </c>
    </row>
    <row r="696" spans="1:21" x14ac:dyDescent="0.35">
      <c r="A696" s="3" t="s">
        <v>117</v>
      </c>
      <c r="B696" s="1" t="s">
        <v>19</v>
      </c>
      <c r="C696" s="1" t="s">
        <v>69</v>
      </c>
      <c r="D696" s="1" t="s">
        <v>43</v>
      </c>
      <c r="E696" s="1" t="s">
        <v>30</v>
      </c>
      <c r="F696" s="1" t="s">
        <v>44</v>
      </c>
      <c r="G696" s="2">
        <v>45540</v>
      </c>
      <c r="H696" s="2">
        <v>45592</v>
      </c>
      <c r="I696" s="1">
        <v>18726.22</v>
      </c>
      <c r="J696" s="1">
        <v>0.58179999999999998</v>
      </c>
      <c r="K696" s="1">
        <v>10894.91</v>
      </c>
      <c r="L696" s="1">
        <v>467250</v>
      </c>
      <c r="M696" s="1">
        <v>17002</v>
      </c>
      <c r="N696" s="1">
        <v>158859.03</v>
      </c>
      <c r="O696" s="1">
        <v>2024</v>
      </c>
      <c r="P696" s="1" t="s">
        <v>74</v>
      </c>
      <c r="Q696" s="1" t="s">
        <v>33</v>
      </c>
      <c r="R696" s="4" t="s">
        <v>26</v>
      </c>
      <c r="S696" s="25">
        <f>Table1[[#This Row],[Clicks]]/Table1[[#This Row],[Impressions]]</f>
        <v>3.6387372926698767E-2</v>
      </c>
      <c r="T696" s="22">
        <f>Table1[[#This Row],[Sales]]/Table1[[#This Row],[USD_Spend]]</f>
        <v>14.58103187635327</v>
      </c>
      <c r="U696" s="1" t="str">
        <f>Outlier_Check!C706</f>
        <v>Normal</v>
      </c>
    </row>
    <row r="697" spans="1:21" x14ac:dyDescent="0.35">
      <c r="A697" s="3" t="s">
        <v>109</v>
      </c>
      <c r="B697" s="1" t="s">
        <v>28</v>
      </c>
      <c r="C697" s="1" t="s">
        <v>58</v>
      </c>
      <c r="D697" s="1" t="s">
        <v>51</v>
      </c>
      <c r="E697" s="1" t="s">
        <v>38</v>
      </c>
      <c r="F697" s="1" t="s">
        <v>23</v>
      </c>
      <c r="G697" s="2">
        <v>45541</v>
      </c>
      <c r="H697" s="2">
        <v>45562</v>
      </c>
      <c r="I697" s="1">
        <v>8313.31</v>
      </c>
      <c r="J697" s="1">
        <v>1.1500999999999999</v>
      </c>
      <c r="K697" s="1">
        <v>9561.14</v>
      </c>
      <c r="L697" s="1">
        <v>188386</v>
      </c>
      <c r="M697" s="1">
        <v>37274</v>
      </c>
      <c r="N697" s="1">
        <v>33750.879999999997</v>
      </c>
      <c r="O697" s="1">
        <v>2024</v>
      </c>
      <c r="P697" s="1" t="s">
        <v>74</v>
      </c>
      <c r="Q697" s="1" t="s">
        <v>33</v>
      </c>
      <c r="R697" s="4" t="s">
        <v>61</v>
      </c>
      <c r="S697" s="25">
        <f>Table1[[#This Row],[Clicks]]/Table1[[#This Row],[Impressions]]</f>
        <v>0.19785971356682555</v>
      </c>
      <c r="T697" s="22">
        <f>Table1[[#This Row],[Sales]]/Table1[[#This Row],[USD_Spend]]</f>
        <v>3.5300058361241442</v>
      </c>
      <c r="U697" s="1" t="str">
        <f>Outlier_Check!C707</f>
        <v>Normal</v>
      </c>
    </row>
    <row r="698" spans="1:21" x14ac:dyDescent="0.35">
      <c r="A698" s="3" t="s">
        <v>67</v>
      </c>
      <c r="B698" s="1" t="s">
        <v>48</v>
      </c>
      <c r="C698" s="1" t="s">
        <v>69</v>
      </c>
      <c r="D698" s="1" t="s">
        <v>43</v>
      </c>
      <c r="E698" s="1" t="s">
        <v>38</v>
      </c>
      <c r="F698" s="1" t="s">
        <v>49</v>
      </c>
      <c r="G698" s="2">
        <v>45541</v>
      </c>
      <c r="H698" s="2">
        <v>45561</v>
      </c>
      <c r="I698" s="1">
        <v>18136.75</v>
      </c>
      <c r="J698" s="1">
        <v>0.1022</v>
      </c>
      <c r="K698" s="1">
        <v>1853.58</v>
      </c>
      <c r="L698" s="1">
        <v>475371</v>
      </c>
      <c r="M698" s="1">
        <v>7517</v>
      </c>
      <c r="N698" s="1">
        <v>130203.7</v>
      </c>
      <c r="O698" s="1">
        <v>2024</v>
      </c>
      <c r="P698" s="1" t="s">
        <v>74</v>
      </c>
      <c r="Q698" s="1" t="s">
        <v>33</v>
      </c>
      <c r="R698" s="4" t="s">
        <v>26</v>
      </c>
      <c r="S698" s="25">
        <f>Table1[[#This Row],[Clicks]]/Table1[[#This Row],[Impressions]]</f>
        <v>1.581291244101975E-2</v>
      </c>
      <c r="T698" s="22">
        <f>Table1[[#This Row],[Sales]]/Table1[[#This Row],[USD_Spend]]</f>
        <v>70.244445883101889</v>
      </c>
      <c r="U698" s="1" t="str">
        <f>Outlier_Check!C708</f>
        <v>Normal</v>
      </c>
    </row>
    <row r="699" spans="1:21" x14ac:dyDescent="0.35">
      <c r="A699" s="3" t="s">
        <v>72</v>
      </c>
      <c r="B699" s="1" t="s">
        <v>19</v>
      </c>
      <c r="C699" s="1" t="s">
        <v>29</v>
      </c>
      <c r="D699" s="1" t="s">
        <v>59</v>
      </c>
      <c r="E699" s="1" t="s">
        <v>22</v>
      </c>
      <c r="F699" s="1" t="s">
        <v>31</v>
      </c>
      <c r="G699" s="2">
        <v>45544</v>
      </c>
      <c r="H699" s="2">
        <v>45555</v>
      </c>
      <c r="I699" s="1">
        <v>19515.88</v>
      </c>
      <c r="J699" s="1">
        <v>3.4700000000000002E-2</v>
      </c>
      <c r="K699" s="1">
        <v>677.2</v>
      </c>
      <c r="L699" s="1">
        <v>876713</v>
      </c>
      <c r="M699" s="1">
        <v>988</v>
      </c>
      <c r="N699" s="1">
        <v>192044.21</v>
      </c>
      <c r="O699" s="1">
        <v>2024</v>
      </c>
      <c r="P699" s="1" t="s">
        <v>74</v>
      </c>
      <c r="Q699" s="1" t="s">
        <v>33</v>
      </c>
      <c r="R699" s="4" t="s">
        <v>61</v>
      </c>
      <c r="S699" s="25">
        <f>Table1[[#This Row],[Clicks]]/Table1[[#This Row],[Impressions]]</f>
        <v>1.1269366371891372E-3</v>
      </c>
      <c r="T699" s="22">
        <f>Table1[[#This Row],[Sales]]/Table1[[#This Row],[USD_Spend]]</f>
        <v>283.58566154754868</v>
      </c>
      <c r="U699" s="1" t="str">
        <f>Outlier_Check!C709</f>
        <v>Normal</v>
      </c>
    </row>
    <row r="700" spans="1:21" x14ac:dyDescent="0.35">
      <c r="A700" s="3" t="s">
        <v>55</v>
      </c>
      <c r="B700" s="1" t="s">
        <v>28</v>
      </c>
      <c r="C700" s="1" t="s">
        <v>20</v>
      </c>
      <c r="D700" s="1" t="s">
        <v>21</v>
      </c>
      <c r="E700" s="1" t="s">
        <v>38</v>
      </c>
      <c r="F700" s="1" t="s">
        <v>31</v>
      </c>
      <c r="G700" s="2">
        <v>45546</v>
      </c>
      <c r="H700" s="2">
        <v>45604</v>
      </c>
      <c r="I700" s="1">
        <v>11481.07</v>
      </c>
      <c r="J700" s="1">
        <v>0.2077</v>
      </c>
      <c r="K700" s="1">
        <v>2384.62</v>
      </c>
      <c r="L700" s="1">
        <v>674555</v>
      </c>
      <c r="M700" s="1">
        <v>18301</v>
      </c>
      <c r="N700" s="1">
        <v>179280.18</v>
      </c>
      <c r="O700" s="1">
        <v>2024</v>
      </c>
      <c r="P700" s="1" t="s">
        <v>74</v>
      </c>
      <c r="Q700" s="1" t="s">
        <v>33</v>
      </c>
      <c r="R700" s="4" t="s">
        <v>26</v>
      </c>
      <c r="S700" s="25">
        <f>Table1[[#This Row],[Clicks]]/Table1[[#This Row],[Impressions]]</f>
        <v>2.7130478611825572E-2</v>
      </c>
      <c r="T700" s="22">
        <f>Table1[[#This Row],[Sales]]/Table1[[#This Row],[USD_Spend]]</f>
        <v>75.181865454453956</v>
      </c>
      <c r="U700" s="1" t="str">
        <f>Outlier_Check!C710</f>
        <v>Normal</v>
      </c>
    </row>
    <row r="701" spans="1:21" x14ac:dyDescent="0.35">
      <c r="A701" s="3" t="s">
        <v>55</v>
      </c>
      <c r="B701" s="1" t="s">
        <v>35</v>
      </c>
      <c r="C701" s="1" t="s">
        <v>36</v>
      </c>
      <c r="D701" s="1" t="s">
        <v>43</v>
      </c>
      <c r="E701" s="1" t="s">
        <v>30</v>
      </c>
      <c r="F701" s="1" t="s">
        <v>52</v>
      </c>
      <c r="G701" s="2">
        <v>45546</v>
      </c>
      <c r="H701" s="2">
        <v>45581</v>
      </c>
      <c r="I701" s="1">
        <v>25567</v>
      </c>
      <c r="J701" s="1">
        <v>1.1496999999999999</v>
      </c>
      <c r="K701" s="1">
        <v>29394.38</v>
      </c>
      <c r="L701" s="1">
        <v>482407</v>
      </c>
      <c r="M701" s="1">
        <v>6883</v>
      </c>
      <c r="N701" s="1">
        <v>203686.87</v>
      </c>
      <c r="O701" s="1">
        <v>2024</v>
      </c>
      <c r="P701" s="1" t="s">
        <v>74</v>
      </c>
      <c r="Q701" s="1" t="s">
        <v>33</v>
      </c>
      <c r="R701" s="4" t="s">
        <v>26</v>
      </c>
      <c r="S701" s="25">
        <f>Table1[[#This Row],[Clicks]]/Table1[[#This Row],[Impressions]]</f>
        <v>1.4268035082409666E-2</v>
      </c>
      <c r="T701" s="22">
        <f>Table1[[#This Row],[Sales]]/Table1[[#This Row],[USD_Spend]]</f>
        <v>6.9294494389743884</v>
      </c>
      <c r="U701" s="1" t="str">
        <f>Outlier_Check!C711</f>
        <v>Normal</v>
      </c>
    </row>
    <row r="702" spans="1:21" x14ac:dyDescent="0.35">
      <c r="A702" s="3" t="s">
        <v>94</v>
      </c>
      <c r="B702" s="1" t="s">
        <v>19</v>
      </c>
      <c r="C702" s="1" t="s">
        <v>69</v>
      </c>
      <c r="D702" s="1" t="s">
        <v>43</v>
      </c>
      <c r="E702" s="1" t="s">
        <v>30</v>
      </c>
      <c r="F702" s="1" t="s">
        <v>49</v>
      </c>
      <c r="G702" s="2">
        <v>45547</v>
      </c>
      <c r="H702" s="2">
        <v>45590</v>
      </c>
      <c r="I702" s="1">
        <v>48223</v>
      </c>
      <c r="J702" s="1">
        <v>0.86480000000000001</v>
      </c>
      <c r="K702" s="1">
        <v>41703.25</v>
      </c>
      <c r="L702" s="1">
        <v>825573</v>
      </c>
      <c r="M702" s="1">
        <v>10832</v>
      </c>
      <c r="N702" s="1">
        <v>241356.59</v>
      </c>
      <c r="O702" s="1">
        <v>2024</v>
      </c>
      <c r="P702" s="1" t="s">
        <v>74</v>
      </c>
      <c r="Q702" s="1" t="s">
        <v>33</v>
      </c>
      <c r="R702" s="4" t="s">
        <v>54</v>
      </c>
      <c r="S702" s="25">
        <f>Table1[[#This Row],[Clicks]]/Table1[[#This Row],[Impressions]]</f>
        <v>1.3120584127630144E-2</v>
      </c>
      <c r="T702" s="22">
        <f>Table1[[#This Row],[Sales]]/Table1[[#This Row],[USD_Spend]]</f>
        <v>5.7874767554087514</v>
      </c>
      <c r="U702" s="1" t="str">
        <f>Outlier_Check!C712</f>
        <v>Normal</v>
      </c>
    </row>
    <row r="703" spans="1:21" x14ac:dyDescent="0.35">
      <c r="A703" s="3" t="s">
        <v>93</v>
      </c>
      <c r="B703" s="1" t="s">
        <v>35</v>
      </c>
      <c r="C703" s="1" t="s">
        <v>20</v>
      </c>
      <c r="D703" s="1" t="s">
        <v>21</v>
      </c>
      <c r="E703" s="1" t="s">
        <v>30</v>
      </c>
      <c r="F703" s="1" t="s">
        <v>31</v>
      </c>
      <c r="G703" s="2">
        <v>45548</v>
      </c>
      <c r="H703" s="2">
        <v>45581</v>
      </c>
      <c r="I703" s="1">
        <v>21295</v>
      </c>
      <c r="J703" s="1">
        <v>0.26650000000000001</v>
      </c>
      <c r="K703" s="1">
        <v>5675.12</v>
      </c>
      <c r="L703" s="1">
        <v>547234</v>
      </c>
      <c r="M703" s="1">
        <v>7559</v>
      </c>
      <c r="N703" s="1">
        <v>89567.35</v>
      </c>
      <c r="O703" s="1">
        <v>2024</v>
      </c>
      <c r="P703" s="1" t="s">
        <v>74</v>
      </c>
      <c r="Q703" s="1" t="s">
        <v>33</v>
      </c>
      <c r="R703" s="4" t="s">
        <v>26</v>
      </c>
      <c r="S703" s="25">
        <f>Table1[[#This Row],[Clicks]]/Table1[[#This Row],[Impressions]]</f>
        <v>1.381310371797074E-2</v>
      </c>
      <c r="T703" s="22">
        <f>Table1[[#This Row],[Sales]]/Table1[[#This Row],[USD_Spend]]</f>
        <v>15.782459225531797</v>
      </c>
      <c r="U703" s="1" t="str">
        <f>Outlier_Check!C713</f>
        <v>Normal</v>
      </c>
    </row>
    <row r="704" spans="1:21" x14ac:dyDescent="0.35">
      <c r="A704" s="3" t="s">
        <v>110</v>
      </c>
      <c r="B704" s="1" t="s">
        <v>19</v>
      </c>
      <c r="C704" s="1" t="s">
        <v>69</v>
      </c>
      <c r="D704" s="1" t="s">
        <v>59</v>
      </c>
      <c r="E704" s="1" t="s">
        <v>30</v>
      </c>
      <c r="F704" s="1" t="s">
        <v>31</v>
      </c>
      <c r="G704" s="2">
        <v>45548</v>
      </c>
      <c r="H704" s="2">
        <v>45581</v>
      </c>
      <c r="I704" s="1">
        <v>48267.72</v>
      </c>
      <c r="J704" s="1">
        <v>0.81269999999999998</v>
      </c>
      <c r="K704" s="1">
        <v>39227.18</v>
      </c>
      <c r="L704" s="1">
        <v>934771</v>
      </c>
      <c r="M704" s="1">
        <v>34409</v>
      </c>
      <c r="N704" s="1">
        <v>226430.66</v>
      </c>
      <c r="O704" s="1">
        <v>2024</v>
      </c>
      <c r="P704" s="1" t="s">
        <v>74</v>
      </c>
      <c r="Q704" s="1" t="s">
        <v>33</v>
      </c>
      <c r="R704" s="4" t="s">
        <v>26</v>
      </c>
      <c r="S704" s="25">
        <f>Table1[[#This Row],[Clicks]]/Table1[[#This Row],[Impressions]]</f>
        <v>3.6810085036869993E-2</v>
      </c>
      <c r="T704" s="22">
        <f>Table1[[#This Row],[Sales]]/Table1[[#This Row],[USD_Spend]]</f>
        <v>5.7722900295152497</v>
      </c>
      <c r="U704" s="1" t="str">
        <f>Outlier_Check!C714</f>
        <v>Normal</v>
      </c>
    </row>
    <row r="705" spans="1:21" x14ac:dyDescent="0.35">
      <c r="A705" s="3" t="s">
        <v>86</v>
      </c>
      <c r="B705" s="1" t="s">
        <v>28</v>
      </c>
      <c r="C705" s="1" t="s">
        <v>29</v>
      </c>
      <c r="D705" s="1" t="s">
        <v>43</v>
      </c>
      <c r="E705" s="1" t="s">
        <v>22</v>
      </c>
      <c r="F705" s="1" t="s">
        <v>52</v>
      </c>
      <c r="G705" s="2">
        <v>45548</v>
      </c>
      <c r="H705" s="2">
        <v>45558</v>
      </c>
      <c r="I705" s="1">
        <v>14794.35</v>
      </c>
      <c r="J705" s="1">
        <v>1.1128</v>
      </c>
      <c r="K705" s="1">
        <v>16463.150000000001</v>
      </c>
      <c r="L705" s="1">
        <v>409941</v>
      </c>
      <c r="M705" s="1">
        <v>25994</v>
      </c>
      <c r="N705" s="1">
        <v>206419.98</v>
      </c>
      <c r="O705" s="1">
        <v>2024</v>
      </c>
      <c r="P705" s="1" t="s">
        <v>74</v>
      </c>
      <c r="Q705" s="1" t="s">
        <v>33</v>
      </c>
      <c r="R705" s="4" t="s">
        <v>54</v>
      </c>
      <c r="S705" s="25">
        <f>Table1[[#This Row],[Clicks]]/Table1[[#This Row],[Impressions]]</f>
        <v>6.3409124727704713E-2</v>
      </c>
      <c r="T705" s="22">
        <f>Table1[[#This Row],[Sales]]/Table1[[#This Row],[USD_Spend]]</f>
        <v>12.538304030516638</v>
      </c>
      <c r="U705" s="1" t="str">
        <f>Outlier_Check!C715</f>
        <v>Normal</v>
      </c>
    </row>
    <row r="706" spans="1:21" x14ac:dyDescent="0.35">
      <c r="A706" s="3" t="s">
        <v>79</v>
      </c>
      <c r="B706" s="1" t="s">
        <v>35</v>
      </c>
      <c r="C706" s="1" t="s">
        <v>69</v>
      </c>
      <c r="D706" s="1" t="s">
        <v>37</v>
      </c>
      <c r="E706" s="1" t="s">
        <v>22</v>
      </c>
      <c r="F706" s="1" t="s">
        <v>52</v>
      </c>
      <c r="G706" s="2">
        <v>45550</v>
      </c>
      <c r="H706" s="2">
        <v>45597</v>
      </c>
      <c r="I706" s="1">
        <v>41643.58</v>
      </c>
      <c r="J706" s="1">
        <v>0.32829999999999998</v>
      </c>
      <c r="K706" s="1">
        <v>13671.59</v>
      </c>
      <c r="L706" s="1">
        <v>199179</v>
      </c>
      <c r="M706" s="1">
        <v>18009</v>
      </c>
      <c r="N706" s="1">
        <v>177161.2</v>
      </c>
      <c r="O706" s="1">
        <v>2024</v>
      </c>
      <c r="P706" s="1" t="s">
        <v>74</v>
      </c>
      <c r="Q706" s="1" t="s">
        <v>33</v>
      </c>
      <c r="R706" s="4" t="s">
        <v>54</v>
      </c>
      <c r="S706" s="25">
        <f>Table1[[#This Row],[Clicks]]/Table1[[#This Row],[Impressions]]</f>
        <v>9.0416158329944415E-2</v>
      </c>
      <c r="T706" s="22">
        <f>Table1[[#This Row],[Sales]]/Table1[[#This Row],[USD_Spend]]</f>
        <v>12.958346468845248</v>
      </c>
      <c r="U706" s="1" t="str">
        <f>Outlier_Check!C716</f>
        <v>Normal</v>
      </c>
    </row>
    <row r="707" spans="1:21" x14ac:dyDescent="0.35">
      <c r="A707" s="3" t="s">
        <v>83</v>
      </c>
      <c r="B707" s="1" t="s">
        <v>35</v>
      </c>
      <c r="C707" s="1" t="s">
        <v>58</v>
      </c>
      <c r="D707" s="1" t="s">
        <v>21</v>
      </c>
      <c r="E707" s="1" t="s">
        <v>38</v>
      </c>
      <c r="F707" s="1" t="s">
        <v>23</v>
      </c>
      <c r="G707" s="2">
        <v>45550</v>
      </c>
      <c r="H707" s="2">
        <v>45570</v>
      </c>
      <c r="I707" s="1">
        <v>28594.09</v>
      </c>
      <c r="J707" s="1">
        <v>0.2646</v>
      </c>
      <c r="K707" s="1">
        <v>7566</v>
      </c>
      <c r="L707" s="1">
        <v>812903</v>
      </c>
      <c r="M707" s="1">
        <v>36160</v>
      </c>
      <c r="N707" s="1">
        <v>231906</v>
      </c>
      <c r="O707" s="1">
        <v>2024</v>
      </c>
      <c r="P707" s="1" t="s">
        <v>74</v>
      </c>
      <c r="Q707" s="1" t="s">
        <v>33</v>
      </c>
      <c r="R707" s="4" t="s">
        <v>26</v>
      </c>
      <c r="S707" s="25">
        <f>Table1[[#This Row],[Clicks]]/Table1[[#This Row],[Impressions]]</f>
        <v>4.4482552038804135E-2</v>
      </c>
      <c r="T707" s="22">
        <f>Table1[[#This Row],[Sales]]/Table1[[#This Row],[USD_Spend]]</f>
        <v>30.651070578905632</v>
      </c>
      <c r="U707" s="1" t="str">
        <f>Outlier_Check!C717</f>
        <v>Normal</v>
      </c>
    </row>
    <row r="708" spans="1:21" x14ac:dyDescent="0.35">
      <c r="A708" s="3" t="s">
        <v>90</v>
      </c>
      <c r="B708" s="1" t="s">
        <v>28</v>
      </c>
      <c r="C708" s="1" t="s">
        <v>58</v>
      </c>
      <c r="D708" s="1" t="s">
        <v>51</v>
      </c>
      <c r="E708" s="1" t="s">
        <v>30</v>
      </c>
      <c r="F708" s="1" t="s">
        <v>52</v>
      </c>
      <c r="G708" s="2">
        <v>45552</v>
      </c>
      <c r="H708" s="2">
        <v>45598</v>
      </c>
      <c r="I708" s="1">
        <v>43059.43</v>
      </c>
      <c r="J708" s="1">
        <v>0.40860000000000002</v>
      </c>
      <c r="K708" s="1">
        <v>17594.080000000002</v>
      </c>
      <c r="L708" s="1">
        <v>290061</v>
      </c>
      <c r="M708" s="1">
        <v>6540</v>
      </c>
      <c r="N708" s="1">
        <v>67559.259999999995</v>
      </c>
      <c r="O708" s="1">
        <v>2024</v>
      </c>
      <c r="P708" s="1" t="s">
        <v>74</v>
      </c>
      <c r="Q708" s="1" t="s">
        <v>33</v>
      </c>
      <c r="R708" s="4" t="s">
        <v>61</v>
      </c>
      <c r="S708" s="25">
        <f>Table1[[#This Row],[Clicks]]/Table1[[#This Row],[Impressions]]</f>
        <v>2.2546981496995459E-2</v>
      </c>
      <c r="T708" s="22">
        <f>Table1[[#This Row],[Sales]]/Table1[[#This Row],[USD_Spend]]</f>
        <v>3.8398859161718026</v>
      </c>
      <c r="U708" s="1" t="str">
        <f>Outlier_Check!C718</f>
        <v>Normal</v>
      </c>
    </row>
    <row r="709" spans="1:21" x14ac:dyDescent="0.35">
      <c r="A709" s="3" t="s">
        <v>113</v>
      </c>
      <c r="B709" s="1" t="s">
        <v>28</v>
      </c>
      <c r="C709" s="1" t="s">
        <v>29</v>
      </c>
      <c r="D709" s="1" t="s">
        <v>37</v>
      </c>
      <c r="E709" s="1" t="s">
        <v>30</v>
      </c>
      <c r="F709" s="1" t="s">
        <v>23</v>
      </c>
      <c r="G709" s="2">
        <v>45552</v>
      </c>
      <c r="H709" s="2">
        <v>45560</v>
      </c>
      <c r="I709" s="1">
        <v>48789.95</v>
      </c>
      <c r="J709" s="1">
        <v>1.0489999999999999</v>
      </c>
      <c r="K709" s="1">
        <v>51180.66</v>
      </c>
      <c r="L709" s="1">
        <v>855435</v>
      </c>
      <c r="M709" s="1">
        <v>6665</v>
      </c>
      <c r="N709" s="1">
        <v>5755.74</v>
      </c>
      <c r="O709" s="1">
        <v>2024</v>
      </c>
      <c r="P709" s="1" t="s">
        <v>74</v>
      </c>
      <c r="Q709" s="1" t="s">
        <v>33</v>
      </c>
      <c r="R709" s="4" t="s">
        <v>41</v>
      </c>
      <c r="S709" s="25">
        <f>Table1[[#This Row],[Clicks]]/Table1[[#This Row],[Impressions]]</f>
        <v>7.7913576133779886E-3</v>
      </c>
      <c r="T709" s="22">
        <f>Table1[[#This Row],[Sales]]/Table1[[#This Row],[USD_Spend]]</f>
        <v>0.11245927660956305</v>
      </c>
      <c r="U709" s="1" t="str">
        <f>Outlier_Check!C719</f>
        <v>Normal</v>
      </c>
    </row>
    <row r="710" spans="1:21" x14ac:dyDescent="0.35">
      <c r="A710" s="3" t="s">
        <v>82</v>
      </c>
      <c r="B710" s="1" t="s">
        <v>19</v>
      </c>
      <c r="C710" s="1" t="s">
        <v>29</v>
      </c>
      <c r="D710" s="1" t="s">
        <v>63</v>
      </c>
      <c r="E710" s="1" t="s">
        <v>22</v>
      </c>
      <c r="F710" s="1" t="s">
        <v>23</v>
      </c>
      <c r="G710" s="2">
        <v>45553</v>
      </c>
      <c r="H710" s="2">
        <v>45609</v>
      </c>
      <c r="I710" s="1">
        <v>33044.839999999997</v>
      </c>
      <c r="J710" s="1">
        <v>1.9300000000000001E-2</v>
      </c>
      <c r="K710" s="1">
        <v>637.77</v>
      </c>
      <c r="L710" s="1">
        <v>866795</v>
      </c>
      <c r="M710" s="1">
        <v>36446</v>
      </c>
      <c r="N710" s="1">
        <v>78347.789999999994</v>
      </c>
      <c r="O710" s="1">
        <v>2024</v>
      </c>
      <c r="P710" s="1" t="s">
        <v>74</v>
      </c>
      <c r="Q710" s="1" t="s">
        <v>33</v>
      </c>
      <c r="R710" s="4" t="s">
        <v>61</v>
      </c>
      <c r="S710" s="25">
        <f>Table1[[#This Row],[Clicks]]/Table1[[#This Row],[Impressions]]</f>
        <v>4.204685075479208E-2</v>
      </c>
      <c r="T710" s="22">
        <f>Table1[[#This Row],[Sales]]/Table1[[#This Row],[USD_Spend]]</f>
        <v>122.84646502657698</v>
      </c>
      <c r="U710" s="1" t="str">
        <f>Outlier_Check!C720</f>
        <v>Normal</v>
      </c>
    </row>
    <row r="711" spans="1:21" x14ac:dyDescent="0.35">
      <c r="A711" s="3" t="s">
        <v>84</v>
      </c>
      <c r="B711" s="1" t="s">
        <v>19</v>
      </c>
      <c r="C711" s="1" t="s">
        <v>36</v>
      </c>
      <c r="D711" s="1" t="s">
        <v>51</v>
      </c>
      <c r="E711" s="1" t="s">
        <v>30</v>
      </c>
      <c r="F711" s="1" t="s">
        <v>31</v>
      </c>
      <c r="G711" s="2">
        <v>45553</v>
      </c>
      <c r="H711" s="2">
        <v>45590</v>
      </c>
      <c r="I711" s="1">
        <v>20805.669999999998</v>
      </c>
      <c r="J711" s="1">
        <v>0.1618</v>
      </c>
      <c r="K711" s="1">
        <v>3366.36</v>
      </c>
      <c r="L711" s="1">
        <v>318474</v>
      </c>
      <c r="M711" s="1">
        <v>4190</v>
      </c>
      <c r="N711" s="1">
        <v>95459.61</v>
      </c>
      <c r="O711" s="1">
        <v>2024</v>
      </c>
      <c r="P711" s="1" t="s">
        <v>74</v>
      </c>
      <c r="Q711" s="1" t="s">
        <v>33</v>
      </c>
      <c r="R711" s="4" t="s">
        <v>26</v>
      </c>
      <c r="S711" s="25">
        <f>Table1[[#This Row],[Clicks]]/Table1[[#This Row],[Impressions]]</f>
        <v>1.3156490011743502E-2</v>
      </c>
      <c r="T711" s="22">
        <f>Table1[[#This Row],[Sales]]/Table1[[#This Row],[USD_Spend]]</f>
        <v>28.356922610772465</v>
      </c>
      <c r="U711" s="1" t="str">
        <f>Outlier_Check!C721</f>
        <v>Normal</v>
      </c>
    </row>
    <row r="712" spans="1:21" x14ac:dyDescent="0.35">
      <c r="A712" s="3" t="s">
        <v>108</v>
      </c>
      <c r="B712" s="1" t="s">
        <v>28</v>
      </c>
      <c r="C712" s="1" t="s">
        <v>20</v>
      </c>
      <c r="D712" s="1" t="s">
        <v>51</v>
      </c>
      <c r="E712" s="1" t="s">
        <v>38</v>
      </c>
      <c r="F712" s="1" t="s">
        <v>49</v>
      </c>
      <c r="G712" s="2">
        <v>45554</v>
      </c>
      <c r="H712" s="2">
        <v>45562</v>
      </c>
      <c r="I712" s="1">
        <v>45275.68</v>
      </c>
      <c r="J712" s="1">
        <v>0.64670000000000005</v>
      </c>
      <c r="K712" s="1">
        <v>29279.78</v>
      </c>
      <c r="L712" s="1">
        <v>21307</v>
      </c>
      <c r="M712" s="1">
        <v>30827</v>
      </c>
      <c r="N712" s="1">
        <v>116238.52</v>
      </c>
      <c r="O712" s="1">
        <v>2024</v>
      </c>
      <c r="P712" s="1" t="s">
        <v>74</v>
      </c>
      <c r="Q712" s="1" t="s">
        <v>33</v>
      </c>
      <c r="R712" s="4" t="s">
        <v>41</v>
      </c>
      <c r="S712" s="25">
        <f>Table1[[#This Row],[Clicks]]/Table1[[#This Row],[Impressions]]</f>
        <v>1.4468015206270239</v>
      </c>
      <c r="T712" s="22">
        <f>Table1[[#This Row],[Sales]]/Table1[[#This Row],[USD_Spend]]</f>
        <v>3.9699246374118933</v>
      </c>
      <c r="U712" s="1" t="str">
        <f>Outlier_Check!C722</f>
        <v>Normal</v>
      </c>
    </row>
    <row r="713" spans="1:21" x14ac:dyDescent="0.35">
      <c r="A713" s="3" t="s">
        <v>100</v>
      </c>
      <c r="B713" s="1" t="s">
        <v>48</v>
      </c>
      <c r="C713" s="1" t="s">
        <v>58</v>
      </c>
      <c r="D713" s="1" t="s">
        <v>21</v>
      </c>
      <c r="E713" s="1" t="s">
        <v>22</v>
      </c>
      <c r="F713" s="1" t="s">
        <v>52</v>
      </c>
      <c r="G713" s="2">
        <v>45555</v>
      </c>
      <c r="H713" s="2">
        <v>45601</v>
      </c>
      <c r="I713" s="1">
        <v>26529.27</v>
      </c>
      <c r="J713" s="1">
        <v>0.85680000000000001</v>
      </c>
      <c r="K713" s="1">
        <v>22730.28</v>
      </c>
      <c r="L713" s="1">
        <v>636495</v>
      </c>
      <c r="M713" s="1">
        <v>3865</v>
      </c>
      <c r="N713" s="1">
        <v>236700.39</v>
      </c>
      <c r="O713" s="1">
        <v>2024</v>
      </c>
      <c r="P713" s="1" t="s">
        <v>74</v>
      </c>
      <c r="Q713" s="1" t="s">
        <v>33</v>
      </c>
      <c r="R713" s="4" t="s">
        <v>41</v>
      </c>
      <c r="S713" s="25">
        <f>Table1[[#This Row],[Clicks]]/Table1[[#This Row],[Impressions]]</f>
        <v>6.0723179286561561E-3</v>
      </c>
      <c r="T713" s="22">
        <f>Table1[[#This Row],[Sales]]/Table1[[#This Row],[USD_Spend]]</f>
        <v>10.413439253717948</v>
      </c>
      <c r="U713" s="1" t="str">
        <f>Outlier_Check!C723</f>
        <v>Normal</v>
      </c>
    </row>
    <row r="714" spans="1:21" x14ac:dyDescent="0.35">
      <c r="A714" s="3" t="s">
        <v>75</v>
      </c>
      <c r="B714" s="1" t="s">
        <v>35</v>
      </c>
      <c r="C714" s="1" t="s">
        <v>20</v>
      </c>
      <c r="D714" s="1" t="s">
        <v>51</v>
      </c>
      <c r="E714" s="1" t="s">
        <v>30</v>
      </c>
      <c r="F714" s="1" t="s">
        <v>52</v>
      </c>
      <c r="G714" s="2">
        <v>45556</v>
      </c>
      <c r="H714" s="2">
        <v>45588</v>
      </c>
      <c r="I714" s="1">
        <v>14453.21</v>
      </c>
      <c r="J714" s="1">
        <v>1.1761999999999999</v>
      </c>
      <c r="K714" s="1">
        <v>16999.87</v>
      </c>
      <c r="L714" s="1">
        <v>70144</v>
      </c>
      <c r="M714" s="1">
        <v>5017</v>
      </c>
      <c r="N714" s="1">
        <v>169440.05</v>
      </c>
      <c r="O714" s="1">
        <v>2024</v>
      </c>
      <c r="P714" s="1" t="s">
        <v>74</v>
      </c>
      <c r="Q714" s="1" t="s">
        <v>33</v>
      </c>
      <c r="R714" s="4" t="s">
        <v>26</v>
      </c>
      <c r="S714" s="25">
        <f>Table1[[#This Row],[Clicks]]/Table1[[#This Row],[Impressions]]</f>
        <v>7.1524292883211674E-2</v>
      </c>
      <c r="T714" s="22">
        <f>Table1[[#This Row],[Sales]]/Table1[[#This Row],[USD_Spend]]</f>
        <v>9.9671379839963485</v>
      </c>
      <c r="U714" s="1" t="str">
        <f>Outlier_Check!C724</f>
        <v>Normal</v>
      </c>
    </row>
    <row r="715" spans="1:21" x14ac:dyDescent="0.35">
      <c r="A715" s="3" t="s">
        <v>72</v>
      </c>
      <c r="B715" s="1" t="s">
        <v>19</v>
      </c>
      <c r="C715" s="1" t="s">
        <v>36</v>
      </c>
      <c r="D715" s="1" t="s">
        <v>21</v>
      </c>
      <c r="E715" s="1" t="s">
        <v>38</v>
      </c>
      <c r="F715" s="1" t="s">
        <v>49</v>
      </c>
      <c r="G715" s="2">
        <v>45556</v>
      </c>
      <c r="H715" s="2">
        <v>45563</v>
      </c>
      <c r="I715" s="1">
        <v>36634.910000000003</v>
      </c>
      <c r="J715" s="1">
        <v>1.0913999999999999</v>
      </c>
      <c r="K715" s="1">
        <v>39983.339999999997</v>
      </c>
      <c r="L715" s="1">
        <v>700909</v>
      </c>
      <c r="M715" s="1">
        <v>34273</v>
      </c>
      <c r="N715" s="1">
        <v>78899.429999999993</v>
      </c>
      <c r="O715" s="1">
        <v>2024</v>
      </c>
      <c r="P715" s="1" t="s">
        <v>74</v>
      </c>
      <c r="Q715" s="1" t="s">
        <v>33</v>
      </c>
      <c r="R715" s="4" t="s">
        <v>26</v>
      </c>
      <c r="S715" s="25">
        <f>Table1[[#This Row],[Clicks]]/Table1[[#This Row],[Impressions]]</f>
        <v>4.889793111516616E-2</v>
      </c>
      <c r="T715" s="22">
        <f>Table1[[#This Row],[Sales]]/Table1[[#This Row],[USD_Spend]]</f>
        <v>1.97330763262899</v>
      </c>
      <c r="U715" s="1" t="str">
        <f>Outlier_Check!C725</f>
        <v>Normal</v>
      </c>
    </row>
    <row r="716" spans="1:21" x14ac:dyDescent="0.35">
      <c r="A716" s="3" t="s">
        <v>71</v>
      </c>
      <c r="B716" s="1" t="s">
        <v>35</v>
      </c>
      <c r="C716" s="1" t="s">
        <v>58</v>
      </c>
      <c r="D716" s="1" t="s">
        <v>51</v>
      </c>
      <c r="E716" s="1" t="s">
        <v>38</v>
      </c>
      <c r="F716" s="1" t="s">
        <v>23</v>
      </c>
      <c r="G716" s="2">
        <v>45557</v>
      </c>
      <c r="H716" s="2">
        <v>45598</v>
      </c>
      <c r="I716" s="1">
        <v>22910.83</v>
      </c>
      <c r="J716" s="1">
        <v>0.25469999999999998</v>
      </c>
      <c r="K716" s="1">
        <v>5835.39</v>
      </c>
      <c r="L716" s="1">
        <v>930047</v>
      </c>
      <c r="M716" s="1">
        <v>20848</v>
      </c>
      <c r="N716" s="1">
        <v>78435.16</v>
      </c>
      <c r="O716" s="1">
        <v>2024</v>
      </c>
      <c r="P716" s="1" t="s">
        <v>74</v>
      </c>
      <c r="Q716" s="1" t="s">
        <v>33</v>
      </c>
      <c r="R716" s="4" t="s">
        <v>26</v>
      </c>
      <c r="S716" s="25">
        <f>Table1[[#This Row],[Clicks]]/Table1[[#This Row],[Impressions]]</f>
        <v>2.241607144585166E-2</v>
      </c>
      <c r="T716" s="22">
        <f>Table1[[#This Row],[Sales]]/Table1[[#This Row],[USD_Spend]]</f>
        <v>13.441288414313354</v>
      </c>
      <c r="U716" s="1" t="str">
        <f>Outlier_Check!C726</f>
        <v>Normal</v>
      </c>
    </row>
    <row r="717" spans="1:21" x14ac:dyDescent="0.35">
      <c r="A717" s="3" t="s">
        <v>109</v>
      </c>
      <c r="B717" s="1" t="s">
        <v>35</v>
      </c>
      <c r="C717" s="1" t="s">
        <v>58</v>
      </c>
      <c r="D717" s="1" t="s">
        <v>37</v>
      </c>
      <c r="E717" s="1" t="s">
        <v>38</v>
      </c>
      <c r="F717" s="1" t="s">
        <v>31</v>
      </c>
      <c r="G717" s="2">
        <v>45558</v>
      </c>
      <c r="H717" s="2">
        <v>45610</v>
      </c>
      <c r="I717" s="1">
        <v>42287.49</v>
      </c>
      <c r="J717" s="1">
        <v>0.71650000000000003</v>
      </c>
      <c r="K717" s="1">
        <v>30298.99</v>
      </c>
      <c r="L717" s="1">
        <v>541958</v>
      </c>
      <c r="M717" s="1">
        <v>33504</v>
      </c>
      <c r="N717" s="1">
        <v>135423.26</v>
      </c>
      <c r="O717" s="1">
        <v>2024</v>
      </c>
      <c r="P717" s="1" t="s">
        <v>74</v>
      </c>
      <c r="Q717" s="1" t="s">
        <v>33</v>
      </c>
      <c r="R717" s="4" t="s">
        <v>26</v>
      </c>
      <c r="S717" s="25">
        <f>Table1[[#This Row],[Clicks]]/Table1[[#This Row],[Impressions]]</f>
        <v>6.1820288657054606E-2</v>
      </c>
      <c r="T717" s="22">
        <f>Table1[[#This Row],[Sales]]/Table1[[#This Row],[USD_Spend]]</f>
        <v>4.4695635069023751</v>
      </c>
      <c r="U717" s="1" t="str">
        <f>Outlier_Check!C727</f>
        <v>Normal</v>
      </c>
    </row>
    <row r="718" spans="1:21" x14ac:dyDescent="0.35">
      <c r="A718" s="3" t="s">
        <v>27</v>
      </c>
      <c r="B718" s="1" t="s">
        <v>19</v>
      </c>
      <c r="C718" s="1" t="s">
        <v>58</v>
      </c>
      <c r="D718" s="1" t="s">
        <v>43</v>
      </c>
      <c r="E718" s="1" t="s">
        <v>22</v>
      </c>
      <c r="F718" s="1" t="s">
        <v>23</v>
      </c>
      <c r="G718" s="2">
        <v>45558</v>
      </c>
      <c r="H718" s="2">
        <v>45585</v>
      </c>
      <c r="I718" s="1">
        <v>16309.59</v>
      </c>
      <c r="J718" s="1">
        <v>0.98280000000000001</v>
      </c>
      <c r="K718" s="1">
        <v>16029.07</v>
      </c>
      <c r="L718" s="1">
        <v>757528</v>
      </c>
      <c r="M718" s="1">
        <v>49802</v>
      </c>
      <c r="N718" s="1">
        <v>169363.22</v>
      </c>
      <c r="O718" s="1">
        <v>2024</v>
      </c>
      <c r="P718" s="1" t="s">
        <v>74</v>
      </c>
      <c r="Q718" s="1" t="s">
        <v>33</v>
      </c>
      <c r="R718" s="4" t="s">
        <v>54</v>
      </c>
      <c r="S718" s="25">
        <f>Table1[[#This Row],[Clicks]]/Table1[[#This Row],[Impressions]]</f>
        <v>6.5742784425130166E-2</v>
      </c>
      <c r="T718" s="22">
        <f>Table1[[#This Row],[Sales]]/Table1[[#This Row],[USD_Spend]]</f>
        <v>10.56600414122591</v>
      </c>
      <c r="U718" s="1" t="str">
        <f>Outlier_Check!C728</f>
        <v>Normal</v>
      </c>
    </row>
    <row r="719" spans="1:21" x14ac:dyDescent="0.35">
      <c r="A719" s="3" t="s">
        <v>18</v>
      </c>
      <c r="B719" s="1" t="s">
        <v>48</v>
      </c>
      <c r="C719" s="1" t="s">
        <v>69</v>
      </c>
      <c r="D719" s="1" t="s">
        <v>37</v>
      </c>
      <c r="E719" s="1" t="s">
        <v>22</v>
      </c>
      <c r="F719" s="1" t="s">
        <v>31</v>
      </c>
      <c r="G719" s="2">
        <v>45559</v>
      </c>
      <c r="H719" s="2">
        <v>45575</v>
      </c>
      <c r="I719" s="1">
        <v>40873.17</v>
      </c>
      <c r="J719" s="1">
        <v>0.85009999999999997</v>
      </c>
      <c r="K719" s="1">
        <v>34746.28</v>
      </c>
      <c r="L719" s="1">
        <v>321893</v>
      </c>
      <c r="M719" s="1">
        <v>40370</v>
      </c>
      <c r="N719" s="1">
        <v>149591.25</v>
      </c>
      <c r="O719" s="1">
        <v>2024</v>
      </c>
      <c r="P719" s="1" t="s">
        <v>74</v>
      </c>
      <c r="Q719" s="1" t="s">
        <v>33</v>
      </c>
      <c r="R719" s="4" t="s">
        <v>26</v>
      </c>
      <c r="S719" s="25">
        <f>Table1[[#This Row],[Clicks]]/Table1[[#This Row],[Impressions]]</f>
        <v>0.12541434576085841</v>
      </c>
      <c r="T719" s="22">
        <f>Table1[[#This Row],[Sales]]/Table1[[#This Row],[USD_Spend]]</f>
        <v>4.3052450506931965</v>
      </c>
      <c r="U719" s="1" t="str">
        <f>Outlier_Check!C729</f>
        <v>Normal</v>
      </c>
    </row>
    <row r="720" spans="1:21" x14ac:dyDescent="0.35">
      <c r="A720" s="3" t="s">
        <v>113</v>
      </c>
      <c r="B720" s="1" t="s">
        <v>19</v>
      </c>
      <c r="C720" s="1" t="s">
        <v>20</v>
      </c>
      <c r="D720" s="1" t="s">
        <v>37</v>
      </c>
      <c r="E720" s="1" t="s">
        <v>22</v>
      </c>
      <c r="F720" s="1" t="s">
        <v>44</v>
      </c>
      <c r="G720" s="2">
        <v>45560</v>
      </c>
      <c r="H720" s="2">
        <v>45600</v>
      </c>
      <c r="I720" s="1">
        <v>42817.66</v>
      </c>
      <c r="J720" s="1">
        <v>0.96389999999999998</v>
      </c>
      <c r="K720" s="1">
        <v>41271.94</v>
      </c>
      <c r="L720" s="1">
        <v>470197</v>
      </c>
      <c r="M720" s="1">
        <v>28117</v>
      </c>
      <c r="N720" s="1">
        <v>158240.32000000001</v>
      </c>
      <c r="O720" s="1">
        <v>2024</v>
      </c>
      <c r="P720" s="1" t="s">
        <v>74</v>
      </c>
      <c r="Q720" s="1" t="s">
        <v>33</v>
      </c>
      <c r="R720" s="4" t="s">
        <v>41</v>
      </c>
      <c r="S720" s="25">
        <f>Table1[[#This Row],[Clicks]]/Table1[[#This Row],[Impressions]]</f>
        <v>5.979833984478846E-2</v>
      </c>
      <c r="T720" s="22">
        <f>Table1[[#This Row],[Sales]]/Table1[[#This Row],[USD_Spend]]</f>
        <v>3.8340896987153985</v>
      </c>
      <c r="U720" s="1" t="str">
        <f>Outlier_Check!C730</f>
        <v>Normal</v>
      </c>
    </row>
    <row r="721" spans="1:21" x14ac:dyDescent="0.35">
      <c r="A721" s="3" t="s">
        <v>81</v>
      </c>
      <c r="B721" s="1" t="s">
        <v>28</v>
      </c>
      <c r="C721" s="1" t="s">
        <v>36</v>
      </c>
      <c r="D721" s="1" t="s">
        <v>37</v>
      </c>
      <c r="E721" s="1" t="s">
        <v>38</v>
      </c>
      <c r="F721" s="1" t="s">
        <v>52</v>
      </c>
      <c r="G721" s="2">
        <v>45562</v>
      </c>
      <c r="H721" s="2">
        <v>45590</v>
      </c>
      <c r="I721" s="1">
        <v>40195.29</v>
      </c>
      <c r="J721" s="1">
        <v>1.135</v>
      </c>
      <c r="K721" s="1">
        <v>45621.65</v>
      </c>
      <c r="L721" s="1">
        <v>858083</v>
      </c>
      <c r="M721" s="1">
        <v>4400</v>
      </c>
      <c r="N721" s="1">
        <v>51146.63</v>
      </c>
      <c r="O721" s="1">
        <v>2024</v>
      </c>
      <c r="P721" s="1" t="s">
        <v>74</v>
      </c>
      <c r="Q721" s="1" t="s">
        <v>33</v>
      </c>
      <c r="R721" s="4" t="s">
        <v>41</v>
      </c>
      <c r="S721" s="25">
        <f>Table1[[#This Row],[Clicks]]/Table1[[#This Row],[Impressions]]</f>
        <v>5.1277090910786024E-3</v>
      </c>
      <c r="T721" s="22">
        <f>Table1[[#This Row],[Sales]]/Table1[[#This Row],[USD_Spend]]</f>
        <v>1.1211043440997859</v>
      </c>
      <c r="U721" s="1" t="str">
        <f>Outlier_Check!C731</f>
        <v>Normal</v>
      </c>
    </row>
    <row r="722" spans="1:21" x14ac:dyDescent="0.35">
      <c r="A722" s="3" t="s">
        <v>78</v>
      </c>
      <c r="B722" s="1" t="s">
        <v>35</v>
      </c>
      <c r="C722" s="1" t="s">
        <v>36</v>
      </c>
      <c r="D722" s="1" t="s">
        <v>21</v>
      </c>
      <c r="E722" s="1" t="s">
        <v>30</v>
      </c>
      <c r="F722" s="1" t="s">
        <v>23</v>
      </c>
      <c r="G722" s="2">
        <v>45565</v>
      </c>
      <c r="H722" s="2">
        <v>45621</v>
      </c>
      <c r="I722" s="1">
        <v>13988.65</v>
      </c>
      <c r="J722" s="1">
        <v>1.1604000000000001</v>
      </c>
      <c r="K722" s="1">
        <v>16232.43</v>
      </c>
      <c r="L722" s="1">
        <v>923671</v>
      </c>
      <c r="M722" s="1">
        <v>12367</v>
      </c>
      <c r="N722" s="1">
        <v>56711.75</v>
      </c>
      <c r="O722" s="1">
        <v>2024</v>
      </c>
      <c r="P722" s="1" t="s">
        <v>74</v>
      </c>
      <c r="Q722" s="1" t="s">
        <v>33</v>
      </c>
      <c r="R722" s="4" t="s">
        <v>26</v>
      </c>
      <c r="S722" s="25">
        <f>Table1[[#This Row],[Clicks]]/Table1[[#This Row],[Impressions]]</f>
        <v>1.3388966417696345E-2</v>
      </c>
      <c r="T722" s="22">
        <f>Table1[[#This Row],[Sales]]/Table1[[#This Row],[USD_Spend]]</f>
        <v>3.4937313760170228</v>
      </c>
      <c r="U722" s="1" t="str">
        <f>Outlier_Check!C732</f>
        <v>Normal</v>
      </c>
    </row>
    <row r="723" spans="1:21" x14ac:dyDescent="0.35">
      <c r="A723" s="3" t="s">
        <v>72</v>
      </c>
      <c r="B723" s="1" t="s">
        <v>48</v>
      </c>
      <c r="C723" s="1" t="s">
        <v>20</v>
      </c>
      <c r="D723" s="1" t="s">
        <v>43</v>
      </c>
      <c r="E723" s="1" t="s">
        <v>30</v>
      </c>
      <c r="F723" s="1" t="s">
        <v>31</v>
      </c>
      <c r="G723" s="2">
        <v>45566</v>
      </c>
      <c r="H723" s="2">
        <v>45616</v>
      </c>
      <c r="I723" s="1">
        <v>15238.4</v>
      </c>
      <c r="J723" s="1">
        <v>0.4209</v>
      </c>
      <c r="K723" s="1">
        <v>6413.84</v>
      </c>
      <c r="L723" s="1">
        <v>715034</v>
      </c>
      <c r="M723" s="1">
        <v>8794</v>
      </c>
      <c r="N723" s="1">
        <v>245427.20000000001</v>
      </c>
      <c r="O723" s="1">
        <v>2024</v>
      </c>
      <c r="P723" s="1" t="s">
        <v>24</v>
      </c>
      <c r="Q723" s="1" t="s">
        <v>25</v>
      </c>
      <c r="R723" s="4" t="s">
        <v>26</v>
      </c>
      <c r="S723" s="25">
        <f>Table1[[#This Row],[Clicks]]/Table1[[#This Row],[Impressions]]</f>
        <v>1.2298715865259553E-2</v>
      </c>
      <c r="T723" s="22">
        <f>Table1[[#This Row],[Sales]]/Table1[[#This Row],[USD_Spend]]</f>
        <v>38.26525139386078</v>
      </c>
      <c r="U723" s="1" t="str">
        <f>Outlier_Check!C733</f>
        <v>Normal</v>
      </c>
    </row>
    <row r="724" spans="1:21" x14ac:dyDescent="0.35">
      <c r="A724" s="3" t="s">
        <v>50</v>
      </c>
      <c r="B724" s="1" t="s">
        <v>28</v>
      </c>
      <c r="C724" s="1" t="s">
        <v>58</v>
      </c>
      <c r="D724" s="1" t="s">
        <v>59</v>
      </c>
      <c r="E724" s="1" t="s">
        <v>38</v>
      </c>
      <c r="F724" s="1" t="s">
        <v>44</v>
      </c>
      <c r="G724" s="2">
        <v>45567</v>
      </c>
      <c r="H724" s="2">
        <v>45575</v>
      </c>
      <c r="I724" s="1">
        <v>48585.89</v>
      </c>
      <c r="J724" s="1">
        <v>0.98980000000000001</v>
      </c>
      <c r="K724" s="1">
        <v>48090.31</v>
      </c>
      <c r="L724" s="1">
        <v>915115</v>
      </c>
      <c r="M724" s="1">
        <v>47156</v>
      </c>
      <c r="N724" s="1">
        <v>232255.84</v>
      </c>
      <c r="O724" s="1">
        <v>2024</v>
      </c>
      <c r="P724" s="1" t="s">
        <v>24</v>
      </c>
      <c r="Q724" s="1" t="s">
        <v>25</v>
      </c>
      <c r="R724" s="4" t="s">
        <v>26</v>
      </c>
      <c r="S724" s="25">
        <f>Table1[[#This Row],[Clicks]]/Table1[[#This Row],[Impressions]]</f>
        <v>5.153013555673331E-2</v>
      </c>
      <c r="T724" s="22">
        <f>Table1[[#This Row],[Sales]]/Table1[[#This Row],[USD_Spend]]</f>
        <v>4.8295766860309284</v>
      </c>
      <c r="U724" s="1" t="str">
        <f>Outlier_Check!C734</f>
        <v>Normal</v>
      </c>
    </row>
    <row r="725" spans="1:21" x14ac:dyDescent="0.35">
      <c r="A725" s="3" t="s">
        <v>99</v>
      </c>
      <c r="B725" s="1" t="s">
        <v>35</v>
      </c>
      <c r="C725" s="1" t="s">
        <v>69</v>
      </c>
      <c r="D725" s="1" t="s">
        <v>59</v>
      </c>
      <c r="E725" s="1" t="s">
        <v>22</v>
      </c>
      <c r="F725" s="1" t="s">
        <v>49</v>
      </c>
      <c r="G725" s="2">
        <v>45568</v>
      </c>
      <c r="H725" s="2">
        <v>45613</v>
      </c>
      <c r="I725" s="1">
        <v>5739.58</v>
      </c>
      <c r="J725" s="1">
        <v>0.58120000000000005</v>
      </c>
      <c r="K725" s="1">
        <v>3335.84</v>
      </c>
      <c r="L725" s="1">
        <v>857311</v>
      </c>
      <c r="M725" s="1">
        <v>1674</v>
      </c>
      <c r="N725" s="1">
        <v>150170.04</v>
      </c>
      <c r="O725" s="1">
        <v>2024</v>
      </c>
      <c r="P725" s="1" t="s">
        <v>24</v>
      </c>
      <c r="Q725" s="1" t="s">
        <v>25</v>
      </c>
      <c r="R725" s="4" t="s">
        <v>61</v>
      </c>
      <c r="S725" s="25">
        <f>Table1[[#This Row],[Clicks]]/Table1[[#This Row],[Impressions]]</f>
        <v>1.9526169616393583E-3</v>
      </c>
      <c r="T725" s="22">
        <f>Table1[[#This Row],[Sales]]/Table1[[#This Row],[USD_Spend]]</f>
        <v>45.017159096359535</v>
      </c>
      <c r="U725" s="1" t="str">
        <f>Outlier_Check!C735</f>
        <v>Normal</v>
      </c>
    </row>
    <row r="726" spans="1:21" x14ac:dyDescent="0.35">
      <c r="A726" s="3" t="s">
        <v>100</v>
      </c>
      <c r="B726" s="1" t="s">
        <v>35</v>
      </c>
      <c r="C726" s="1" t="s">
        <v>36</v>
      </c>
      <c r="D726" s="1" t="s">
        <v>59</v>
      </c>
      <c r="E726" s="1" t="s">
        <v>22</v>
      </c>
      <c r="F726" s="1" t="s">
        <v>49</v>
      </c>
      <c r="G726" s="2">
        <v>45569</v>
      </c>
      <c r="H726" s="2">
        <v>45612</v>
      </c>
      <c r="I726" s="1">
        <v>1661.35</v>
      </c>
      <c r="J726" s="1">
        <v>1.1599999999999999</v>
      </c>
      <c r="K726" s="1">
        <v>1927.17</v>
      </c>
      <c r="L726" s="1">
        <v>840116</v>
      </c>
      <c r="M726" s="1">
        <v>7069</v>
      </c>
      <c r="N726" s="1">
        <v>137880.69</v>
      </c>
      <c r="O726" s="1">
        <v>2024</v>
      </c>
      <c r="P726" s="1" t="s">
        <v>24</v>
      </c>
      <c r="Q726" s="1" t="s">
        <v>25</v>
      </c>
      <c r="R726" s="4" t="s">
        <v>54</v>
      </c>
      <c r="S726" s="25">
        <f>Table1[[#This Row],[Clicks]]/Table1[[#This Row],[Impressions]]</f>
        <v>8.4143142137514341E-3</v>
      </c>
      <c r="T726" s="22">
        <f>Table1[[#This Row],[Sales]]/Table1[[#This Row],[USD_Spend]]</f>
        <v>71.545680972617873</v>
      </c>
      <c r="U726" s="1" t="str">
        <f>Outlier_Check!C736</f>
        <v>Normal</v>
      </c>
    </row>
    <row r="727" spans="1:21" x14ac:dyDescent="0.35">
      <c r="A727" s="3" t="s">
        <v>79</v>
      </c>
      <c r="B727" s="1" t="s">
        <v>35</v>
      </c>
      <c r="C727" s="1" t="s">
        <v>20</v>
      </c>
      <c r="D727" s="1" t="s">
        <v>21</v>
      </c>
      <c r="E727" s="1" t="s">
        <v>38</v>
      </c>
      <c r="F727" s="1" t="s">
        <v>44</v>
      </c>
      <c r="G727" s="2">
        <v>45570</v>
      </c>
      <c r="H727" s="2">
        <v>45575</v>
      </c>
      <c r="I727" s="1">
        <v>46466.1</v>
      </c>
      <c r="J727" s="1">
        <v>0.33679999999999999</v>
      </c>
      <c r="K727" s="1">
        <v>15649.78</v>
      </c>
      <c r="L727" s="1">
        <v>870623</v>
      </c>
      <c r="M727" s="1">
        <v>28029</v>
      </c>
      <c r="N727" s="1">
        <v>148194.75</v>
      </c>
      <c r="O727" s="1">
        <v>2024</v>
      </c>
      <c r="P727" s="1" t="s">
        <v>24</v>
      </c>
      <c r="Q727" s="1" t="s">
        <v>25</v>
      </c>
      <c r="R727" s="4" t="s">
        <v>61</v>
      </c>
      <c r="S727" s="25">
        <f>Table1[[#This Row],[Clicks]]/Table1[[#This Row],[Impressions]]</f>
        <v>3.2194187380760672E-2</v>
      </c>
      <c r="T727" s="22">
        <f>Table1[[#This Row],[Sales]]/Table1[[#This Row],[USD_Spend]]</f>
        <v>9.4694462158573476</v>
      </c>
      <c r="U727" s="1" t="str">
        <f>Outlier_Check!C737</f>
        <v>Normal</v>
      </c>
    </row>
    <row r="728" spans="1:21" x14ac:dyDescent="0.35">
      <c r="A728" s="3" t="s">
        <v>119</v>
      </c>
      <c r="B728" s="1" t="s">
        <v>28</v>
      </c>
      <c r="C728" s="1" t="s">
        <v>36</v>
      </c>
      <c r="D728" s="1" t="s">
        <v>59</v>
      </c>
      <c r="E728" s="1" t="s">
        <v>30</v>
      </c>
      <c r="F728" s="1" t="s">
        <v>31</v>
      </c>
      <c r="G728" s="2">
        <v>45572</v>
      </c>
      <c r="H728" s="2">
        <v>45584</v>
      </c>
      <c r="I728" s="1">
        <v>43672.6</v>
      </c>
      <c r="J728" s="1">
        <v>1.0941000000000001</v>
      </c>
      <c r="K728" s="1">
        <v>47782.19</v>
      </c>
      <c r="L728" s="1">
        <v>174660</v>
      </c>
      <c r="M728" s="1">
        <v>47833</v>
      </c>
      <c r="N728" s="1">
        <v>76570.13</v>
      </c>
      <c r="O728" s="1">
        <v>2024</v>
      </c>
      <c r="P728" s="1" t="s">
        <v>24</v>
      </c>
      <c r="Q728" s="1" t="s">
        <v>25</v>
      </c>
      <c r="R728" s="4" t="s">
        <v>41</v>
      </c>
      <c r="S728" s="25">
        <f>Table1[[#This Row],[Clicks]]/Table1[[#This Row],[Impressions]]</f>
        <v>0.27386350624069622</v>
      </c>
      <c r="T728" s="22">
        <f>Table1[[#This Row],[Sales]]/Table1[[#This Row],[USD_Spend]]</f>
        <v>1.6024826404984787</v>
      </c>
      <c r="U728" s="1" t="str">
        <f>Outlier_Check!C738</f>
        <v>Normal</v>
      </c>
    </row>
    <row r="729" spans="1:21" x14ac:dyDescent="0.35">
      <c r="A729" s="3" t="s">
        <v>94</v>
      </c>
      <c r="B729" s="1" t="s">
        <v>19</v>
      </c>
      <c r="C729" s="1" t="s">
        <v>58</v>
      </c>
      <c r="D729" s="1" t="s">
        <v>59</v>
      </c>
      <c r="E729" s="1" t="s">
        <v>30</v>
      </c>
      <c r="F729" s="1" t="s">
        <v>31</v>
      </c>
      <c r="G729" s="2">
        <v>45573</v>
      </c>
      <c r="H729" s="2">
        <v>45621</v>
      </c>
      <c r="I729" s="1">
        <v>46125.53</v>
      </c>
      <c r="J729" s="1">
        <v>1.1969000000000001</v>
      </c>
      <c r="K729" s="1">
        <v>55207.65</v>
      </c>
      <c r="L729" s="1">
        <v>793041</v>
      </c>
      <c r="M729" s="1">
        <v>6023</v>
      </c>
      <c r="N729" s="1">
        <v>111323.01</v>
      </c>
      <c r="O729" s="1">
        <v>2024</v>
      </c>
      <c r="P729" s="1" t="s">
        <v>24</v>
      </c>
      <c r="Q729" s="1" t="s">
        <v>25</v>
      </c>
      <c r="R729" s="4" t="s">
        <v>26</v>
      </c>
      <c r="S729" s="25">
        <f>Table1[[#This Row],[Clicks]]/Table1[[#This Row],[Impressions]]</f>
        <v>7.5948154004647928E-3</v>
      </c>
      <c r="T729" s="22">
        <f>Table1[[#This Row],[Sales]]/Table1[[#This Row],[USD_Spend]]</f>
        <v>2.0164417431279902</v>
      </c>
      <c r="U729" s="1" t="str">
        <f>Outlier_Check!C739</f>
        <v>Outlier</v>
      </c>
    </row>
    <row r="730" spans="1:21" x14ac:dyDescent="0.35">
      <c r="A730" s="3" t="s">
        <v>72</v>
      </c>
      <c r="B730" s="1" t="s">
        <v>48</v>
      </c>
      <c r="C730" s="1" t="s">
        <v>36</v>
      </c>
      <c r="D730" s="1" t="s">
        <v>43</v>
      </c>
      <c r="E730" s="1" t="s">
        <v>30</v>
      </c>
      <c r="F730" s="1" t="s">
        <v>44</v>
      </c>
      <c r="G730" s="2">
        <v>45574</v>
      </c>
      <c r="H730" s="2">
        <v>45620</v>
      </c>
      <c r="I730" s="1">
        <v>22810.799999999999</v>
      </c>
      <c r="J730" s="1">
        <v>2.3800000000000002E-2</v>
      </c>
      <c r="K730" s="1">
        <v>542.9</v>
      </c>
      <c r="L730" s="1">
        <v>132292</v>
      </c>
      <c r="M730" s="1">
        <v>5515</v>
      </c>
      <c r="N730" s="1">
        <v>34902.629999999997</v>
      </c>
      <c r="O730" s="1">
        <v>2024</v>
      </c>
      <c r="P730" s="1" t="s">
        <v>24</v>
      </c>
      <c r="Q730" s="1" t="s">
        <v>25</v>
      </c>
      <c r="R730" s="4" t="s">
        <v>54</v>
      </c>
      <c r="S730" s="25">
        <f>Table1[[#This Row],[Clicks]]/Table1[[#This Row],[Impressions]]</f>
        <v>4.1688083935536538E-2</v>
      </c>
      <c r="T730" s="22">
        <f>Table1[[#This Row],[Sales]]/Table1[[#This Row],[USD_Spend]]</f>
        <v>64.289242954503592</v>
      </c>
      <c r="U730" s="1" t="str">
        <f>Outlier_Check!C740</f>
        <v>Normal</v>
      </c>
    </row>
    <row r="731" spans="1:21" x14ac:dyDescent="0.35">
      <c r="A731" s="3" t="s">
        <v>112</v>
      </c>
      <c r="B731" s="1" t="s">
        <v>48</v>
      </c>
      <c r="C731" s="1" t="s">
        <v>20</v>
      </c>
      <c r="D731" s="1" t="s">
        <v>21</v>
      </c>
      <c r="E731" s="1" t="s">
        <v>22</v>
      </c>
      <c r="F731" s="1" t="s">
        <v>23</v>
      </c>
      <c r="G731" s="2">
        <v>45574</v>
      </c>
      <c r="H731" s="2">
        <v>45611</v>
      </c>
      <c r="I731" s="1">
        <v>29177.33</v>
      </c>
      <c r="J731" s="1">
        <v>0.86509999999999998</v>
      </c>
      <c r="K731" s="1">
        <v>25241.31</v>
      </c>
      <c r="L731" s="1">
        <v>315420</v>
      </c>
      <c r="M731" s="1">
        <v>28230</v>
      </c>
      <c r="N731" s="1">
        <v>5383.26</v>
      </c>
      <c r="O731" s="1">
        <v>2024</v>
      </c>
      <c r="P731" s="1" t="s">
        <v>24</v>
      </c>
      <c r="Q731" s="1" t="s">
        <v>25</v>
      </c>
      <c r="R731" s="4" t="s">
        <v>41</v>
      </c>
      <c r="S731" s="25">
        <f>Table1[[#This Row],[Clicks]]/Table1[[#This Row],[Impressions]]</f>
        <v>8.9499714666159413E-2</v>
      </c>
      <c r="T731" s="22">
        <f>Table1[[#This Row],[Sales]]/Table1[[#This Row],[USD_Spend]]</f>
        <v>0.21327181513162352</v>
      </c>
      <c r="U731" s="1" t="str">
        <f>Outlier_Check!C741</f>
        <v>Normal</v>
      </c>
    </row>
    <row r="732" spans="1:21" x14ac:dyDescent="0.35">
      <c r="A732" s="3" t="s">
        <v>62</v>
      </c>
      <c r="B732" s="1" t="s">
        <v>28</v>
      </c>
      <c r="C732" s="1" t="s">
        <v>58</v>
      </c>
      <c r="D732" s="1" t="s">
        <v>51</v>
      </c>
      <c r="E732" s="1" t="s">
        <v>30</v>
      </c>
      <c r="F732" s="1" t="s">
        <v>23</v>
      </c>
      <c r="G732" s="2">
        <v>45575</v>
      </c>
      <c r="H732" s="2">
        <v>45603</v>
      </c>
      <c r="I732" s="1">
        <v>43798.29</v>
      </c>
      <c r="J732" s="1">
        <v>1.1637999999999999</v>
      </c>
      <c r="K732" s="1">
        <v>50972.45</v>
      </c>
      <c r="L732" s="1">
        <v>781555</v>
      </c>
      <c r="M732" s="1">
        <v>21433</v>
      </c>
      <c r="N732" s="1">
        <v>171092.71</v>
      </c>
      <c r="O732" s="1">
        <v>2024</v>
      </c>
      <c r="P732" s="1" t="s">
        <v>24</v>
      </c>
      <c r="Q732" s="1" t="s">
        <v>25</v>
      </c>
      <c r="R732" s="4" t="s">
        <v>41</v>
      </c>
      <c r="S732" s="25">
        <f>Table1[[#This Row],[Clicks]]/Table1[[#This Row],[Impressions]]</f>
        <v>2.7423533852384028E-2</v>
      </c>
      <c r="T732" s="22">
        <f>Table1[[#This Row],[Sales]]/Table1[[#This Row],[USD_Spend]]</f>
        <v>3.3565722267617115</v>
      </c>
      <c r="U732" s="1" t="str">
        <f>Outlier_Check!C742</f>
        <v>Normal</v>
      </c>
    </row>
    <row r="733" spans="1:21" x14ac:dyDescent="0.35">
      <c r="A733" s="3" t="s">
        <v>101</v>
      </c>
      <c r="B733" s="1" t="s">
        <v>48</v>
      </c>
      <c r="C733" s="1" t="s">
        <v>69</v>
      </c>
      <c r="D733" s="1" t="s">
        <v>43</v>
      </c>
      <c r="E733" s="1" t="s">
        <v>30</v>
      </c>
      <c r="F733" s="1" t="s">
        <v>52</v>
      </c>
      <c r="G733" s="2">
        <v>45576</v>
      </c>
      <c r="H733" s="2">
        <v>45630</v>
      </c>
      <c r="I733" s="1">
        <v>31977.49</v>
      </c>
      <c r="J733" s="1">
        <v>7.4399999999999994E-2</v>
      </c>
      <c r="K733" s="1">
        <v>2379.13</v>
      </c>
      <c r="L733" s="1">
        <v>559855</v>
      </c>
      <c r="M733" s="1">
        <v>2798</v>
      </c>
      <c r="N733" s="1">
        <v>83232.55</v>
      </c>
      <c r="O733" s="1">
        <v>2024</v>
      </c>
      <c r="P733" s="1" t="s">
        <v>24</v>
      </c>
      <c r="Q733" s="1" t="s">
        <v>25</v>
      </c>
      <c r="R733" s="4" t="s">
        <v>61</v>
      </c>
      <c r="S733" s="25">
        <f>Table1[[#This Row],[Clicks]]/Table1[[#This Row],[Impressions]]</f>
        <v>4.9977226246081573E-3</v>
      </c>
      <c r="T733" s="22">
        <f>Table1[[#This Row],[Sales]]/Table1[[#This Row],[USD_Spend]]</f>
        <v>34.984448096573118</v>
      </c>
      <c r="U733" s="1" t="str">
        <f>Outlier_Check!C743</f>
        <v>Normal</v>
      </c>
    </row>
    <row r="734" spans="1:21" x14ac:dyDescent="0.35">
      <c r="A734" s="3" t="s">
        <v>27</v>
      </c>
      <c r="B734" s="1" t="s">
        <v>48</v>
      </c>
      <c r="C734" s="1" t="s">
        <v>58</v>
      </c>
      <c r="D734" s="1" t="s">
        <v>63</v>
      </c>
      <c r="E734" s="1" t="s">
        <v>30</v>
      </c>
      <c r="F734" s="1" t="s">
        <v>23</v>
      </c>
      <c r="G734" s="2">
        <v>45576</v>
      </c>
      <c r="H734" s="2">
        <v>45621</v>
      </c>
      <c r="I734" s="1">
        <v>39101.9</v>
      </c>
      <c r="J734" s="1">
        <v>0.23200000000000001</v>
      </c>
      <c r="K734" s="1">
        <v>9071.64</v>
      </c>
      <c r="L734" s="1">
        <v>694219</v>
      </c>
      <c r="M734" s="1">
        <v>14632</v>
      </c>
      <c r="N734" s="1">
        <v>77746.009999999995</v>
      </c>
      <c r="O734" s="1">
        <v>2024</v>
      </c>
      <c r="P734" s="1" t="s">
        <v>24</v>
      </c>
      <c r="Q734" s="1" t="s">
        <v>25</v>
      </c>
      <c r="R734" s="4" t="s">
        <v>41</v>
      </c>
      <c r="S734" s="25">
        <f>Table1[[#This Row],[Clicks]]/Table1[[#This Row],[Impressions]]</f>
        <v>2.1076922412091862E-2</v>
      </c>
      <c r="T734" s="22">
        <f>Table1[[#This Row],[Sales]]/Table1[[#This Row],[USD_Spend]]</f>
        <v>8.5702265522000438</v>
      </c>
      <c r="U734" s="1" t="str">
        <f>Outlier_Check!C744</f>
        <v>Normal</v>
      </c>
    </row>
    <row r="735" spans="1:21" x14ac:dyDescent="0.35">
      <c r="A735" s="3" t="s">
        <v>68</v>
      </c>
      <c r="B735" s="1" t="s">
        <v>48</v>
      </c>
      <c r="C735" s="1" t="s">
        <v>58</v>
      </c>
      <c r="D735" s="1" t="s">
        <v>63</v>
      </c>
      <c r="E735" s="1" t="s">
        <v>38</v>
      </c>
      <c r="F735" s="1" t="s">
        <v>31</v>
      </c>
      <c r="G735" s="2">
        <v>45577</v>
      </c>
      <c r="H735" s="2">
        <v>45624</v>
      </c>
      <c r="I735" s="1">
        <v>35167.160000000003</v>
      </c>
      <c r="J735" s="1">
        <v>1.0216000000000001</v>
      </c>
      <c r="K735" s="1">
        <v>35926.769999999997</v>
      </c>
      <c r="L735" s="1">
        <v>844328</v>
      </c>
      <c r="M735" s="1">
        <v>35124</v>
      </c>
      <c r="N735" s="1">
        <v>102440.39</v>
      </c>
      <c r="O735" s="1">
        <v>2024</v>
      </c>
      <c r="P735" s="1" t="s">
        <v>24</v>
      </c>
      <c r="Q735" s="1" t="s">
        <v>25</v>
      </c>
      <c r="R735" s="4" t="s">
        <v>41</v>
      </c>
      <c r="S735" s="25">
        <f>Table1[[#This Row],[Clicks]]/Table1[[#This Row],[Impressions]]</f>
        <v>4.1599946940051737E-2</v>
      </c>
      <c r="T735" s="22">
        <f>Table1[[#This Row],[Sales]]/Table1[[#This Row],[USD_Spend]]</f>
        <v>2.8513665436664639</v>
      </c>
      <c r="U735" s="1" t="str">
        <f>Outlier_Check!C745</f>
        <v>Normal</v>
      </c>
    </row>
    <row r="736" spans="1:21" x14ac:dyDescent="0.35">
      <c r="A736" s="3" t="s">
        <v>95</v>
      </c>
      <c r="B736" s="1" t="s">
        <v>48</v>
      </c>
      <c r="C736" s="1" t="s">
        <v>36</v>
      </c>
      <c r="D736" s="1" t="s">
        <v>43</v>
      </c>
      <c r="E736" s="1" t="s">
        <v>22</v>
      </c>
      <c r="F736" s="1" t="s">
        <v>44</v>
      </c>
      <c r="G736" s="2">
        <v>45578</v>
      </c>
      <c r="H736" s="2">
        <v>45605</v>
      </c>
      <c r="I736" s="1">
        <v>3387.03</v>
      </c>
      <c r="J736" s="1">
        <v>0.35709999999999997</v>
      </c>
      <c r="K736" s="1">
        <v>1209.51</v>
      </c>
      <c r="L736" s="1">
        <v>679983</v>
      </c>
      <c r="M736" s="1">
        <v>5134</v>
      </c>
      <c r="N736" s="1">
        <v>130897.29</v>
      </c>
      <c r="O736" s="1">
        <v>2024</v>
      </c>
      <c r="P736" s="1" t="s">
        <v>24</v>
      </c>
      <c r="Q736" s="1" t="s">
        <v>25</v>
      </c>
      <c r="R736" s="4" t="s">
        <v>41</v>
      </c>
      <c r="S736" s="25">
        <f>Table1[[#This Row],[Clicks]]/Table1[[#This Row],[Impressions]]</f>
        <v>7.5501887547188683E-3</v>
      </c>
      <c r="T736" s="22">
        <f>Table1[[#This Row],[Sales]]/Table1[[#This Row],[USD_Spend]]</f>
        <v>108.22340451918545</v>
      </c>
      <c r="U736" s="1" t="str">
        <f>Outlier_Check!C746</f>
        <v>Normal</v>
      </c>
    </row>
    <row r="737" spans="1:21" x14ac:dyDescent="0.35">
      <c r="A737" s="3" t="s">
        <v>106</v>
      </c>
      <c r="B737" s="1" t="s">
        <v>19</v>
      </c>
      <c r="C737" s="1" t="s">
        <v>36</v>
      </c>
      <c r="D737" s="1" t="s">
        <v>63</v>
      </c>
      <c r="E737" s="1" t="s">
        <v>38</v>
      </c>
      <c r="F737" s="1" t="s">
        <v>23</v>
      </c>
      <c r="G737" s="2">
        <v>45578</v>
      </c>
      <c r="H737" s="2">
        <v>45595</v>
      </c>
      <c r="I737" s="1">
        <v>31423.67</v>
      </c>
      <c r="J737" s="1">
        <v>0.8165</v>
      </c>
      <c r="K737" s="1">
        <v>25657.43</v>
      </c>
      <c r="L737" s="1">
        <v>765948</v>
      </c>
      <c r="M737" s="1">
        <v>43300</v>
      </c>
      <c r="N737" s="1">
        <v>171809.5</v>
      </c>
      <c r="O737" s="1">
        <v>2024</v>
      </c>
      <c r="P737" s="1" t="s">
        <v>24</v>
      </c>
      <c r="Q737" s="1" t="s">
        <v>25</v>
      </c>
      <c r="R737" s="4" t="s">
        <v>41</v>
      </c>
      <c r="S737" s="25">
        <f>Table1[[#This Row],[Clicks]]/Table1[[#This Row],[Impressions]]</f>
        <v>5.653125277433977E-2</v>
      </c>
      <c r="T737" s="22">
        <f>Table1[[#This Row],[Sales]]/Table1[[#This Row],[USD_Spend]]</f>
        <v>6.696286416839099</v>
      </c>
      <c r="U737" s="1" t="str">
        <f>Outlier_Check!C747</f>
        <v>Normal</v>
      </c>
    </row>
    <row r="738" spans="1:21" x14ac:dyDescent="0.35">
      <c r="A738" s="3" t="s">
        <v>107</v>
      </c>
      <c r="B738" s="1" t="s">
        <v>35</v>
      </c>
      <c r="C738" s="1" t="s">
        <v>36</v>
      </c>
      <c r="D738" s="1" t="s">
        <v>21</v>
      </c>
      <c r="E738" s="1" t="s">
        <v>22</v>
      </c>
      <c r="F738" s="1" t="s">
        <v>31</v>
      </c>
      <c r="G738" s="2">
        <v>45580</v>
      </c>
      <c r="H738" s="2">
        <v>45639</v>
      </c>
      <c r="I738" s="1">
        <v>28273.81</v>
      </c>
      <c r="J738" s="1">
        <v>0.49619999999999997</v>
      </c>
      <c r="K738" s="1">
        <v>14029.46</v>
      </c>
      <c r="L738" s="1">
        <v>617723</v>
      </c>
      <c r="M738" s="1">
        <v>5313</v>
      </c>
      <c r="N738" s="1">
        <v>72729.19</v>
      </c>
      <c r="O738" s="1">
        <v>2024</v>
      </c>
      <c r="P738" s="1" t="s">
        <v>24</v>
      </c>
      <c r="Q738" s="1" t="s">
        <v>25</v>
      </c>
      <c r="R738" s="4" t="s">
        <v>41</v>
      </c>
      <c r="S738" s="25">
        <f>Table1[[#This Row],[Clicks]]/Table1[[#This Row],[Impressions]]</f>
        <v>8.6009424936419714E-3</v>
      </c>
      <c r="T738" s="22">
        <f>Table1[[#This Row],[Sales]]/Table1[[#This Row],[USD_Spend]]</f>
        <v>5.1840334553147454</v>
      </c>
      <c r="U738" s="1" t="str">
        <f>Outlier_Check!C748</f>
        <v>Normal</v>
      </c>
    </row>
    <row r="739" spans="1:21" x14ac:dyDescent="0.35">
      <c r="A739" s="3" t="s">
        <v>81</v>
      </c>
      <c r="B739" s="1" t="s">
        <v>35</v>
      </c>
      <c r="C739" s="1" t="s">
        <v>58</v>
      </c>
      <c r="D739" s="1" t="s">
        <v>21</v>
      </c>
      <c r="E739" s="1" t="s">
        <v>30</v>
      </c>
      <c r="F739" s="1" t="s">
        <v>49</v>
      </c>
      <c r="G739" s="2">
        <v>45580</v>
      </c>
      <c r="H739" s="2">
        <v>45607</v>
      </c>
      <c r="I739" s="1">
        <v>24727.42</v>
      </c>
      <c r="J739" s="1">
        <v>0.79179999999999995</v>
      </c>
      <c r="K739" s="1">
        <v>19579.169999999998</v>
      </c>
      <c r="L739" s="1">
        <v>198811</v>
      </c>
      <c r="M739" s="1">
        <v>19767</v>
      </c>
      <c r="N739" s="1">
        <v>210969.5</v>
      </c>
      <c r="O739" s="1">
        <v>2024</v>
      </c>
      <c r="P739" s="1" t="s">
        <v>24</v>
      </c>
      <c r="Q739" s="1" t="s">
        <v>25</v>
      </c>
      <c r="R739" s="4" t="s">
        <v>41</v>
      </c>
      <c r="S739" s="25">
        <f>Table1[[#This Row],[Clicks]]/Table1[[#This Row],[Impressions]]</f>
        <v>9.9426088093717155E-2</v>
      </c>
      <c r="T739" s="22">
        <f>Table1[[#This Row],[Sales]]/Table1[[#This Row],[USD_Spend]]</f>
        <v>10.775201400263649</v>
      </c>
      <c r="U739" s="1" t="str">
        <f>Outlier_Check!C749</f>
        <v>Normal</v>
      </c>
    </row>
    <row r="740" spans="1:21" x14ac:dyDescent="0.35">
      <c r="A740" s="3" t="s">
        <v>114</v>
      </c>
      <c r="B740" s="1" t="s">
        <v>28</v>
      </c>
      <c r="C740" s="1" t="s">
        <v>36</v>
      </c>
      <c r="D740" s="1" t="s">
        <v>37</v>
      </c>
      <c r="E740" s="1" t="s">
        <v>38</v>
      </c>
      <c r="F740" s="1" t="s">
        <v>23</v>
      </c>
      <c r="G740" s="2">
        <v>45581</v>
      </c>
      <c r="H740" s="2">
        <v>45630</v>
      </c>
      <c r="I740" s="1">
        <v>34105.480000000003</v>
      </c>
      <c r="J740" s="1">
        <v>0.55969999999999998</v>
      </c>
      <c r="K740" s="1">
        <v>19088.84</v>
      </c>
      <c r="L740" s="1">
        <v>370351</v>
      </c>
      <c r="M740" s="1">
        <v>48987</v>
      </c>
      <c r="N740" s="1">
        <v>102838.75</v>
      </c>
      <c r="O740" s="1">
        <v>2024</v>
      </c>
      <c r="P740" s="1" t="s">
        <v>24</v>
      </c>
      <c r="Q740" s="1" t="s">
        <v>25</v>
      </c>
      <c r="R740" s="4" t="s">
        <v>61</v>
      </c>
      <c r="S740" s="25">
        <f>Table1[[#This Row],[Clicks]]/Table1[[#This Row],[Impressions]]</f>
        <v>0.13227181781607178</v>
      </c>
      <c r="T740" s="22">
        <f>Table1[[#This Row],[Sales]]/Table1[[#This Row],[USD_Spend]]</f>
        <v>5.3873755555602125</v>
      </c>
      <c r="U740" s="1" t="str">
        <f>Outlier_Check!C750</f>
        <v>Normal</v>
      </c>
    </row>
    <row r="741" spans="1:21" x14ac:dyDescent="0.35">
      <c r="A741" s="3" t="s">
        <v>18</v>
      </c>
      <c r="B741" s="1" t="s">
        <v>19</v>
      </c>
      <c r="C741" s="1" t="s">
        <v>20</v>
      </c>
      <c r="D741" s="1" t="s">
        <v>21</v>
      </c>
      <c r="E741" s="1" t="s">
        <v>22</v>
      </c>
      <c r="F741" s="1" t="s">
        <v>23</v>
      </c>
      <c r="G741" s="2">
        <v>45581</v>
      </c>
      <c r="H741" s="2">
        <v>45593</v>
      </c>
      <c r="I741" s="1">
        <v>2225.5300000000002</v>
      </c>
      <c r="J741" s="1">
        <v>0.33729999999999999</v>
      </c>
      <c r="K741" s="1">
        <v>750.67</v>
      </c>
      <c r="L741" s="1">
        <v>244053</v>
      </c>
      <c r="M741" s="1">
        <v>9244</v>
      </c>
      <c r="N741" s="1">
        <v>185435.45</v>
      </c>
      <c r="O741" s="1">
        <v>2024</v>
      </c>
      <c r="P741" s="1" t="s">
        <v>24</v>
      </c>
      <c r="Q741" s="1" t="s">
        <v>25</v>
      </c>
      <c r="R741" s="4" t="s">
        <v>26</v>
      </c>
      <c r="S741" s="25">
        <f>Table1[[#This Row],[Clicks]]/Table1[[#This Row],[Impressions]]</f>
        <v>3.7877018516469782E-2</v>
      </c>
      <c r="T741" s="22">
        <f>Table1[[#This Row],[Sales]]/Table1[[#This Row],[USD_Spend]]</f>
        <v>247.02658957997525</v>
      </c>
      <c r="U741" s="1" t="str">
        <f>Outlier_Check!C751</f>
        <v>Normal</v>
      </c>
    </row>
    <row r="742" spans="1:21" x14ac:dyDescent="0.35">
      <c r="A742" s="3" t="s">
        <v>57</v>
      </c>
      <c r="B742" s="1" t="s">
        <v>48</v>
      </c>
      <c r="C742" s="1" t="s">
        <v>36</v>
      </c>
      <c r="D742" s="1" t="s">
        <v>37</v>
      </c>
      <c r="E742" s="1" t="s">
        <v>38</v>
      </c>
      <c r="F742" s="1" t="s">
        <v>49</v>
      </c>
      <c r="G742" s="2">
        <v>45582</v>
      </c>
      <c r="H742" s="2">
        <v>45640</v>
      </c>
      <c r="I742" s="1">
        <v>32191.48</v>
      </c>
      <c r="J742" s="1">
        <v>0.1578</v>
      </c>
      <c r="K742" s="1">
        <v>5079.82</v>
      </c>
      <c r="L742" s="1">
        <v>708260</v>
      </c>
      <c r="M742" s="1">
        <v>18953</v>
      </c>
      <c r="N742" s="1">
        <v>107203.41</v>
      </c>
      <c r="O742" s="1">
        <v>2024</v>
      </c>
      <c r="P742" s="1" t="s">
        <v>24</v>
      </c>
      <c r="Q742" s="1" t="s">
        <v>25</v>
      </c>
      <c r="R742" s="4" t="s">
        <v>26</v>
      </c>
      <c r="S742" s="25">
        <f>Table1[[#This Row],[Clicks]]/Table1[[#This Row],[Impressions]]</f>
        <v>2.6759946912150907E-2</v>
      </c>
      <c r="T742" s="22">
        <f>Table1[[#This Row],[Sales]]/Table1[[#This Row],[USD_Spend]]</f>
        <v>21.103781236343021</v>
      </c>
      <c r="U742" s="1" t="str">
        <f>Outlier_Check!C752</f>
        <v>Normal</v>
      </c>
    </row>
    <row r="743" spans="1:21" x14ac:dyDescent="0.35">
      <c r="A743" s="3" t="s">
        <v>103</v>
      </c>
      <c r="B743" s="1" t="s">
        <v>19</v>
      </c>
      <c r="C743" s="1" t="s">
        <v>36</v>
      </c>
      <c r="D743" s="1" t="s">
        <v>59</v>
      </c>
      <c r="E743" s="1" t="s">
        <v>38</v>
      </c>
      <c r="F743" s="1" t="s">
        <v>52</v>
      </c>
      <c r="G743" s="2">
        <v>45582</v>
      </c>
      <c r="H743" s="2">
        <v>45638</v>
      </c>
      <c r="I743" s="1">
        <v>46499.77</v>
      </c>
      <c r="J743" s="1">
        <v>0.51200000000000001</v>
      </c>
      <c r="K743" s="1">
        <v>23807.88</v>
      </c>
      <c r="L743" s="1">
        <v>652053</v>
      </c>
      <c r="M743" s="1">
        <v>37562</v>
      </c>
      <c r="N743" s="1">
        <v>104169.32</v>
      </c>
      <c r="O743" s="1">
        <v>2024</v>
      </c>
      <c r="P743" s="1" t="s">
        <v>24</v>
      </c>
      <c r="Q743" s="1" t="s">
        <v>25</v>
      </c>
      <c r="R743" s="4" t="s">
        <v>41</v>
      </c>
      <c r="S743" s="25">
        <f>Table1[[#This Row],[Clicks]]/Table1[[#This Row],[Impressions]]</f>
        <v>5.7605746772118216E-2</v>
      </c>
      <c r="T743" s="22">
        <f>Table1[[#This Row],[Sales]]/Table1[[#This Row],[USD_Spend]]</f>
        <v>4.3754135185493208</v>
      </c>
      <c r="U743" s="1" t="str">
        <f>Outlier_Check!C753</f>
        <v>Normal</v>
      </c>
    </row>
    <row r="744" spans="1:21" x14ac:dyDescent="0.35">
      <c r="A744" s="3" t="s">
        <v>102</v>
      </c>
      <c r="B744" s="1" t="s">
        <v>28</v>
      </c>
      <c r="C744" s="1" t="s">
        <v>69</v>
      </c>
      <c r="D744" s="1" t="s">
        <v>21</v>
      </c>
      <c r="E744" s="1" t="s">
        <v>38</v>
      </c>
      <c r="F744" s="1" t="s">
        <v>44</v>
      </c>
      <c r="G744" s="2">
        <v>45584</v>
      </c>
      <c r="H744" s="2">
        <v>45616</v>
      </c>
      <c r="I744" s="1">
        <v>43916.800000000003</v>
      </c>
      <c r="J744" s="1">
        <v>0.18029999999999999</v>
      </c>
      <c r="K744" s="1">
        <v>7918.2</v>
      </c>
      <c r="L744" s="1">
        <v>352402</v>
      </c>
      <c r="M744" s="1">
        <v>39878</v>
      </c>
      <c r="N744" s="1">
        <v>198100.29</v>
      </c>
      <c r="O744" s="1">
        <v>2024</v>
      </c>
      <c r="P744" s="1" t="s">
        <v>24</v>
      </c>
      <c r="Q744" s="1" t="s">
        <v>25</v>
      </c>
      <c r="R744" s="4" t="s">
        <v>26</v>
      </c>
      <c r="S744" s="25">
        <f>Table1[[#This Row],[Clicks]]/Table1[[#This Row],[Impressions]]</f>
        <v>0.11316053824893162</v>
      </c>
      <c r="T744" s="22">
        <f>Table1[[#This Row],[Sales]]/Table1[[#This Row],[USD_Spend]]</f>
        <v>25.018348867166782</v>
      </c>
      <c r="U744" s="1" t="str">
        <f>Outlier_Check!C754</f>
        <v>Normal</v>
      </c>
    </row>
    <row r="745" spans="1:21" x14ac:dyDescent="0.35">
      <c r="A745" s="3" t="s">
        <v>108</v>
      </c>
      <c r="B745" s="1" t="s">
        <v>19</v>
      </c>
      <c r="C745" s="1" t="s">
        <v>69</v>
      </c>
      <c r="D745" s="1" t="s">
        <v>43</v>
      </c>
      <c r="E745" s="1" t="s">
        <v>38</v>
      </c>
      <c r="F745" s="1" t="s">
        <v>23</v>
      </c>
      <c r="G745" s="2">
        <v>45586</v>
      </c>
      <c r="H745" s="2">
        <v>45645</v>
      </c>
      <c r="I745" s="1">
        <v>3069.39</v>
      </c>
      <c r="J745" s="1">
        <v>0.86970000000000003</v>
      </c>
      <c r="K745" s="1">
        <v>2669.45</v>
      </c>
      <c r="L745" s="1">
        <v>830231</v>
      </c>
      <c r="M745" s="1">
        <v>1404</v>
      </c>
      <c r="N745" s="1">
        <v>18555.18</v>
      </c>
      <c r="O745" s="1">
        <v>2024</v>
      </c>
      <c r="P745" s="1" t="s">
        <v>24</v>
      </c>
      <c r="Q745" s="1" t="s">
        <v>25</v>
      </c>
      <c r="R745" s="4" t="s">
        <v>54</v>
      </c>
      <c r="S745" s="25">
        <f>Table1[[#This Row],[Clicks]]/Table1[[#This Row],[Impressions]]</f>
        <v>1.6910956107396616E-3</v>
      </c>
      <c r="T745" s="22">
        <f>Table1[[#This Row],[Sales]]/Table1[[#This Row],[USD_Spend]]</f>
        <v>6.9509374590271413</v>
      </c>
      <c r="U745" s="1" t="str">
        <f>Outlier_Check!C755</f>
        <v>Normal</v>
      </c>
    </row>
    <row r="746" spans="1:21" x14ac:dyDescent="0.35">
      <c r="A746" s="3" t="s">
        <v>72</v>
      </c>
      <c r="B746" s="1" t="s">
        <v>28</v>
      </c>
      <c r="C746" s="1" t="s">
        <v>29</v>
      </c>
      <c r="D746" s="1" t="s">
        <v>59</v>
      </c>
      <c r="E746" s="1" t="s">
        <v>38</v>
      </c>
      <c r="F746" s="1" t="s">
        <v>23</v>
      </c>
      <c r="G746" s="2">
        <v>45586</v>
      </c>
      <c r="H746" s="2">
        <v>45612</v>
      </c>
      <c r="I746" s="1">
        <v>19473.509999999998</v>
      </c>
      <c r="J746" s="1">
        <v>0.86380000000000001</v>
      </c>
      <c r="K746" s="1">
        <v>16821.22</v>
      </c>
      <c r="L746" s="1">
        <v>781754</v>
      </c>
      <c r="M746" s="1">
        <v>47615</v>
      </c>
      <c r="N746" s="1">
        <v>98504.37</v>
      </c>
      <c r="O746" s="1">
        <v>2024</v>
      </c>
      <c r="P746" s="1" t="s">
        <v>24</v>
      </c>
      <c r="Q746" s="1" t="s">
        <v>25</v>
      </c>
      <c r="R746" s="4" t="s">
        <v>41</v>
      </c>
      <c r="S746" s="25">
        <f>Table1[[#This Row],[Clicks]]/Table1[[#This Row],[Impressions]]</f>
        <v>6.0907907090977466E-2</v>
      </c>
      <c r="T746" s="22">
        <f>Table1[[#This Row],[Sales]]/Table1[[#This Row],[USD_Spend]]</f>
        <v>5.8559587235646395</v>
      </c>
      <c r="U746" s="1" t="str">
        <f>Outlier_Check!C756</f>
        <v>Normal</v>
      </c>
    </row>
    <row r="747" spans="1:21" x14ac:dyDescent="0.35">
      <c r="A747" s="3" t="s">
        <v>102</v>
      </c>
      <c r="B747" s="1" t="s">
        <v>19</v>
      </c>
      <c r="C747" s="1" t="s">
        <v>36</v>
      </c>
      <c r="D747" s="1" t="s">
        <v>37</v>
      </c>
      <c r="E747" s="1" t="s">
        <v>22</v>
      </c>
      <c r="F747" s="1" t="s">
        <v>52</v>
      </c>
      <c r="G747" s="2">
        <v>45589</v>
      </c>
      <c r="H747" s="2">
        <v>45646</v>
      </c>
      <c r="I747" s="1">
        <v>47047.8</v>
      </c>
      <c r="J747" s="1">
        <v>0.89880000000000004</v>
      </c>
      <c r="K747" s="1">
        <v>42286.559999999998</v>
      </c>
      <c r="L747" s="1">
        <v>171223</v>
      </c>
      <c r="M747" s="1">
        <v>1656</v>
      </c>
      <c r="N747" s="1">
        <v>117510.18</v>
      </c>
      <c r="O747" s="1">
        <v>2024</v>
      </c>
      <c r="P747" s="1" t="s">
        <v>24</v>
      </c>
      <c r="Q747" s="1" t="s">
        <v>25</v>
      </c>
      <c r="R747" s="4" t="s">
        <v>41</v>
      </c>
      <c r="S747" s="25">
        <f>Table1[[#This Row],[Clicks]]/Table1[[#This Row],[Impressions]]</f>
        <v>9.6715978577644364E-3</v>
      </c>
      <c r="T747" s="22">
        <f>Table1[[#This Row],[Sales]]/Table1[[#This Row],[USD_Spend]]</f>
        <v>2.7789013814318309</v>
      </c>
      <c r="U747" s="1" t="str">
        <f>Outlier_Check!C757</f>
        <v>Normal</v>
      </c>
    </row>
    <row r="748" spans="1:21" x14ac:dyDescent="0.35">
      <c r="A748" s="3" t="s">
        <v>34</v>
      </c>
      <c r="B748" s="1" t="s">
        <v>35</v>
      </c>
      <c r="C748" s="1" t="s">
        <v>58</v>
      </c>
      <c r="D748" s="1" t="s">
        <v>37</v>
      </c>
      <c r="E748" s="1" t="s">
        <v>22</v>
      </c>
      <c r="F748" s="1" t="s">
        <v>23</v>
      </c>
      <c r="G748" s="2">
        <v>45589</v>
      </c>
      <c r="H748" s="2">
        <v>45633</v>
      </c>
      <c r="I748" s="1">
        <v>3170.54</v>
      </c>
      <c r="J748" s="1">
        <v>1.1805000000000001</v>
      </c>
      <c r="K748" s="1">
        <v>3742.82</v>
      </c>
      <c r="L748" s="1">
        <v>720380</v>
      </c>
      <c r="M748" s="1">
        <v>42484</v>
      </c>
      <c r="N748" s="1">
        <v>102906.35</v>
      </c>
      <c r="O748" s="1">
        <v>2024</v>
      </c>
      <c r="P748" s="1" t="s">
        <v>24</v>
      </c>
      <c r="Q748" s="1" t="s">
        <v>25</v>
      </c>
      <c r="R748" s="4" t="s">
        <v>41</v>
      </c>
      <c r="S748" s="25">
        <f>Table1[[#This Row],[Clicks]]/Table1[[#This Row],[Impressions]]</f>
        <v>5.8974430161859021E-2</v>
      </c>
      <c r="T748" s="22">
        <f>Table1[[#This Row],[Sales]]/Table1[[#This Row],[USD_Spend]]</f>
        <v>27.494335821653191</v>
      </c>
      <c r="U748" s="1" t="str">
        <f>Outlier_Check!C758</f>
        <v>Normal</v>
      </c>
    </row>
    <row r="749" spans="1:21" x14ac:dyDescent="0.35">
      <c r="A749" s="3" t="s">
        <v>84</v>
      </c>
      <c r="B749" s="1" t="s">
        <v>48</v>
      </c>
      <c r="C749" s="1" t="s">
        <v>69</v>
      </c>
      <c r="D749" s="1" t="s">
        <v>43</v>
      </c>
      <c r="E749" s="1" t="s">
        <v>38</v>
      </c>
      <c r="F749" s="1" t="s">
        <v>49</v>
      </c>
      <c r="G749" s="2">
        <v>45590</v>
      </c>
      <c r="H749" s="2">
        <v>45601</v>
      </c>
      <c r="I749" s="1">
        <v>34179.83</v>
      </c>
      <c r="J749" s="1">
        <v>0.2056</v>
      </c>
      <c r="K749" s="1">
        <v>7027.37</v>
      </c>
      <c r="L749" s="1">
        <v>786459</v>
      </c>
      <c r="M749" s="1">
        <v>16085</v>
      </c>
      <c r="N749" s="1">
        <v>131418.51</v>
      </c>
      <c r="O749" s="1">
        <v>2024</v>
      </c>
      <c r="P749" s="1" t="s">
        <v>24</v>
      </c>
      <c r="Q749" s="1" t="s">
        <v>25</v>
      </c>
      <c r="R749" s="4" t="s">
        <v>61</v>
      </c>
      <c r="S749" s="25">
        <f>Table1[[#This Row],[Clicks]]/Table1[[#This Row],[Impressions]]</f>
        <v>2.0452432993964084E-2</v>
      </c>
      <c r="T749" s="22">
        <f>Table1[[#This Row],[Sales]]/Table1[[#This Row],[USD_Spend]]</f>
        <v>18.700952134297754</v>
      </c>
      <c r="U749" s="1" t="str">
        <f>Outlier_Check!C759</f>
        <v>Normal</v>
      </c>
    </row>
    <row r="750" spans="1:21" x14ac:dyDescent="0.35">
      <c r="A750" s="3" t="s">
        <v>88</v>
      </c>
      <c r="B750" s="1" t="s">
        <v>28</v>
      </c>
      <c r="C750" s="1" t="s">
        <v>20</v>
      </c>
      <c r="D750" s="1" t="s">
        <v>37</v>
      </c>
      <c r="E750" s="1" t="s">
        <v>30</v>
      </c>
      <c r="F750" s="1" t="s">
        <v>23</v>
      </c>
      <c r="G750" s="2">
        <v>45592</v>
      </c>
      <c r="H750" s="2">
        <v>45602</v>
      </c>
      <c r="I750" s="1">
        <v>42736.5</v>
      </c>
      <c r="J750" s="1">
        <v>1.0243</v>
      </c>
      <c r="K750" s="1">
        <v>43775</v>
      </c>
      <c r="L750" s="1">
        <v>911085</v>
      </c>
      <c r="M750" s="1">
        <v>35071</v>
      </c>
      <c r="N750" s="1">
        <v>98102.3</v>
      </c>
      <c r="O750" s="1">
        <v>2024</v>
      </c>
      <c r="P750" s="1" t="s">
        <v>24</v>
      </c>
      <c r="Q750" s="1" t="s">
        <v>25</v>
      </c>
      <c r="R750" s="4" t="s">
        <v>61</v>
      </c>
      <c r="S750" s="25">
        <f>Table1[[#This Row],[Clicks]]/Table1[[#This Row],[Impressions]]</f>
        <v>3.8493664147692036E-2</v>
      </c>
      <c r="T750" s="22">
        <f>Table1[[#This Row],[Sales]]/Table1[[#This Row],[USD_Spend]]</f>
        <v>2.2410576813249574</v>
      </c>
      <c r="U750" s="1" t="str">
        <f>Outlier_Check!C760</f>
        <v>Normal</v>
      </c>
    </row>
    <row r="751" spans="1:21" x14ac:dyDescent="0.35">
      <c r="A751" s="3" t="s">
        <v>99</v>
      </c>
      <c r="B751" s="1" t="s">
        <v>35</v>
      </c>
      <c r="C751" s="1" t="s">
        <v>69</v>
      </c>
      <c r="D751" s="1" t="s">
        <v>21</v>
      </c>
      <c r="E751" s="1" t="s">
        <v>22</v>
      </c>
      <c r="F751" s="1" t="s">
        <v>49</v>
      </c>
      <c r="G751" s="2">
        <v>45593</v>
      </c>
      <c r="H751" s="2">
        <v>45611</v>
      </c>
      <c r="I751" s="1">
        <v>38580.99</v>
      </c>
      <c r="J751" s="1">
        <v>0.50570000000000004</v>
      </c>
      <c r="K751" s="1">
        <v>19510.41</v>
      </c>
      <c r="L751" s="1">
        <v>680030</v>
      </c>
      <c r="M751" s="1">
        <v>2084</v>
      </c>
      <c r="N751" s="1">
        <v>127019.32</v>
      </c>
      <c r="O751" s="1">
        <v>2024</v>
      </c>
      <c r="P751" s="1" t="s">
        <v>24</v>
      </c>
      <c r="Q751" s="1" t="s">
        <v>25</v>
      </c>
      <c r="R751" s="4" t="s">
        <v>41</v>
      </c>
      <c r="S751" s="25">
        <f>Table1[[#This Row],[Clicks]]/Table1[[#This Row],[Impressions]]</f>
        <v>3.064570680705263E-3</v>
      </c>
      <c r="T751" s="22">
        <f>Table1[[#This Row],[Sales]]/Table1[[#This Row],[USD_Spend]]</f>
        <v>6.5103357643432407</v>
      </c>
      <c r="U751" s="1" t="str">
        <f>Outlier_Check!C761</f>
        <v>Normal</v>
      </c>
    </row>
    <row r="752" spans="1:21" x14ac:dyDescent="0.35">
      <c r="A752" s="3" t="s">
        <v>110</v>
      </c>
      <c r="B752" s="1" t="s">
        <v>28</v>
      </c>
      <c r="C752" s="1" t="s">
        <v>29</v>
      </c>
      <c r="D752" s="1" t="s">
        <v>37</v>
      </c>
      <c r="E752" s="1" t="s">
        <v>38</v>
      </c>
      <c r="F752" s="1" t="s">
        <v>49</v>
      </c>
      <c r="G752" s="2">
        <v>45594</v>
      </c>
      <c r="H752" s="2">
        <v>45635</v>
      </c>
      <c r="I752" s="1">
        <v>12378.79</v>
      </c>
      <c r="J752" s="1">
        <v>0.88900000000000001</v>
      </c>
      <c r="K752" s="1">
        <v>11004.74</v>
      </c>
      <c r="L752" s="1">
        <v>901638</v>
      </c>
      <c r="M752" s="1">
        <v>2544</v>
      </c>
      <c r="N752" s="1">
        <v>228741.28</v>
      </c>
      <c r="O752" s="1">
        <v>2024</v>
      </c>
      <c r="P752" s="1" t="s">
        <v>24</v>
      </c>
      <c r="Q752" s="1" t="s">
        <v>25</v>
      </c>
      <c r="R752" s="4" t="s">
        <v>61</v>
      </c>
      <c r="S752" s="25">
        <f>Table1[[#This Row],[Clicks]]/Table1[[#This Row],[Impressions]]</f>
        <v>2.8215314793742056E-3</v>
      </c>
      <c r="T752" s="22">
        <f>Table1[[#This Row],[Sales]]/Table1[[#This Row],[USD_Spend]]</f>
        <v>20.785705068906672</v>
      </c>
      <c r="U752" s="1" t="str">
        <f>Outlier_Check!C762</f>
        <v>Normal</v>
      </c>
    </row>
    <row r="753" spans="1:21" x14ac:dyDescent="0.35">
      <c r="A753" s="3" t="s">
        <v>34</v>
      </c>
      <c r="B753" s="1" t="s">
        <v>35</v>
      </c>
      <c r="C753" s="1" t="s">
        <v>58</v>
      </c>
      <c r="D753" s="1" t="s">
        <v>37</v>
      </c>
      <c r="E753" s="1" t="s">
        <v>30</v>
      </c>
      <c r="F753" s="1" t="s">
        <v>49</v>
      </c>
      <c r="G753" s="2">
        <v>45598</v>
      </c>
      <c r="H753" s="2">
        <v>45649</v>
      </c>
      <c r="I753" s="1">
        <v>28594.240000000002</v>
      </c>
      <c r="J753" s="1">
        <v>0.55679999999999996</v>
      </c>
      <c r="K753" s="1">
        <v>15921.27</v>
      </c>
      <c r="L753" s="1">
        <v>910374</v>
      </c>
      <c r="M753" s="1">
        <v>9277</v>
      </c>
      <c r="N753" s="1">
        <v>73193.34</v>
      </c>
      <c r="O753" s="1">
        <v>2024</v>
      </c>
      <c r="P753" s="1" t="s">
        <v>65</v>
      </c>
      <c r="Q753" s="1" t="s">
        <v>25</v>
      </c>
      <c r="R753" s="4" t="s">
        <v>54</v>
      </c>
      <c r="S753" s="25">
        <f>Table1[[#This Row],[Clicks]]/Table1[[#This Row],[Impressions]]</f>
        <v>1.0190317386041342E-2</v>
      </c>
      <c r="T753" s="22">
        <f>Table1[[#This Row],[Sales]]/Table1[[#This Row],[USD_Spend]]</f>
        <v>4.5972048712194438</v>
      </c>
      <c r="U753" s="1" t="str">
        <f>Outlier_Check!C763</f>
        <v>Normal</v>
      </c>
    </row>
    <row r="754" spans="1:21" x14ac:dyDescent="0.35">
      <c r="A754" s="3" t="s">
        <v>84</v>
      </c>
      <c r="B754" s="1" t="s">
        <v>28</v>
      </c>
      <c r="C754" s="1" t="s">
        <v>58</v>
      </c>
      <c r="D754" s="1" t="s">
        <v>63</v>
      </c>
      <c r="E754" s="1" t="s">
        <v>30</v>
      </c>
      <c r="F754" s="1" t="s">
        <v>52</v>
      </c>
      <c r="G754" s="2">
        <v>45598</v>
      </c>
      <c r="H754" s="2">
        <v>45644</v>
      </c>
      <c r="I754" s="1">
        <v>39554.39</v>
      </c>
      <c r="J754" s="1">
        <v>0.58850000000000002</v>
      </c>
      <c r="K754" s="1">
        <v>23277.759999999998</v>
      </c>
      <c r="L754" s="1">
        <v>708199</v>
      </c>
      <c r="M754" s="1">
        <v>45769</v>
      </c>
      <c r="N754" s="1">
        <v>134890.73000000001</v>
      </c>
      <c r="O754" s="1">
        <v>2024</v>
      </c>
      <c r="P754" s="1" t="s">
        <v>65</v>
      </c>
      <c r="Q754" s="1" t="s">
        <v>25</v>
      </c>
      <c r="R754" s="4" t="s">
        <v>41</v>
      </c>
      <c r="S754" s="25">
        <f>Table1[[#This Row],[Clicks]]/Table1[[#This Row],[Impressions]]</f>
        <v>6.4627315203777472E-2</v>
      </c>
      <c r="T754" s="22">
        <f>Table1[[#This Row],[Sales]]/Table1[[#This Row],[USD_Spend]]</f>
        <v>5.7948329220681032</v>
      </c>
      <c r="U754" s="1" t="str">
        <f>Outlier_Check!C764</f>
        <v>Normal</v>
      </c>
    </row>
    <row r="755" spans="1:21" x14ac:dyDescent="0.35">
      <c r="A755" s="3" t="s">
        <v>77</v>
      </c>
      <c r="B755" s="1" t="s">
        <v>28</v>
      </c>
      <c r="C755" s="1" t="s">
        <v>36</v>
      </c>
      <c r="D755" s="1" t="s">
        <v>37</v>
      </c>
      <c r="E755" s="1" t="s">
        <v>30</v>
      </c>
      <c r="F755" s="1" t="s">
        <v>44</v>
      </c>
      <c r="G755" s="2">
        <v>45598</v>
      </c>
      <c r="H755" s="2">
        <v>45628</v>
      </c>
      <c r="I755" s="1">
        <v>7428.47</v>
      </c>
      <c r="J755" s="1">
        <v>0.89119999999999999</v>
      </c>
      <c r="K755" s="1">
        <v>6620.25</v>
      </c>
      <c r="L755" s="1">
        <v>293114</v>
      </c>
      <c r="M755" s="1">
        <v>5665</v>
      </c>
      <c r="N755" s="1">
        <v>23749.14</v>
      </c>
      <c r="O755" s="1">
        <v>2024</v>
      </c>
      <c r="P755" s="1" t="s">
        <v>65</v>
      </c>
      <c r="Q755" s="1" t="s">
        <v>25</v>
      </c>
      <c r="R755" s="4" t="s">
        <v>61</v>
      </c>
      <c r="S755" s="25">
        <f>Table1[[#This Row],[Clicks]]/Table1[[#This Row],[Impressions]]</f>
        <v>1.932695128857714E-2</v>
      </c>
      <c r="T755" s="22">
        <f>Table1[[#This Row],[Sales]]/Table1[[#This Row],[USD_Spend]]</f>
        <v>3.5873479098221366</v>
      </c>
      <c r="U755" s="1" t="str">
        <f>Outlier_Check!C765</f>
        <v>Normal</v>
      </c>
    </row>
    <row r="756" spans="1:21" x14ac:dyDescent="0.35">
      <c r="A756" s="3" t="s">
        <v>34</v>
      </c>
      <c r="B756" s="1" t="s">
        <v>28</v>
      </c>
      <c r="C756" s="1" t="s">
        <v>58</v>
      </c>
      <c r="D756" s="1" t="s">
        <v>37</v>
      </c>
      <c r="E756" s="1" t="s">
        <v>22</v>
      </c>
      <c r="F756" s="1" t="s">
        <v>31</v>
      </c>
      <c r="G756" s="2">
        <v>45600</v>
      </c>
      <c r="H756" s="2">
        <v>45660</v>
      </c>
      <c r="I756" s="1">
        <v>27587.09</v>
      </c>
      <c r="J756" s="1">
        <v>0.50180000000000002</v>
      </c>
      <c r="K756" s="1">
        <v>13843.2</v>
      </c>
      <c r="L756" s="1">
        <v>206694</v>
      </c>
      <c r="M756" s="1">
        <v>34076</v>
      </c>
      <c r="N756" s="1">
        <v>93635.94</v>
      </c>
      <c r="O756" s="1">
        <v>2024</v>
      </c>
      <c r="P756" s="1" t="s">
        <v>65</v>
      </c>
      <c r="Q756" s="1" t="s">
        <v>25</v>
      </c>
      <c r="R756" s="4" t="s">
        <v>61</v>
      </c>
      <c r="S756" s="25">
        <f>Table1[[#This Row],[Clicks]]/Table1[[#This Row],[Impressions]]</f>
        <v>0.16486206662989733</v>
      </c>
      <c r="T756" s="22">
        <f>Table1[[#This Row],[Sales]]/Table1[[#This Row],[USD_Spend]]</f>
        <v>6.7640386615811368</v>
      </c>
      <c r="U756" s="1" t="str">
        <f>Outlier_Check!C766</f>
        <v>Normal</v>
      </c>
    </row>
    <row r="757" spans="1:21" x14ac:dyDescent="0.35">
      <c r="A757" s="3" t="s">
        <v>84</v>
      </c>
      <c r="B757" s="1" t="s">
        <v>35</v>
      </c>
      <c r="C757" s="1" t="s">
        <v>69</v>
      </c>
      <c r="D757" s="1" t="s">
        <v>21</v>
      </c>
      <c r="E757" s="1" t="s">
        <v>30</v>
      </c>
      <c r="F757" s="1" t="s">
        <v>49</v>
      </c>
      <c r="G757" s="2">
        <v>45600</v>
      </c>
      <c r="H757" s="2">
        <v>45615</v>
      </c>
      <c r="I757" s="1">
        <v>27161.119999999999</v>
      </c>
      <c r="J757" s="1">
        <v>0.72389999999999999</v>
      </c>
      <c r="K757" s="1">
        <v>19661.93</v>
      </c>
      <c r="L757" s="1">
        <v>988866</v>
      </c>
      <c r="M757" s="1">
        <v>23189</v>
      </c>
      <c r="N757" s="1">
        <v>226108.82</v>
      </c>
      <c r="O757" s="1">
        <v>2024</v>
      </c>
      <c r="P757" s="1" t="s">
        <v>65</v>
      </c>
      <c r="Q757" s="1" t="s">
        <v>25</v>
      </c>
      <c r="R757" s="4" t="s">
        <v>41</v>
      </c>
      <c r="S757" s="25">
        <f>Table1[[#This Row],[Clicks]]/Table1[[#This Row],[Impressions]]</f>
        <v>2.3450093339239086E-2</v>
      </c>
      <c r="T757" s="22">
        <f>Table1[[#This Row],[Sales]]/Table1[[#This Row],[USD_Spend]]</f>
        <v>11.499828348488679</v>
      </c>
      <c r="U757" s="1" t="str">
        <f>Outlier_Check!C767</f>
        <v>Normal</v>
      </c>
    </row>
    <row r="758" spans="1:21" x14ac:dyDescent="0.35">
      <c r="A758" s="3" t="s">
        <v>109</v>
      </c>
      <c r="B758" s="1" t="s">
        <v>35</v>
      </c>
      <c r="C758" s="1" t="s">
        <v>29</v>
      </c>
      <c r="D758" s="1" t="s">
        <v>21</v>
      </c>
      <c r="E758" s="1" t="s">
        <v>30</v>
      </c>
      <c r="F758" s="1" t="s">
        <v>31</v>
      </c>
      <c r="G758" s="2">
        <v>45600</v>
      </c>
      <c r="H758" s="2">
        <v>45612</v>
      </c>
      <c r="I758" s="1">
        <v>33172.92</v>
      </c>
      <c r="J758" s="1">
        <v>0.1009</v>
      </c>
      <c r="K758" s="1">
        <v>3347.15</v>
      </c>
      <c r="L758" s="1">
        <v>993952</v>
      </c>
      <c r="M758" s="1">
        <v>35728</v>
      </c>
      <c r="N758" s="1">
        <v>55435.94</v>
      </c>
      <c r="O758" s="1">
        <v>2024</v>
      </c>
      <c r="P758" s="1" t="s">
        <v>65</v>
      </c>
      <c r="Q758" s="1" t="s">
        <v>25</v>
      </c>
      <c r="R758" s="4" t="s">
        <v>41</v>
      </c>
      <c r="S758" s="25">
        <f>Table1[[#This Row],[Clicks]]/Table1[[#This Row],[Impressions]]</f>
        <v>3.5945397765686872E-2</v>
      </c>
      <c r="T758" s="22">
        <f>Table1[[#This Row],[Sales]]/Table1[[#This Row],[USD_Spend]]</f>
        <v>16.562131963013311</v>
      </c>
      <c r="U758" s="1" t="str">
        <f>Outlier_Check!C768</f>
        <v>Normal</v>
      </c>
    </row>
    <row r="759" spans="1:21" x14ac:dyDescent="0.35">
      <c r="A759" s="3" t="s">
        <v>115</v>
      </c>
      <c r="B759" s="1" t="s">
        <v>35</v>
      </c>
      <c r="C759" s="1" t="s">
        <v>20</v>
      </c>
      <c r="D759" s="1" t="s">
        <v>63</v>
      </c>
      <c r="E759" s="1" t="s">
        <v>22</v>
      </c>
      <c r="F759" s="1" t="s">
        <v>44</v>
      </c>
      <c r="G759" s="2">
        <v>45602</v>
      </c>
      <c r="H759" s="2">
        <v>45638</v>
      </c>
      <c r="I759" s="1">
        <v>1770.86</v>
      </c>
      <c r="J759" s="1">
        <v>0.64329999999999998</v>
      </c>
      <c r="K759" s="1">
        <v>1139.19</v>
      </c>
      <c r="L759" s="1">
        <v>441319</v>
      </c>
      <c r="M759" s="1">
        <v>876</v>
      </c>
      <c r="N759" s="1">
        <v>9097.91</v>
      </c>
      <c r="O759" s="1">
        <v>2024</v>
      </c>
      <c r="P759" s="1" t="s">
        <v>65</v>
      </c>
      <c r="Q759" s="1" t="s">
        <v>25</v>
      </c>
      <c r="R759" s="4" t="s">
        <v>54</v>
      </c>
      <c r="S759" s="25">
        <f>Table1[[#This Row],[Clicks]]/Table1[[#This Row],[Impressions]]</f>
        <v>1.9849587260009202E-3</v>
      </c>
      <c r="T759" s="22">
        <f>Table1[[#This Row],[Sales]]/Table1[[#This Row],[USD_Spend]]</f>
        <v>7.986297281401697</v>
      </c>
      <c r="U759" s="1" t="str">
        <f>Outlier_Check!C769</f>
        <v>Normal</v>
      </c>
    </row>
    <row r="760" spans="1:21" x14ac:dyDescent="0.35">
      <c r="A760" s="3" t="s">
        <v>34</v>
      </c>
      <c r="B760" s="1" t="s">
        <v>35</v>
      </c>
      <c r="C760" s="1" t="s">
        <v>69</v>
      </c>
      <c r="D760" s="1" t="s">
        <v>43</v>
      </c>
      <c r="E760" s="1" t="s">
        <v>22</v>
      </c>
      <c r="F760" s="1" t="s">
        <v>23</v>
      </c>
      <c r="G760" s="2">
        <v>45603</v>
      </c>
      <c r="H760" s="2">
        <v>45627</v>
      </c>
      <c r="I760" s="1">
        <v>2534</v>
      </c>
      <c r="J760" s="1">
        <v>0.91800000000000004</v>
      </c>
      <c r="K760" s="1">
        <v>2326.21</v>
      </c>
      <c r="L760" s="1">
        <v>992750</v>
      </c>
      <c r="M760" s="1">
        <v>1803</v>
      </c>
      <c r="N760" s="1">
        <v>227963.23</v>
      </c>
      <c r="O760" s="1">
        <v>2024</v>
      </c>
      <c r="P760" s="1" t="s">
        <v>65</v>
      </c>
      <c r="Q760" s="1" t="s">
        <v>25</v>
      </c>
      <c r="R760" s="4" t="s">
        <v>41</v>
      </c>
      <c r="S760" s="25">
        <f>Table1[[#This Row],[Clicks]]/Table1[[#This Row],[Impressions]]</f>
        <v>1.8161672122890958E-3</v>
      </c>
      <c r="T760" s="22">
        <f>Table1[[#This Row],[Sales]]/Table1[[#This Row],[USD_Spend]]</f>
        <v>97.997700121657118</v>
      </c>
      <c r="U760" s="1" t="str">
        <f>Outlier_Check!C770</f>
        <v>Normal</v>
      </c>
    </row>
    <row r="761" spans="1:21" x14ac:dyDescent="0.35">
      <c r="A761" s="3" t="s">
        <v>110</v>
      </c>
      <c r="B761" s="1" t="s">
        <v>48</v>
      </c>
      <c r="C761" s="1" t="s">
        <v>58</v>
      </c>
      <c r="D761" s="1" t="s">
        <v>37</v>
      </c>
      <c r="E761" s="1" t="s">
        <v>38</v>
      </c>
      <c r="F761" s="1" t="s">
        <v>31</v>
      </c>
      <c r="G761" s="2">
        <v>45604</v>
      </c>
      <c r="H761" s="2">
        <v>45630</v>
      </c>
      <c r="I761" s="1">
        <v>43943.25</v>
      </c>
      <c r="J761" s="1">
        <v>0.74550000000000005</v>
      </c>
      <c r="K761" s="1">
        <v>32759.69</v>
      </c>
      <c r="L761" s="1">
        <v>636258</v>
      </c>
      <c r="M761" s="1">
        <v>24788</v>
      </c>
      <c r="N761" s="1">
        <v>42791.93</v>
      </c>
      <c r="O761" s="1">
        <v>2024</v>
      </c>
      <c r="P761" s="1" t="s">
        <v>65</v>
      </c>
      <c r="Q761" s="1" t="s">
        <v>25</v>
      </c>
      <c r="R761" s="4" t="s">
        <v>61</v>
      </c>
      <c r="S761" s="25">
        <f>Table1[[#This Row],[Clicks]]/Table1[[#This Row],[Impressions]]</f>
        <v>3.8959038628983839E-2</v>
      </c>
      <c r="T761" s="22">
        <f>Table1[[#This Row],[Sales]]/Table1[[#This Row],[USD_Spend]]</f>
        <v>1.3062373300846255</v>
      </c>
      <c r="U761" s="1" t="str">
        <f>Outlier_Check!C771</f>
        <v>Normal</v>
      </c>
    </row>
    <row r="762" spans="1:21" x14ac:dyDescent="0.35">
      <c r="A762" s="3" t="s">
        <v>98</v>
      </c>
      <c r="B762" s="1" t="s">
        <v>35</v>
      </c>
      <c r="C762" s="1" t="s">
        <v>36</v>
      </c>
      <c r="D762" s="1" t="s">
        <v>63</v>
      </c>
      <c r="E762" s="1" t="s">
        <v>22</v>
      </c>
      <c r="F762" s="1" t="s">
        <v>23</v>
      </c>
      <c r="G762" s="2">
        <v>45604</v>
      </c>
      <c r="H762" s="2">
        <v>45624</v>
      </c>
      <c r="I762" s="1">
        <v>13133.08</v>
      </c>
      <c r="J762" s="1">
        <v>0.78120000000000001</v>
      </c>
      <c r="K762" s="1">
        <v>10259.56</v>
      </c>
      <c r="L762" s="1">
        <v>631314</v>
      </c>
      <c r="M762" s="1">
        <v>5666</v>
      </c>
      <c r="N762" s="1">
        <v>228045.31</v>
      </c>
      <c r="O762" s="1">
        <v>2024</v>
      </c>
      <c r="P762" s="1" t="s">
        <v>65</v>
      </c>
      <c r="Q762" s="1" t="s">
        <v>25</v>
      </c>
      <c r="R762" s="4" t="s">
        <v>41</v>
      </c>
      <c r="S762" s="25">
        <f>Table1[[#This Row],[Clicks]]/Table1[[#This Row],[Impressions]]</f>
        <v>8.9749316504940495E-3</v>
      </c>
      <c r="T762" s="22">
        <f>Table1[[#This Row],[Sales]]/Table1[[#This Row],[USD_Spend]]</f>
        <v>22.227591631609933</v>
      </c>
      <c r="U762" s="1" t="str">
        <f>Outlier_Check!C772</f>
        <v>Normal</v>
      </c>
    </row>
    <row r="763" spans="1:21" x14ac:dyDescent="0.35">
      <c r="A763" s="3" t="s">
        <v>66</v>
      </c>
      <c r="B763" s="1" t="s">
        <v>35</v>
      </c>
      <c r="C763" s="1" t="s">
        <v>29</v>
      </c>
      <c r="D763" s="1" t="s">
        <v>59</v>
      </c>
      <c r="E763" s="1" t="s">
        <v>22</v>
      </c>
      <c r="F763" s="1" t="s">
        <v>23</v>
      </c>
      <c r="G763" s="2">
        <v>45605</v>
      </c>
      <c r="H763" s="2">
        <v>45621</v>
      </c>
      <c r="I763" s="1">
        <v>24268.7</v>
      </c>
      <c r="J763" s="1">
        <v>0.23400000000000001</v>
      </c>
      <c r="K763" s="1">
        <v>5678.88</v>
      </c>
      <c r="L763" s="1">
        <v>413277</v>
      </c>
      <c r="M763" s="1">
        <v>23711</v>
      </c>
      <c r="N763" s="1">
        <v>210790.86</v>
      </c>
      <c r="O763" s="1">
        <v>2024</v>
      </c>
      <c r="P763" s="1" t="s">
        <v>65</v>
      </c>
      <c r="Q763" s="1" t="s">
        <v>25</v>
      </c>
      <c r="R763" s="4" t="s">
        <v>26</v>
      </c>
      <c r="S763" s="25">
        <f>Table1[[#This Row],[Clicks]]/Table1[[#This Row],[Impressions]]</f>
        <v>5.737314198467372E-2</v>
      </c>
      <c r="T763" s="22">
        <f>Table1[[#This Row],[Sales]]/Table1[[#This Row],[USD_Spend]]</f>
        <v>37.118386019778548</v>
      </c>
      <c r="U763" s="1" t="str">
        <f>Outlier_Check!C773</f>
        <v>Normal</v>
      </c>
    </row>
    <row r="764" spans="1:21" x14ac:dyDescent="0.35">
      <c r="A764" s="3" t="s">
        <v>88</v>
      </c>
      <c r="B764" s="1" t="s">
        <v>28</v>
      </c>
      <c r="C764" s="1" t="s">
        <v>69</v>
      </c>
      <c r="D764" s="1" t="s">
        <v>43</v>
      </c>
      <c r="E764" s="1" t="s">
        <v>22</v>
      </c>
      <c r="F764" s="1" t="s">
        <v>52</v>
      </c>
      <c r="G764" s="2">
        <v>45606</v>
      </c>
      <c r="H764" s="2">
        <v>45665</v>
      </c>
      <c r="I764" s="1">
        <v>7106.64</v>
      </c>
      <c r="J764" s="1">
        <v>1.0810999999999999</v>
      </c>
      <c r="K764" s="1">
        <v>7682.99</v>
      </c>
      <c r="L764" s="1">
        <v>541756</v>
      </c>
      <c r="M764" s="1">
        <v>20369</v>
      </c>
      <c r="N764" s="1">
        <v>168388.76</v>
      </c>
      <c r="O764" s="1">
        <v>2024</v>
      </c>
      <c r="P764" s="1" t="s">
        <v>65</v>
      </c>
      <c r="Q764" s="1" t="s">
        <v>25</v>
      </c>
      <c r="R764" s="4" t="s">
        <v>54</v>
      </c>
      <c r="S764" s="25">
        <f>Table1[[#This Row],[Clicks]]/Table1[[#This Row],[Impressions]]</f>
        <v>3.7598106896831782E-2</v>
      </c>
      <c r="T764" s="22">
        <f>Table1[[#This Row],[Sales]]/Table1[[#This Row],[USD_Spend]]</f>
        <v>21.917086967443666</v>
      </c>
      <c r="U764" s="1" t="str">
        <f>Outlier_Check!C774</f>
        <v>Normal</v>
      </c>
    </row>
    <row r="765" spans="1:21" x14ac:dyDescent="0.35">
      <c r="A765" s="3" t="s">
        <v>84</v>
      </c>
      <c r="B765" s="1" t="s">
        <v>19</v>
      </c>
      <c r="C765" s="1" t="s">
        <v>69</v>
      </c>
      <c r="D765" s="1" t="s">
        <v>63</v>
      </c>
      <c r="E765" s="1" t="s">
        <v>22</v>
      </c>
      <c r="F765" s="1" t="s">
        <v>49</v>
      </c>
      <c r="G765" s="2">
        <v>45607</v>
      </c>
      <c r="H765" s="2">
        <v>45636</v>
      </c>
      <c r="I765" s="1">
        <v>34188.58</v>
      </c>
      <c r="J765" s="1">
        <v>1.0843</v>
      </c>
      <c r="K765" s="1">
        <v>37070.68</v>
      </c>
      <c r="L765" s="1">
        <v>655414</v>
      </c>
      <c r="M765" s="1">
        <v>37396</v>
      </c>
      <c r="N765" s="1">
        <v>78732.72</v>
      </c>
      <c r="O765" s="1">
        <v>2024</v>
      </c>
      <c r="P765" s="1" t="s">
        <v>65</v>
      </c>
      <c r="Q765" s="1" t="s">
        <v>25</v>
      </c>
      <c r="R765" s="4" t="s">
        <v>41</v>
      </c>
      <c r="S765" s="25">
        <f>Table1[[#This Row],[Clicks]]/Table1[[#This Row],[Impressions]]</f>
        <v>5.7057066220739867E-2</v>
      </c>
      <c r="T765" s="22">
        <f>Table1[[#This Row],[Sales]]/Table1[[#This Row],[USD_Spend]]</f>
        <v>2.1238542157845499</v>
      </c>
      <c r="U765" s="1" t="str">
        <f>Outlier_Check!C775</f>
        <v>Normal</v>
      </c>
    </row>
    <row r="766" spans="1:21" x14ac:dyDescent="0.35">
      <c r="A766" s="3" t="s">
        <v>77</v>
      </c>
      <c r="B766" s="1" t="s">
        <v>48</v>
      </c>
      <c r="C766" s="1" t="s">
        <v>29</v>
      </c>
      <c r="D766" s="1" t="s">
        <v>43</v>
      </c>
      <c r="E766" s="1" t="s">
        <v>30</v>
      </c>
      <c r="F766" s="1" t="s">
        <v>52</v>
      </c>
      <c r="G766" s="2">
        <v>45609</v>
      </c>
      <c r="H766" s="2">
        <v>45666</v>
      </c>
      <c r="I766" s="1">
        <v>22028.79</v>
      </c>
      <c r="J766" s="1">
        <v>0.57389999999999997</v>
      </c>
      <c r="K766" s="1">
        <v>12642.32</v>
      </c>
      <c r="L766" s="1">
        <v>830738</v>
      </c>
      <c r="M766" s="1">
        <v>6854</v>
      </c>
      <c r="N766" s="1">
        <v>176780.51</v>
      </c>
      <c r="O766" s="1">
        <v>2024</v>
      </c>
      <c r="P766" s="1" t="s">
        <v>65</v>
      </c>
      <c r="Q766" s="1" t="s">
        <v>25</v>
      </c>
      <c r="R766" s="4" t="s">
        <v>61</v>
      </c>
      <c r="S766" s="25">
        <f>Table1[[#This Row],[Clicks]]/Table1[[#This Row],[Impressions]]</f>
        <v>8.2504953426952906E-3</v>
      </c>
      <c r="T766" s="22">
        <f>Table1[[#This Row],[Sales]]/Table1[[#This Row],[USD_Spend]]</f>
        <v>13.983233298951459</v>
      </c>
      <c r="U766" s="1" t="str">
        <f>Outlier_Check!C776</f>
        <v>Normal</v>
      </c>
    </row>
    <row r="767" spans="1:21" x14ac:dyDescent="0.35">
      <c r="A767" s="3" t="s">
        <v>86</v>
      </c>
      <c r="B767" s="1" t="s">
        <v>19</v>
      </c>
      <c r="C767" s="1" t="s">
        <v>20</v>
      </c>
      <c r="D767" s="1" t="s">
        <v>43</v>
      </c>
      <c r="E767" s="1" t="s">
        <v>22</v>
      </c>
      <c r="F767" s="1" t="s">
        <v>23</v>
      </c>
      <c r="G767" s="2">
        <v>45609</v>
      </c>
      <c r="H767" s="2">
        <v>45631</v>
      </c>
      <c r="I767" s="1">
        <v>7909.15</v>
      </c>
      <c r="J767" s="1">
        <v>0.25609999999999999</v>
      </c>
      <c r="K767" s="1">
        <v>2025.53</v>
      </c>
      <c r="L767" s="1">
        <v>889535</v>
      </c>
      <c r="M767" s="1">
        <v>33438</v>
      </c>
      <c r="N767" s="1">
        <v>189941.86</v>
      </c>
      <c r="O767" s="1">
        <v>2024</v>
      </c>
      <c r="P767" s="1" t="s">
        <v>65</v>
      </c>
      <c r="Q767" s="1" t="s">
        <v>25</v>
      </c>
      <c r="R767" s="4" t="s">
        <v>54</v>
      </c>
      <c r="S767" s="25">
        <f>Table1[[#This Row],[Clicks]]/Table1[[#This Row],[Impressions]]</f>
        <v>3.7590426458767784E-2</v>
      </c>
      <c r="T767" s="22">
        <f>Table1[[#This Row],[Sales]]/Table1[[#This Row],[USD_Spend]]</f>
        <v>93.773906088776755</v>
      </c>
      <c r="U767" s="1" t="str">
        <f>Outlier_Check!C777</f>
        <v>Normal</v>
      </c>
    </row>
    <row r="768" spans="1:21" x14ac:dyDescent="0.35">
      <c r="A768" s="3" t="s">
        <v>84</v>
      </c>
      <c r="B768" s="1" t="s">
        <v>28</v>
      </c>
      <c r="C768" s="1" t="s">
        <v>29</v>
      </c>
      <c r="D768" s="1" t="s">
        <v>63</v>
      </c>
      <c r="E768" s="1" t="s">
        <v>38</v>
      </c>
      <c r="F768" s="1" t="s">
        <v>44</v>
      </c>
      <c r="G768" s="2">
        <v>45609</v>
      </c>
      <c r="H768" s="2">
        <v>45626</v>
      </c>
      <c r="I768" s="1">
        <v>47470.42</v>
      </c>
      <c r="J768" s="1">
        <v>1.1519999999999999</v>
      </c>
      <c r="K768" s="1">
        <v>54685.919999999998</v>
      </c>
      <c r="L768" s="1">
        <v>288711</v>
      </c>
      <c r="M768" s="1">
        <v>7885</v>
      </c>
      <c r="N768" s="1">
        <v>108168.35</v>
      </c>
      <c r="O768" s="1">
        <v>2024</v>
      </c>
      <c r="P768" s="1" t="s">
        <v>65</v>
      </c>
      <c r="Q768" s="1" t="s">
        <v>25</v>
      </c>
      <c r="R768" s="4" t="s">
        <v>54</v>
      </c>
      <c r="S768" s="25">
        <f>Table1[[#This Row],[Clicks]]/Table1[[#This Row],[Impressions]]</f>
        <v>2.7311048072293748E-2</v>
      </c>
      <c r="T768" s="22">
        <f>Table1[[#This Row],[Sales]]/Table1[[#This Row],[USD_Spend]]</f>
        <v>1.9779926898916578</v>
      </c>
      <c r="U768" s="1" t="str">
        <f>Outlier_Check!C778</f>
        <v>Outlier</v>
      </c>
    </row>
    <row r="769" spans="1:21" x14ac:dyDescent="0.35">
      <c r="A769" s="3" t="s">
        <v>98</v>
      </c>
      <c r="B769" s="1" t="s">
        <v>28</v>
      </c>
      <c r="C769" s="1" t="s">
        <v>69</v>
      </c>
      <c r="D769" s="1" t="s">
        <v>43</v>
      </c>
      <c r="E769" s="1" t="s">
        <v>38</v>
      </c>
      <c r="F769" s="1" t="s">
        <v>49</v>
      </c>
      <c r="G769" s="2">
        <v>45609</v>
      </c>
      <c r="H769" s="2">
        <v>45614</v>
      </c>
      <c r="I769" s="1">
        <v>45046.52</v>
      </c>
      <c r="J769" s="1">
        <v>0.56369999999999998</v>
      </c>
      <c r="K769" s="1">
        <v>25392.720000000001</v>
      </c>
      <c r="L769" s="1">
        <v>311603</v>
      </c>
      <c r="M769" s="1">
        <v>44507</v>
      </c>
      <c r="N769" s="1">
        <v>138916.54</v>
      </c>
      <c r="O769" s="1">
        <v>2024</v>
      </c>
      <c r="P769" s="1" t="s">
        <v>65</v>
      </c>
      <c r="Q769" s="1" t="s">
        <v>25</v>
      </c>
      <c r="R769" s="4" t="s">
        <v>41</v>
      </c>
      <c r="S769" s="25">
        <f>Table1[[#This Row],[Clicks]]/Table1[[#This Row],[Impressions]]</f>
        <v>0.14283238608100693</v>
      </c>
      <c r="T769" s="22">
        <f>Table1[[#This Row],[Sales]]/Table1[[#This Row],[USD_Spend]]</f>
        <v>5.4707231048899052</v>
      </c>
      <c r="U769" s="1" t="str">
        <f>Outlier_Check!C779</f>
        <v>Normal</v>
      </c>
    </row>
    <row r="770" spans="1:21" x14ac:dyDescent="0.35">
      <c r="A770" s="3" t="s">
        <v>96</v>
      </c>
      <c r="B770" s="1" t="s">
        <v>28</v>
      </c>
      <c r="C770" s="1" t="s">
        <v>69</v>
      </c>
      <c r="D770" s="1" t="s">
        <v>59</v>
      </c>
      <c r="E770" s="1" t="s">
        <v>22</v>
      </c>
      <c r="F770" s="1" t="s">
        <v>44</v>
      </c>
      <c r="G770" s="2">
        <v>45610</v>
      </c>
      <c r="H770" s="2">
        <v>45645</v>
      </c>
      <c r="I770" s="1">
        <v>7325.73</v>
      </c>
      <c r="J770" s="1">
        <v>0.24740000000000001</v>
      </c>
      <c r="K770" s="1">
        <v>1812.39</v>
      </c>
      <c r="L770" s="1">
        <v>645173</v>
      </c>
      <c r="M770" s="1">
        <v>32355</v>
      </c>
      <c r="N770" s="1">
        <v>29721.41</v>
      </c>
      <c r="O770" s="1">
        <v>2024</v>
      </c>
      <c r="P770" s="1" t="s">
        <v>65</v>
      </c>
      <c r="Q770" s="1" t="s">
        <v>25</v>
      </c>
      <c r="R770" s="4" t="s">
        <v>26</v>
      </c>
      <c r="S770" s="25">
        <f>Table1[[#This Row],[Clicks]]/Table1[[#This Row],[Impressions]]</f>
        <v>5.0149339789482821E-2</v>
      </c>
      <c r="T770" s="22">
        <f>Table1[[#This Row],[Sales]]/Table1[[#This Row],[USD_Spend]]</f>
        <v>16.399014560883693</v>
      </c>
      <c r="U770" s="1" t="str">
        <f>Outlier_Check!C780</f>
        <v>Normal</v>
      </c>
    </row>
    <row r="771" spans="1:21" x14ac:dyDescent="0.35">
      <c r="A771" s="3" t="s">
        <v>105</v>
      </c>
      <c r="B771" s="1" t="s">
        <v>48</v>
      </c>
      <c r="C771" s="1" t="s">
        <v>58</v>
      </c>
      <c r="D771" s="1" t="s">
        <v>63</v>
      </c>
      <c r="E771" s="1" t="s">
        <v>38</v>
      </c>
      <c r="F771" s="1" t="s">
        <v>31</v>
      </c>
      <c r="G771" s="2">
        <v>45612</v>
      </c>
      <c r="H771" s="2">
        <v>45623</v>
      </c>
      <c r="I771" s="1">
        <v>10054.280000000001</v>
      </c>
      <c r="J771" s="1">
        <v>0.17730000000000001</v>
      </c>
      <c r="K771" s="1">
        <v>1782.62</v>
      </c>
      <c r="L771" s="1">
        <v>349320</v>
      </c>
      <c r="M771" s="1">
        <v>16356</v>
      </c>
      <c r="N771" s="1">
        <v>6673.38</v>
      </c>
      <c r="O771" s="1">
        <v>2024</v>
      </c>
      <c r="P771" s="1" t="s">
        <v>65</v>
      </c>
      <c r="Q771" s="1" t="s">
        <v>25</v>
      </c>
      <c r="R771" s="4" t="s">
        <v>26</v>
      </c>
      <c r="S771" s="25">
        <f>Table1[[#This Row],[Clicks]]/Table1[[#This Row],[Impressions]]</f>
        <v>4.6822397801442803E-2</v>
      </c>
      <c r="T771" s="22">
        <f>Table1[[#This Row],[Sales]]/Table1[[#This Row],[USD_Spend]]</f>
        <v>3.7435796748605989</v>
      </c>
      <c r="U771" s="1" t="str">
        <f>Outlier_Check!C781</f>
        <v>Normal</v>
      </c>
    </row>
    <row r="772" spans="1:21" x14ac:dyDescent="0.35">
      <c r="A772" s="3" t="s">
        <v>82</v>
      </c>
      <c r="B772" s="1" t="s">
        <v>28</v>
      </c>
      <c r="C772" s="1" t="s">
        <v>20</v>
      </c>
      <c r="D772" s="1" t="s">
        <v>63</v>
      </c>
      <c r="E772" s="1" t="s">
        <v>22</v>
      </c>
      <c r="F772" s="1" t="s">
        <v>31</v>
      </c>
      <c r="G772" s="2">
        <v>45613</v>
      </c>
      <c r="H772" s="2">
        <v>45662</v>
      </c>
      <c r="I772" s="1">
        <v>41618.99</v>
      </c>
      <c r="J772" s="1">
        <v>0.8891</v>
      </c>
      <c r="K772" s="1">
        <v>37003.440000000002</v>
      </c>
      <c r="L772" s="1">
        <v>728709</v>
      </c>
      <c r="M772" s="1">
        <v>34597</v>
      </c>
      <c r="N772" s="1">
        <v>27895.98</v>
      </c>
      <c r="O772" s="1">
        <v>2024</v>
      </c>
      <c r="P772" s="1" t="s">
        <v>65</v>
      </c>
      <c r="Q772" s="1" t="s">
        <v>25</v>
      </c>
      <c r="R772" s="4" t="s">
        <v>41</v>
      </c>
      <c r="S772" s="25">
        <f>Table1[[#This Row],[Clicks]]/Table1[[#This Row],[Impressions]]</f>
        <v>4.7477113635209664E-2</v>
      </c>
      <c r="T772" s="22">
        <f>Table1[[#This Row],[Sales]]/Table1[[#This Row],[USD_Spend]]</f>
        <v>0.75387531537608388</v>
      </c>
      <c r="U772" s="1" t="str">
        <f>Outlier_Check!C782</f>
        <v>Normal</v>
      </c>
    </row>
    <row r="773" spans="1:21" x14ac:dyDescent="0.35">
      <c r="A773" s="3" t="s">
        <v>100</v>
      </c>
      <c r="B773" s="1" t="s">
        <v>35</v>
      </c>
      <c r="C773" s="1" t="s">
        <v>69</v>
      </c>
      <c r="D773" s="1" t="s">
        <v>51</v>
      </c>
      <c r="E773" s="1" t="s">
        <v>38</v>
      </c>
      <c r="F773" s="1" t="s">
        <v>52</v>
      </c>
      <c r="G773" s="2">
        <v>45613</v>
      </c>
      <c r="H773" s="2">
        <v>45631</v>
      </c>
      <c r="I773" s="1">
        <v>23939.37</v>
      </c>
      <c r="J773" s="1">
        <v>0.46820000000000001</v>
      </c>
      <c r="K773" s="1">
        <v>11208.41</v>
      </c>
      <c r="L773" s="1">
        <v>521333</v>
      </c>
      <c r="M773" s="1">
        <v>6950</v>
      </c>
      <c r="N773" s="1">
        <v>88410.28</v>
      </c>
      <c r="O773" s="1">
        <v>2024</v>
      </c>
      <c r="P773" s="1" t="s">
        <v>65</v>
      </c>
      <c r="Q773" s="1" t="s">
        <v>25</v>
      </c>
      <c r="R773" s="4" t="s">
        <v>26</v>
      </c>
      <c r="S773" s="25">
        <f>Table1[[#This Row],[Clicks]]/Table1[[#This Row],[Impressions]]</f>
        <v>1.333121056982773E-2</v>
      </c>
      <c r="T773" s="22">
        <f>Table1[[#This Row],[Sales]]/Table1[[#This Row],[USD_Spend]]</f>
        <v>7.8878520682237712</v>
      </c>
      <c r="U773" s="1" t="str">
        <f>Outlier_Check!C783</f>
        <v>Normal</v>
      </c>
    </row>
    <row r="774" spans="1:21" x14ac:dyDescent="0.35">
      <c r="A774" s="3" t="s">
        <v>110</v>
      </c>
      <c r="B774" s="1" t="s">
        <v>28</v>
      </c>
      <c r="C774" s="1" t="s">
        <v>20</v>
      </c>
      <c r="D774" s="1" t="s">
        <v>63</v>
      </c>
      <c r="E774" s="1" t="s">
        <v>22</v>
      </c>
      <c r="F774" s="1" t="s">
        <v>23</v>
      </c>
      <c r="G774" s="2">
        <v>45615</v>
      </c>
      <c r="H774" s="2">
        <v>45638</v>
      </c>
      <c r="I774" s="1">
        <v>30943.4</v>
      </c>
      <c r="J774" s="1">
        <v>0.83289999999999997</v>
      </c>
      <c r="K774" s="1">
        <v>25772.76</v>
      </c>
      <c r="L774" s="1">
        <v>633870</v>
      </c>
      <c r="M774" s="1">
        <v>37605</v>
      </c>
      <c r="N774" s="1">
        <v>197890.36</v>
      </c>
      <c r="O774" s="1">
        <v>2024</v>
      </c>
      <c r="P774" s="1" t="s">
        <v>65</v>
      </c>
      <c r="Q774" s="1" t="s">
        <v>25</v>
      </c>
      <c r="R774" s="4" t="s">
        <v>41</v>
      </c>
      <c r="S774" s="25">
        <f>Table1[[#This Row],[Clicks]]/Table1[[#This Row],[Impressions]]</f>
        <v>5.932604477258744E-2</v>
      </c>
      <c r="T774" s="22">
        <f>Table1[[#This Row],[Sales]]/Table1[[#This Row],[USD_Spend]]</f>
        <v>7.6782758230007184</v>
      </c>
      <c r="U774" s="1" t="str">
        <f>Outlier_Check!C784</f>
        <v>Normal</v>
      </c>
    </row>
    <row r="775" spans="1:21" x14ac:dyDescent="0.35">
      <c r="A775" s="3" t="s">
        <v>27</v>
      </c>
      <c r="B775" s="1" t="s">
        <v>19</v>
      </c>
      <c r="C775" s="1" t="s">
        <v>36</v>
      </c>
      <c r="D775" s="1" t="s">
        <v>43</v>
      </c>
      <c r="E775" s="1" t="s">
        <v>22</v>
      </c>
      <c r="F775" s="1" t="s">
        <v>49</v>
      </c>
      <c r="G775" s="2">
        <v>45615</v>
      </c>
      <c r="H775" s="2">
        <v>45631</v>
      </c>
      <c r="I775" s="1">
        <v>21244.99</v>
      </c>
      <c r="J775" s="1">
        <v>1.0753999999999999</v>
      </c>
      <c r="K775" s="1">
        <v>22846.86</v>
      </c>
      <c r="L775" s="1">
        <v>747463</v>
      </c>
      <c r="M775" s="1">
        <v>32145</v>
      </c>
      <c r="N775" s="1">
        <v>191803.98</v>
      </c>
      <c r="O775" s="1">
        <v>2024</v>
      </c>
      <c r="P775" s="1" t="s">
        <v>65</v>
      </c>
      <c r="Q775" s="1" t="s">
        <v>25</v>
      </c>
      <c r="R775" s="4" t="s">
        <v>26</v>
      </c>
      <c r="S775" s="25">
        <f>Table1[[#This Row],[Clicks]]/Table1[[#This Row],[Impressions]]</f>
        <v>4.3005473180612284E-2</v>
      </c>
      <c r="T775" s="22">
        <f>Table1[[#This Row],[Sales]]/Table1[[#This Row],[USD_Spend]]</f>
        <v>8.395200916012092</v>
      </c>
      <c r="U775" s="1" t="str">
        <f>Outlier_Check!C785</f>
        <v>Normal</v>
      </c>
    </row>
    <row r="776" spans="1:21" x14ac:dyDescent="0.35">
      <c r="A776" s="3" t="s">
        <v>68</v>
      </c>
      <c r="B776" s="1" t="s">
        <v>28</v>
      </c>
      <c r="C776" s="1" t="s">
        <v>36</v>
      </c>
      <c r="D776" s="1" t="s">
        <v>21</v>
      </c>
      <c r="E776" s="1" t="s">
        <v>30</v>
      </c>
      <c r="F776" s="1" t="s">
        <v>49</v>
      </c>
      <c r="G776" s="2">
        <v>45616</v>
      </c>
      <c r="H776" s="2">
        <v>45652</v>
      </c>
      <c r="I776" s="1">
        <v>7819.78</v>
      </c>
      <c r="J776" s="1">
        <v>0.37040000000000001</v>
      </c>
      <c r="K776" s="1">
        <v>2896.45</v>
      </c>
      <c r="L776" s="1">
        <v>274955</v>
      </c>
      <c r="M776" s="1">
        <v>43266</v>
      </c>
      <c r="N776" s="1">
        <v>42765.09</v>
      </c>
      <c r="O776" s="1">
        <v>2024</v>
      </c>
      <c r="P776" s="1" t="s">
        <v>65</v>
      </c>
      <c r="Q776" s="1" t="s">
        <v>25</v>
      </c>
      <c r="R776" s="4" t="s">
        <v>54</v>
      </c>
      <c r="S776" s="25">
        <f>Table1[[#This Row],[Clicks]]/Table1[[#This Row],[Impressions]]</f>
        <v>0.15735665836227747</v>
      </c>
      <c r="T776" s="22">
        <f>Table1[[#This Row],[Sales]]/Table1[[#This Row],[USD_Spend]]</f>
        <v>14.764656734968668</v>
      </c>
      <c r="U776" s="1" t="str">
        <f>Outlier_Check!C786</f>
        <v>Normal</v>
      </c>
    </row>
    <row r="777" spans="1:21" x14ac:dyDescent="0.35">
      <c r="A777" s="3" t="s">
        <v>97</v>
      </c>
      <c r="B777" s="1" t="s">
        <v>48</v>
      </c>
      <c r="C777" s="1" t="s">
        <v>29</v>
      </c>
      <c r="D777" s="1" t="s">
        <v>51</v>
      </c>
      <c r="E777" s="1" t="s">
        <v>22</v>
      </c>
      <c r="F777" s="1" t="s">
        <v>44</v>
      </c>
      <c r="G777" s="2">
        <v>45616</v>
      </c>
      <c r="H777" s="2">
        <v>45633</v>
      </c>
      <c r="I777" s="1">
        <v>13999.02</v>
      </c>
      <c r="J777" s="1">
        <v>0.19020000000000001</v>
      </c>
      <c r="K777" s="1">
        <v>2662.61</v>
      </c>
      <c r="L777" s="1">
        <v>863403</v>
      </c>
      <c r="M777" s="1">
        <v>12362</v>
      </c>
      <c r="N777" s="1">
        <v>184722.37</v>
      </c>
      <c r="O777" s="1">
        <v>2024</v>
      </c>
      <c r="P777" s="1" t="s">
        <v>65</v>
      </c>
      <c r="Q777" s="1" t="s">
        <v>25</v>
      </c>
      <c r="R777" s="4" t="s">
        <v>61</v>
      </c>
      <c r="S777" s="25">
        <f>Table1[[#This Row],[Clicks]]/Table1[[#This Row],[Impressions]]</f>
        <v>1.4317763547265877E-2</v>
      </c>
      <c r="T777" s="22">
        <f>Table1[[#This Row],[Sales]]/Table1[[#This Row],[USD_Spend]]</f>
        <v>69.376427640548172</v>
      </c>
      <c r="U777" s="1" t="str">
        <f>Outlier_Check!C787</f>
        <v>Normal</v>
      </c>
    </row>
    <row r="778" spans="1:21" x14ac:dyDescent="0.35">
      <c r="A778" s="3" t="s">
        <v>101</v>
      </c>
      <c r="B778" s="1" t="s">
        <v>19</v>
      </c>
      <c r="C778" s="1" t="s">
        <v>29</v>
      </c>
      <c r="D778" s="1" t="s">
        <v>21</v>
      </c>
      <c r="E778" s="1" t="s">
        <v>30</v>
      </c>
      <c r="F778" s="1" t="s">
        <v>49</v>
      </c>
      <c r="G778" s="2">
        <v>45617</v>
      </c>
      <c r="H778" s="2">
        <v>45675</v>
      </c>
      <c r="I778" s="1">
        <v>43165.33</v>
      </c>
      <c r="J778" s="1">
        <v>0.7087</v>
      </c>
      <c r="K778" s="1">
        <v>30591.27</v>
      </c>
      <c r="L778" s="1">
        <v>31753</v>
      </c>
      <c r="M778" s="1">
        <v>44158</v>
      </c>
      <c r="N778" s="1">
        <v>206248.21</v>
      </c>
      <c r="O778" s="1">
        <v>2024</v>
      </c>
      <c r="P778" s="1" t="s">
        <v>65</v>
      </c>
      <c r="Q778" s="1" t="s">
        <v>25</v>
      </c>
      <c r="R778" s="4" t="s">
        <v>41</v>
      </c>
      <c r="S778" s="25">
        <f>Table1[[#This Row],[Clicks]]/Table1[[#This Row],[Impressions]]</f>
        <v>1.3906717475514125</v>
      </c>
      <c r="T778" s="22">
        <f>Table1[[#This Row],[Sales]]/Table1[[#This Row],[USD_Spend]]</f>
        <v>6.7420610520583155</v>
      </c>
      <c r="U778" s="1" t="str">
        <f>Outlier_Check!C788</f>
        <v>Normal</v>
      </c>
    </row>
    <row r="779" spans="1:21" x14ac:dyDescent="0.35">
      <c r="A779" s="3" t="s">
        <v>107</v>
      </c>
      <c r="B779" s="1" t="s">
        <v>48</v>
      </c>
      <c r="C779" s="1" t="s">
        <v>36</v>
      </c>
      <c r="D779" s="1" t="s">
        <v>51</v>
      </c>
      <c r="E779" s="1" t="s">
        <v>38</v>
      </c>
      <c r="F779" s="1" t="s">
        <v>31</v>
      </c>
      <c r="G779" s="2">
        <v>45618</v>
      </c>
      <c r="H779" s="2">
        <v>45637</v>
      </c>
      <c r="I779" s="1">
        <v>24102.37</v>
      </c>
      <c r="J779" s="1">
        <v>0.74729999999999996</v>
      </c>
      <c r="K779" s="1">
        <v>18011.7</v>
      </c>
      <c r="L779" s="1">
        <v>998984</v>
      </c>
      <c r="M779" s="1">
        <v>36892</v>
      </c>
      <c r="N779" s="1">
        <v>85361.54</v>
      </c>
      <c r="O779" s="1">
        <v>2024</v>
      </c>
      <c r="P779" s="1" t="s">
        <v>65</v>
      </c>
      <c r="Q779" s="1" t="s">
        <v>25</v>
      </c>
      <c r="R779" s="4" t="s">
        <v>54</v>
      </c>
      <c r="S779" s="25">
        <f>Table1[[#This Row],[Clicks]]/Table1[[#This Row],[Impressions]]</f>
        <v>3.6929520392719004E-2</v>
      </c>
      <c r="T779" s="22">
        <f>Table1[[#This Row],[Sales]]/Table1[[#This Row],[USD_Spend]]</f>
        <v>4.7392272800457471</v>
      </c>
      <c r="U779" s="1" t="str">
        <f>Outlier_Check!C789</f>
        <v>Normal</v>
      </c>
    </row>
    <row r="780" spans="1:21" x14ac:dyDescent="0.35">
      <c r="A780" s="3" t="s">
        <v>70</v>
      </c>
      <c r="B780" s="1" t="s">
        <v>48</v>
      </c>
      <c r="C780" s="1" t="s">
        <v>58</v>
      </c>
      <c r="D780" s="1" t="s">
        <v>51</v>
      </c>
      <c r="E780" s="1" t="s">
        <v>22</v>
      </c>
      <c r="F780" s="1" t="s">
        <v>49</v>
      </c>
      <c r="G780" s="2">
        <v>45621</v>
      </c>
      <c r="H780" s="2">
        <v>45681</v>
      </c>
      <c r="I780" s="1">
        <v>43838.51</v>
      </c>
      <c r="J780" s="1">
        <v>0.18729999999999999</v>
      </c>
      <c r="K780" s="1">
        <v>8210.9500000000007</v>
      </c>
      <c r="L780" s="1">
        <v>617488</v>
      </c>
      <c r="M780" s="1">
        <v>15368</v>
      </c>
      <c r="N780" s="1">
        <v>231579.87</v>
      </c>
      <c r="O780" s="1">
        <v>2024</v>
      </c>
      <c r="P780" s="1" t="s">
        <v>65</v>
      </c>
      <c r="Q780" s="1" t="s">
        <v>25</v>
      </c>
      <c r="R780" s="4" t="s">
        <v>26</v>
      </c>
      <c r="S780" s="25">
        <f>Table1[[#This Row],[Clicks]]/Table1[[#This Row],[Impressions]]</f>
        <v>2.4887933044852692E-2</v>
      </c>
      <c r="T780" s="22">
        <f>Table1[[#This Row],[Sales]]/Table1[[#This Row],[USD_Spend]]</f>
        <v>28.20378518928991</v>
      </c>
      <c r="U780" s="1" t="str">
        <f>Outlier_Check!C790</f>
        <v>Normal</v>
      </c>
    </row>
    <row r="781" spans="1:21" x14ac:dyDescent="0.35">
      <c r="A781" s="3" t="s">
        <v>47</v>
      </c>
      <c r="B781" s="1" t="s">
        <v>28</v>
      </c>
      <c r="C781" s="1" t="s">
        <v>36</v>
      </c>
      <c r="D781" s="1" t="s">
        <v>63</v>
      </c>
      <c r="E781" s="1" t="s">
        <v>22</v>
      </c>
      <c r="F781" s="1" t="s">
        <v>44</v>
      </c>
      <c r="G781" s="2">
        <v>45621</v>
      </c>
      <c r="H781" s="2">
        <v>45675</v>
      </c>
      <c r="I781" s="1">
        <v>34992.32</v>
      </c>
      <c r="J781" s="1">
        <v>0.40510000000000002</v>
      </c>
      <c r="K781" s="1">
        <v>14175.39</v>
      </c>
      <c r="L781" s="1">
        <v>676216</v>
      </c>
      <c r="M781" s="1">
        <v>45164</v>
      </c>
      <c r="N781" s="1">
        <v>82901.91</v>
      </c>
      <c r="O781" s="1">
        <v>2024</v>
      </c>
      <c r="P781" s="1" t="s">
        <v>65</v>
      </c>
      <c r="Q781" s="1" t="s">
        <v>25</v>
      </c>
      <c r="R781" s="4" t="s">
        <v>54</v>
      </c>
      <c r="S781" s="25">
        <f>Table1[[#This Row],[Clicks]]/Table1[[#This Row],[Impressions]]</f>
        <v>6.6789309924639467E-2</v>
      </c>
      <c r="T781" s="22">
        <f>Table1[[#This Row],[Sales]]/Table1[[#This Row],[USD_Spend]]</f>
        <v>5.8482983536960891</v>
      </c>
      <c r="U781" s="1" t="str">
        <f>Outlier_Check!C791</f>
        <v>Normal</v>
      </c>
    </row>
    <row r="782" spans="1:21" x14ac:dyDescent="0.35">
      <c r="A782" s="3" t="s">
        <v>104</v>
      </c>
      <c r="B782" s="1" t="s">
        <v>35</v>
      </c>
      <c r="C782" s="1" t="s">
        <v>58</v>
      </c>
      <c r="D782" s="1" t="s">
        <v>63</v>
      </c>
      <c r="E782" s="1" t="s">
        <v>30</v>
      </c>
      <c r="F782" s="1" t="s">
        <v>31</v>
      </c>
      <c r="G782" s="2">
        <v>45622</v>
      </c>
      <c r="H782" s="2">
        <v>45655</v>
      </c>
      <c r="I782" s="1">
        <v>47492.35</v>
      </c>
      <c r="J782" s="1">
        <v>0.45269999999999999</v>
      </c>
      <c r="K782" s="1">
        <v>21499.79</v>
      </c>
      <c r="L782" s="1">
        <v>810152</v>
      </c>
      <c r="M782" s="1">
        <v>5138</v>
      </c>
      <c r="N782" s="1">
        <v>145610.84</v>
      </c>
      <c r="O782" s="1">
        <v>2024</v>
      </c>
      <c r="P782" s="1" t="s">
        <v>65</v>
      </c>
      <c r="Q782" s="1" t="s">
        <v>25</v>
      </c>
      <c r="R782" s="4" t="s">
        <v>61</v>
      </c>
      <c r="S782" s="25">
        <f>Table1[[#This Row],[Clicks]]/Table1[[#This Row],[Impressions]]</f>
        <v>6.3420197691297434E-3</v>
      </c>
      <c r="T782" s="22">
        <f>Table1[[#This Row],[Sales]]/Table1[[#This Row],[USD_Spend]]</f>
        <v>6.7726633608979432</v>
      </c>
      <c r="U782" s="1" t="str">
        <f>Outlier_Check!C792</f>
        <v>Normal</v>
      </c>
    </row>
    <row r="783" spans="1:21" x14ac:dyDescent="0.35">
      <c r="A783" s="3" t="s">
        <v>109</v>
      </c>
      <c r="B783" s="1" t="s">
        <v>48</v>
      </c>
      <c r="C783" s="1" t="s">
        <v>58</v>
      </c>
      <c r="D783" s="1" t="s">
        <v>59</v>
      </c>
      <c r="E783" s="1" t="s">
        <v>38</v>
      </c>
      <c r="F783" s="1" t="s">
        <v>23</v>
      </c>
      <c r="G783" s="2">
        <v>45623</v>
      </c>
      <c r="H783" s="2">
        <v>45657</v>
      </c>
      <c r="I783" s="1">
        <v>28153.64</v>
      </c>
      <c r="J783" s="1">
        <v>0.99709999999999999</v>
      </c>
      <c r="K783" s="1">
        <v>28071.99</v>
      </c>
      <c r="L783" s="1">
        <v>973798</v>
      </c>
      <c r="M783" s="1">
        <v>37590</v>
      </c>
      <c r="N783" s="1">
        <v>127958.75</v>
      </c>
      <c r="O783" s="1">
        <v>2024</v>
      </c>
      <c r="P783" s="1" t="s">
        <v>65</v>
      </c>
      <c r="Q783" s="1" t="s">
        <v>25</v>
      </c>
      <c r="R783" s="4" t="s">
        <v>54</v>
      </c>
      <c r="S783" s="25">
        <f>Table1[[#This Row],[Clicks]]/Table1[[#This Row],[Impressions]]</f>
        <v>3.86014347944851E-2</v>
      </c>
      <c r="T783" s="22">
        <f>Table1[[#This Row],[Sales]]/Table1[[#This Row],[USD_Spend]]</f>
        <v>4.5582358072940323</v>
      </c>
      <c r="U783" s="1" t="str">
        <f>Outlier_Check!C793</f>
        <v>Normal</v>
      </c>
    </row>
    <row r="784" spans="1:21" x14ac:dyDescent="0.35">
      <c r="A784" s="3" t="s">
        <v>64</v>
      </c>
      <c r="B784" s="1" t="s">
        <v>28</v>
      </c>
      <c r="C784" s="1" t="s">
        <v>36</v>
      </c>
      <c r="D784" s="1" t="s">
        <v>51</v>
      </c>
      <c r="E784" s="1" t="s">
        <v>30</v>
      </c>
      <c r="F784" s="1" t="s">
        <v>31</v>
      </c>
      <c r="G784" s="2">
        <v>45625</v>
      </c>
      <c r="H784" s="2">
        <v>45664</v>
      </c>
      <c r="I784" s="1">
        <v>37793.01</v>
      </c>
      <c r="J784" s="1">
        <v>0.92459999999999998</v>
      </c>
      <c r="K784" s="1">
        <v>34943.42</v>
      </c>
      <c r="L784" s="1">
        <v>366699</v>
      </c>
      <c r="M784" s="1">
        <v>7410</v>
      </c>
      <c r="N784" s="1">
        <v>76907.53</v>
      </c>
      <c r="O784" s="1">
        <v>2024</v>
      </c>
      <c r="P784" s="1" t="s">
        <v>65</v>
      </c>
      <c r="Q784" s="1" t="s">
        <v>25</v>
      </c>
      <c r="R784" s="4" t="s">
        <v>61</v>
      </c>
      <c r="S784" s="25">
        <f>Table1[[#This Row],[Clicks]]/Table1[[#This Row],[Impressions]]</f>
        <v>2.0207308991843448E-2</v>
      </c>
      <c r="T784" s="22">
        <f>Table1[[#This Row],[Sales]]/Table1[[#This Row],[USD_Spend]]</f>
        <v>2.2009159378217702</v>
      </c>
      <c r="U784" s="1" t="str">
        <f>Outlier_Check!C794</f>
        <v>Normal</v>
      </c>
    </row>
    <row r="785" spans="1:21" x14ac:dyDescent="0.35">
      <c r="A785" s="3" t="s">
        <v>109</v>
      </c>
      <c r="B785" s="1" t="s">
        <v>35</v>
      </c>
      <c r="C785" s="1" t="s">
        <v>69</v>
      </c>
      <c r="D785" s="1" t="s">
        <v>37</v>
      </c>
      <c r="E785" s="1" t="s">
        <v>30</v>
      </c>
      <c r="F785" s="1" t="s">
        <v>44</v>
      </c>
      <c r="G785" s="2">
        <v>45626</v>
      </c>
      <c r="H785" s="2">
        <v>45646</v>
      </c>
      <c r="I785" s="1">
        <v>48202.45</v>
      </c>
      <c r="J785" s="1">
        <v>1.0565</v>
      </c>
      <c r="K785" s="1">
        <v>50925.89</v>
      </c>
      <c r="L785" s="1">
        <v>992486</v>
      </c>
      <c r="M785" s="1">
        <v>9596</v>
      </c>
      <c r="N785" s="1">
        <v>93934.51</v>
      </c>
      <c r="O785" s="1">
        <v>2024</v>
      </c>
      <c r="P785" s="1" t="s">
        <v>65</v>
      </c>
      <c r="Q785" s="1" t="s">
        <v>25</v>
      </c>
      <c r="R785" s="4" t="s">
        <v>26</v>
      </c>
      <c r="S785" s="25">
        <f>Table1[[#This Row],[Clicks]]/Table1[[#This Row],[Impressions]]</f>
        <v>9.6686502378874866E-3</v>
      </c>
      <c r="T785" s="22">
        <f>Table1[[#This Row],[Sales]]/Table1[[#This Row],[USD_Spend]]</f>
        <v>1.8445334975981764</v>
      </c>
      <c r="U785" s="1" t="str">
        <f>Outlier_Check!C795</f>
        <v>Normal</v>
      </c>
    </row>
    <row r="786" spans="1:21" x14ac:dyDescent="0.35">
      <c r="A786" s="3" t="s">
        <v>92</v>
      </c>
      <c r="B786" s="1" t="s">
        <v>35</v>
      </c>
      <c r="C786" s="1" t="s">
        <v>69</v>
      </c>
      <c r="D786" s="1" t="s">
        <v>37</v>
      </c>
      <c r="E786" s="1" t="s">
        <v>30</v>
      </c>
      <c r="F786" s="1" t="s">
        <v>31</v>
      </c>
      <c r="G786" s="2">
        <v>45627</v>
      </c>
      <c r="H786" s="2">
        <v>45664</v>
      </c>
      <c r="I786" s="1">
        <v>43167.94</v>
      </c>
      <c r="J786" s="1">
        <v>0.70009999999999994</v>
      </c>
      <c r="K786" s="1">
        <v>30221.87</v>
      </c>
      <c r="L786" s="1">
        <v>53993</v>
      </c>
      <c r="M786" s="1">
        <v>36368</v>
      </c>
      <c r="N786" s="1">
        <v>180752.64000000001</v>
      </c>
      <c r="O786" s="1">
        <v>2024</v>
      </c>
      <c r="P786" s="1" t="s">
        <v>73</v>
      </c>
      <c r="Q786" s="1" t="s">
        <v>25</v>
      </c>
      <c r="R786" s="4" t="s">
        <v>26</v>
      </c>
      <c r="S786" s="25">
        <f>Table1[[#This Row],[Clicks]]/Table1[[#This Row],[Impressions]]</f>
        <v>0.67356879595503116</v>
      </c>
      <c r="T786" s="22">
        <f>Table1[[#This Row],[Sales]]/Table1[[#This Row],[USD_Spend]]</f>
        <v>5.9808555857066432</v>
      </c>
      <c r="U786" s="1" t="str">
        <f>Outlier_Check!C796</f>
        <v>Normal</v>
      </c>
    </row>
    <row r="787" spans="1:21" x14ac:dyDescent="0.35">
      <c r="A787" s="3" t="s">
        <v>88</v>
      </c>
      <c r="B787" s="1" t="s">
        <v>35</v>
      </c>
      <c r="C787" s="1" t="s">
        <v>20</v>
      </c>
      <c r="D787" s="1" t="s">
        <v>51</v>
      </c>
      <c r="E787" s="1" t="s">
        <v>22</v>
      </c>
      <c r="F787" s="1" t="s">
        <v>31</v>
      </c>
      <c r="G787" s="2">
        <v>45628</v>
      </c>
      <c r="H787" s="2">
        <v>45669</v>
      </c>
      <c r="I787" s="1">
        <v>5390.14</v>
      </c>
      <c r="J787" s="1">
        <v>0.80940000000000001</v>
      </c>
      <c r="K787" s="1">
        <v>4362.78</v>
      </c>
      <c r="L787" s="1">
        <v>454114</v>
      </c>
      <c r="M787" s="1">
        <v>24038</v>
      </c>
      <c r="N787" s="1">
        <v>90335.42</v>
      </c>
      <c r="O787" s="1">
        <v>2024</v>
      </c>
      <c r="P787" s="1" t="s">
        <v>73</v>
      </c>
      <c r="Q787" s="1" t="s">
        <v>25</v>
      </c>
      <c r="R787" s="4" t="s">
        <v>61</v>
      </c>
      <c r="S787" s="25">
        <f>Table1[[#This Row],[Clicks]]/Table1[[#This Row],[Impressions]]</f>
        <v>5.293384480548937E-2</v>
      </c>
      <c r="T787" s="22">
        <f>Table1[[#This Row],[Sales]]/Table1[[#This Row],[USD_Spend]]</f>
        <v>20.705930622217945</v>
      </c>
      <c r="U787" s="1" t="str">
        <f>Outlier_Check!C797</f>
        <v>Normal</v>
      </c>
    </row>
    <row r="788" spans="1:21" x14ac:dyDescent="0.35">
      <c r="A788" s="3" t="s">
        <v>107</v>
      </c>
      <c r="B788" s="1" t="s">
        <v>19</v>
      </c>
      <c r="C788" s="1" t="s">
        <v>36</v>
      </c>
      <c r="D788" s="1" t="s">
        <v>43</v>
      </c>
      <c r="E788" s="1" t="s">
        <v>30</v>
      </c>
      <c r="F788" s="1" t="s">
        <v>52</v>
      </c>
      <c r="G788" s="2">
        <v>45628</v>
      </c>
      <c r="H788" s="2">
        <v>45661</v>
      </c>
      <c r="I788" s="1">
        <v>18224.3</v>
      </c>
      <c r="J788" s="1">
        <v>0.873</v>
      </c>
      <c r="K788" s="1">
        <v>15909.81</v>
      </c>
      <c r="L788" s="1">
        <v>274132</v>
      </c>
      <c r="M788" s="1">
        <v>12753</v>
      </c>
      <c r="N788" s="1">
        <v>13340.23</v>
      </c>
      <c r="O788" s="1">
        <v>2024</v>
      </c>
      <c r="P788" s="1" t="s">
        <v>73</v>
      </c>
      <c r="Q788" s="1" t="s">
        <v>25</v>
      </c>
      <c r="R788" s="4" t="s">
        <v>26</v>
      </c>
      <c r="S788" s="25">
        <f>Table1[[#This Row],[Clicks]]/Table1[[#This Row],[Impressions]]</f>
        <v>4.6521383858870911E-2</v>
      </c>
      <c r="T788" s="22">
        <f>Table1[[#This Row],[Sales]]/Table1[[#This Row],[USD_Spend]]</f>
        <v>0.83849084307103605</v>
      </c>
      <c r="U788" s="1" t="str">
        <f>Outlier_Check!C798</f>
        <v>Normal</v>
      </c>
    </row>
    <row r="789" spans="1:21" x14ac:dyDescent="0.35">
      <c r="A789" s="3" t="s">
        <v>64</v>
      </c>
      <c r="B789" s="1" t="s">
        <v>28</v>
      </c>
      <c r="C789" s="1" t="s">
        <v>69</v>
      </c>
      <c r="D789" s="1" t="s">
        <v>21</v>
      </c>
      <c r="E789" s="1" t="s">
        <v>38</v>
      </c>
      <c r="F789" s="1" t="s">
        <v>49</v>
      </c>
      <c r="G789" s="2">
        <v>45628</v>
      </c>
      <c r="H789" s="2">
        <v>45657</v>
      </c>
      <c r="I789" s="1">
        <v>9305.59</v>
      </c>
      <c r="J789" s="1">
        <v>0.33</v>
      </c>
      <c r="K789" s="1">
        <v>3070.84</v>
      </c>
      <c r="L789" s="1">
        <v>291444</v>
      </c>
      <c r="M789" s="1">
        <v>32417</v>
      </c>
      <c r="N789" s="1">
        <v>40754.03</v>
      </c>
      <c r="O789" s="1">
        <v>2024</v>
      </c>
      <c r="P789" s="1" t="s">
        <v>73</v>
      </c>
      <c r="Q789" s="1" t="s">
        <v>25</v>
      </c>
      <c r="R789" s="4" t="s">
        <v>26</v>
      </c>
      <c r="S789" s="25">
        <f>Table1[[#This Row],[Clicks]]/Table1[[#This Row],[Impressions]]</f>
        <v>0.11122891533193341</v>
      </c>
      <c r="T789" s="22">
        <f>Table1[[#This Row],[Sales]]/Table1[[#This Row],[USD_Spend]]</f>
        <v>13.27129710437535</v>
      </c>
      <c r="U789" s="1" t="str">
        <f>Outlier_Check!C799</f>
        <v>Normal</v>
      </c>
    </row>
    <row r="790" spans="1:21" x14ac:dyDescent="0.35">
      <c r="A790" s="3" t="s">
        <v>94</v>
      </c>
      <c r="B790" s="1" t="s">
        <v>19</v>
      </c>
      <c r="C790" s="1" t="s">
        <v>29</v>
      </c>
      <c r="D790" s="1" t="s">
        <v>37</v>
      </c>
      <c r="E790" s="1" t="s">
        <v>38</v>
      </c>
      <c r="F790" s="1" t="s">
        <v>52</v>
      </c>
      <c r="G790" s="2">
        <v>45629</v>
      </c>
      <c r="H790" s="2">
        <v>45653</v>
      </c>
      <c r="I790" s="1">
        <v>47623.24</v>
      </c>
      <c r="J790" s="1">
        <v>0.69689999999999996</v>
      </c>
      <c r="K790" s="1">
        <v>33188.639999999999</v>
      </c>
      <c r="L790" s="1">
        <v>117022</v>
      </c>
      <c r="M790" s="1">
        <v>9752</v>
      </c>
      <c r="N790" s="1">
        <v>117933.75999999999</v>
      </c>
      <c r="O790" s="1">
        <v>2024</v>
      </c>
      <c r="P790" s="1" t="s">
        <v>73</v>
      </c>
      <c r="Q790" s="1" t="s">
        <v>25</v>
      </c>
      <c r="R790" s="4" t="s">
        <v>41</v>
      </c>
      <c r="S790" s="25">
        <f>Table1[[#This Row],[Clicks]]/Table1[[#This Row],[Impressions]]</f>
        <v>8.3334757566953216E-2</v>
      </c>
      <c r="T790" s="22">
        <f>Table1[[#This Row],[Sales]]/Table1[[#This Row],[USD_Spend]]</f>
        <v>3.5534375617681229</v>
      </c>
      <c r="U790" s="1" t="str">
        <f>Outlier_Check!C800</f>
        <v>Normal</v>
      </c>
    </row>
    <row r="791" spans="1:21" x14ac:dyDescent="0.35">
      <c r="A791" s="3" t="s">
        <v>85</v>
      </c>
      <c r="B791" s="1" t="s">
        <v>19</v>
      </c>
      <c r="C791" s="1" t="s">
        <v>69</v>
      </c>
      <c r="D791" s="1" t="s">
        <v>51</v>
      </c>
      <c r="E791" s="1" t="s">
        <v>22</v>
      </c>
      <c r="F791" s="1" t="s">
        <v>44</v>
      </c>
      <c r="G791" s="2">
        <v>45630</v>
      </c>
      <c r="H791" s="2">
        <v>45667</v>
      </c>
      <c r="I791" s="1">
        <v>35947.910000000003</v>
      </c>
      <c r="J791" s="1">
        <v>0.79249999999999998</v>
      </c>
      <c r="K791" s="1">
        <v>28488.720000000001</v>
      </c>
      <c r="L791" s="1">
        <v>159600</v>
      </c>
      <c r="M791" s="1">
        <v>24925</v>
      </c>
      <c r="N791" s="1">
        <v>144052.39000000001</v>
      </c>
      <c r="O791" s="1">
        <v>2024</v>
      </c>
      <c r="P791" s="1" t="s">
        <v>73</v>
      </c>
      <c r="Q791" s="1" t="s">
        <v>25</v>
      </c>
      <c r="R791" s="4" t="s">
        <v>54</v>
      </c>
      <c r="S791" s="25">
        <f>Table1[[#This Row],[Clicks]]/Table1[[#This Row],[Impressions]]</f>
        <v>0.15617167919799499</v>
      </c>
      <c r="T791" s="22">
        <f>Table1[[#This Row],[Sales]]/Table1[[#This Row],[USD_Spend]]</f>
        <v>5.0564711226057195</v>
      </c>
      <c r="U791" s="1" t="str">
        <f>Outlier_Check!C801</f>
        <v>Normal</v>
      </c>
    </row>
    <row r="792" spans="1:21" x14ac:dyDescent="0.35">
      <c r="A792" s="3" t="s">
        <v>110</v>
      </c>
      <c r="B792" s="1" t="s">
        <v>35</v>
      </c>
      <c r="C792" s="1" t="s">
        <v>36</v>
      </c>
      <c r="D792" s="1" t="s">
        <v>59</v>
      </c>
      <c r="E792" s="1" t="s">
        <v>30</v>
      </c>
      <c r="F792" s="1" t="s">
        <v>44</v>
      </c>
      <c r="G792" s="2">
        <v>45630</v>
      </c>
      <c r="H792" s="2">
        <v>45661</v>
      </c>
      <c r="I792" s="1">
        <v>19387.46</v>
      </c>
      <c r="J792" s="1">
        <v>0.38319999999999999</v>
      </c>
      <c r="K792" s="1">
        <v>7429.27</v>
      </c>
      <c r="L792" s="1">
        <v>962424</v>
      </c>
      <c r="M792" s="1">
        <v>29648</v>
      </c>
      <c r="N792" s="1">
        <v>203094.52</v>
      </c>
      <c r="O792" s="1">
        <v>2024</v>
      </c>
      <c r="P792" s="1" t="s">
        <v>73</v>
      </c>
      <c r="Q792" s="1" t="s">
        <v>25</v>
      </c>
      <c r="R792" s="4" t="s">
        <v>26</v>
      </c>
      <c r="S792" s="25">
        <f>Table1[[#This Row],[Clicks]]/Table1[[#This Row],[Impressions]]</f>
        <v>3.080554932129706E-2</v>
      </c>
      <c r="T792" s="22">
        <f>Table1[[#This Row],[Sales]]/Table1[[#This Row],[USD_Spend]]</f>
        <v>27.337076186489384</v>
      </c>
      <c r="U792" s="1" t="str">
        <f>Outlier_Check!C802</f>
        <v>Normal</v>
      </c>
    </row>
    <row r="793" spans="1:21" x14ac:dyDescent="0.35">
      <c r="A793" s="3" t="s">
        <v>79</v>
      </c>
      <c r="B793" s="1" t="s">
        <v>19</v>
      </c>
      <c r="C793" s="1" t="s">
        <v>69</v>
      </c>
      <c r="D793" s="1" t="s">
        <v>63</v>
      </c>
      <c r="E793" s="1" t="s">
        <v>30</v>
      </c>
      <c r="F793" s="1" t="s">
        <v>44</v>
      </c>
      <c r="G793" s="2">
        <v>45631</v>
      </c>
      <c r="H793" s="2">
        <v>45691</v>
      </c>
      <c r="I793" s="1">
        <v>3572.06</v>
      </c>
      <c r="J793" s="1">
        <v>1.0611999999999999</v>
      </c>
      <c r="K793" s="1">
        <v>3790.67</v>
      </c>
      <c r="L793" s="1">
        <v>55168</v>
      </c>
      <c r="M793" s="1">
        <v>7361</v>
      </c>
      <c r="N793" s="1">
        <v>16760.830000000002</v>
      </c>
      <c r="O793" s="1">
        <v>2024</v>
      </c>
      <c r="P793" s="1" t="s">
        <v>73</v>
      </c>
      <c r="Q793" s="1" t="s">
        <v>25</v>
      </c>
      <c r="R793" s="4" t="s">
        <v>54</v>
      </c>
      <c r="S793" s="25">
        <f>Table1[[#This Row],[Clicks]]/Table1[[#This Row],[Impressions]]</f>
        <v>0.13342879930394433</v>
      </c>
      <c r="T793" s="22">
        <f>Table1[[#This Row],[Sales]]/Table1[[#This Row],[USD_Spend]]</f>
        <v>4.4216009307061812</v>
      </c>
      <c r="U793" s="1" t="str">
        <f>Outlier_Check!C803</f>
        <v>Normal</v>
      </c>
    </row>
    <row r="794" spans="1:21" x14ac:dyDescent="0.35">
      <c r="A794" s="3" t="s">
        <v>50</v>
      </c>
      <c r="B794" s="1" t="s">
        <v>28</v>
      </c>
      <c r="C794" s="1" t="s">
        <v>69</v>
      </c>
      <c r="D794" s="1" t="s">
        <v>21</v>
      </c>
      <c r="E794" s="1" t="s">
        <v>30</v>
      </c>
      <c r="F794" s="1" t="s">
        <v>44</v>
      </c>
      <c r="G794" s="2">
        <v>45631</v>
      </c>
      <c r="H794" s="2">
        <v>45656</v>
      </c>
      <c r="I794" s="1">
        <v>43471.97</v>
      </c>
      <c r="J794" s="1">
        <v>1.0662</v>
      </c>
      <c r="K794" s="1">
        <v>46349.81</v>
      </c>
      <c r="L794" s="1">
        <v>458324</v>
      </c>
      <c r="M794" s="1">
        <v>26633</v>
      </c>
      <c r="N794" s="1">
        <v>195172.61</v>
      </c>
      <c r="O794" s="1">
        <v>2024</v>
      </c>
      <c r="P794" s="1" t="s">
        <v>73</v>
      </c>
      <c r="Q794" s="1" t="s">
        <v>25</v>
      </c>
      <c r="R794" s="4" t="s">
        <v>26</v>
      </c>
      <c r="S794" s="25">
        <f>Table1[[#This Row],[Clicks]]/Table1[[#This Row],[Impressions]]</f>
        <v>5.8109546958047147E-2</v>
      </c>
      <c r="T794" s="22">
        <f>Table1[[#This Row],[Sales]]/Table1[[#This Row],[USD_Spend]]</f>
        <v>4.2108610585458708</v>
      </c>
      <c r="U794" s="1" t="str">
        <f>Outlier_Check!C804</f>
        <v>Normal</v>
      </c>
    </row>
    <row r="795" spans="1:21" x14ac:dyDescent="0.35">
      <c r="A795" s="3" t="s">
        <v>42</v>
      </c>
      <c r="B795" s="1" t="s">
        <v>48</v>
      </c>
      <c r="C795" s="1" t="s">
        <v>69</v>
      </c>
      <c r="D795" s="1" t="s">
        <v>59</v>
      </c>
      <c r="E795" s="1" t="s">
        <v>22</v>
      </c>
      <c r="F795" s="1" t="s">
        <v>23</v>
      </c>
      <c r="G795" s="2">
        <v>45633</v>
      </c>
      <c r="H795" s="2">
        <v>45657</v>
      </c>
      <c r="I795" s="1">
        <v>22755.35</v>
      </c>
      <c r="J795" s="1">
        <v>0.72189999999999999</v>
      </c>
      <c r="K795" s="1">
        <v>16427.09</v>
      </c>
      <c r="L795" s="1">
        <v>61028</v>
      </c>
      <c r="M795" s="1">
        <v>24832</v>
      </c>
      <c r="N795" s="1">
        <v>192942.99</v>
      </c>
      <c r="O795" s="1">
        <v>2024</v>
      </c>
      <c r="P795" s="1" t="s">
        <v>73</v>
      </c>
      <c r="Q795" s="1" t="s">
        <v>25</v>
      </c>
      <c r="R795" s="4" t="s">
        <v>26</v>
      </c>
      <c r="S795" s="25">
        <f>Table1[[#This Row],[Clicks]]/Table1[[#This Row],[Impressions]]</f>
        <v>0.40689519564789933</v>
      </c>
      <c r="T795" s="22">
        <f>Table1[[#This Row],[Sales]]/Table1[[#This Row],[USD_Spend]]</f>
        <v>11.745415043078232</v>
      </c>
      <c r="U795" s="1" t="str">
        <f>Outlier_Check!C805</f>
        <v>Normal</v>
      </c>
    </row>
    <row r="796" spans="1:21" x14ac:dyDescent="0.35">
      <c r="A796" s="3" t="s">
        <v>109</v>
      </c>
      <c r="B796" s="1" t="s">
        <v>19</v>
      </c>
      <c r="C796" s="1" t="s">
        <v>29</v>
      </c>
      <c r="D796" s="1" t="s">
        <v>43</v>
      </c>
      <c r="E796" s="1" t="s">
        <v>22</v>
      </c>
      <c r="F796" s="1" t="s">
        <v>44</v>
      </c>
      <c r="G796" s="2">
        <v>45634</v>
      </c>
      <c r="H796" s="2">
        <v>45660</v>
      </c>
      <c r="I796" s="1">
        <v>43351.39</v>
      </c>
      <c r="J796" s="1">
        <v>0.1545</v>
      </c>
      <c r="K796" s="1">
        <v>6697.79</v>
      </c>
      <c r="L796" s="1">
        <v>623015</v>
      </c>
      <c r="M796" s="1">
        <v>44298</v>
      </c>
      <c r="N796" s="1">
        <v>130151.11</v>
      </c>
      <c r="O796" s="1">
        <v>2024</v>
      </c>
      <c r="P796" s="1" t="s">
        <v>73</v>
      </c>
      <c r="Q796" s="1" t="s">
        <v>25</v>
      </c>
      <c r="R796" s="4" t="s">
        <v>54</v>
      </c>
      <c r="S796" s="25">
        <f>Table1[[#This Row],[Clicks]]/Table1[[#This Row],[Impressions]]</f>
        <v>7.1102621927240914E-2</v>
      </c>
      <c r="T796" s="22">
        <f>Table1[[#This Row],[Sales]]/Table1[[#This Row],[USD_Spend]]</f>
        <v>19.431948448667395</v>
      </c>
      <c r="U796" s="1" t="str">
        <f>Outlier_Check!C806</f>
        <v>Normal</v>
      </c>
    </row>
    <row r="797" spans="1:21" x14ac:dyDescent="0.35">
      <c r="A797" s="3" t="s">
        <v>84</v>
      </c>
      <c r="B797" s="1" t="s">
        <v>19</v>
      </c>
      <c r="C797" s="1" t="s">
        <v>36</v>
      </c>
      <c r="D797" s="1" t="s">
        <v>51</v>
      </c>
      <c r="E797" s="1" t="s">
        <v>38</v>
      </c>
      <c r="F797" s="1" t="s">
        <v>52</v>
      </c>
      <c r="G797" s="2">
        <v>45636</v>
      </c>
      <c r="H797" s="2">
        <v>45683</v>
      </c>
      <c r="I797" s="1">
        <v>3302.01</v>
      </c>
      <c r="J797" s="1">
        <v>0.46410000000000001</v>
      </c>
      <c r="K797" s="1">
        <v>1532.46</v>
      </c>
      <c r="L797" s="1">
        <v>446801</v>
      </c>
      <c r="M797" s="1">
        <v>45001</v>
      </c>
      <c r="N797" s="1">
        <v>81600.23</v>
      </c>
      <c r="O797" s="1">
        <v>2024</v>
      </c>
      <c r="P797" s="1" t="s">
        <v>73</v>
      </c>
      <c r="Q797" s="1" t="s">
        <v>25</v>
      </c>
      <c r="R797" s="4" t="s">
        <v>54</v>
      </c>
      <c r="S797" s="25">
        <f>Table1[[#This Row],[Clicks]]/Table1[[#This Row],[Impressions]]</f>
        <v>0.10071821683478775</v>
      </c>
      <c r="T797" s="22">
        <f>Table1[[#This Row],[Sales]]/Table1[[#This Row],[USD_Spend]]</f>
        <v>53.24786943868029</v>
      </c>
      <c r="U797" s="1" t="str">
        <f>Outlier_Check!C807</f>
        <v>Normal</v>
      </c>
    </row>
    <row r="798" spans="1:21" x14ac:dyDescent="0.35">
      <c r="A798" s="3" t="s">
        <v>100</v>
      </c>
      <c r="B798" s="1" t="s">
        <v>35</v>
      </c>
      <c r="C798" s="1" t="s">
        <v>58</v>
      </c>
      <c r="D798" s="1" t="s">
        <v>59</v>
      </c>
      <c r="E798" s="1" t="s">
        <v>38</v>
      </c>
      <c r="F798" s="1" t="s">
        <v>52</v>
      </c>
      <c r="G798" s="2">
        <v>45636</v>
      </c>
      <c r="H798" s="2">
        <v>45655</v>
      </c>
      <c r="I798" s="1">
        <v>23860.3</v>
      </c>
      <c r="J798" s="1">
        <v>0.2636</v>
      </c>
      <c r="K798" s="1">
        <v>6289.58</v>
      </c>
      <c r="L798" s="1">
        <v>514098</v>
      </c>
      <c r="M798" s="1">
        <v>48241</v>
      </c>
      <c r="N798" s="1">
        <v>193245.36</v>
      </c>
      <c r="O798" s="1">
        <v>2024</v>
      </c>
      <c r="P798" s="1" t="s">
        <v>73</v>
      </c>
      <c r="Q798" s="1" t="s">
        <v>25</v>
      </c>
      <c r="R798" s="4" t="s">
        <v>26</v>
      </c>
      <c r="S798" s="25">
        <f>Table1[[#This Row],[Clicks]]/Table1[[#This Row],[Impressions]]</f>
        <v>9.3836194655493699E-2</v>
      </c>
      <c r="T798" s="22">
        <f>Table1[[#This Row],[Sales]]/Table1[[#This Row],[USD_Spend]]</f>
        <v>30.724684319143726</v>
      </c>
      <c r="U798" s="1" t="str">
        <f>Outlier_Check!C808</f>
        <v>Normal</v>
      </c>
    </row>
    <row r="799" spans="1:21" x14ac:dyDescent="0.35">
      <c r="A799" s="3" t="s">
        <v>98</v>
      </c>
      <c r="B799" s="1" t="s">
        <v>19</v>
      </c>
      <c r="C799" s="1" t="s">
        <v>69</v>
      </c>
      <c r="D799" s="1" t="s">
        <v>63</v>
      </c>
      <c r="E799" s="1" t="s">
        <v>38</v>
      </c>
      <c r="F799" s="1" t="s">
        <v>44</v>
      </c>
      <c r="G799" s="2">
        <v>45637</v>
      </c>
      <c r="H799" s="2">
        <v>45664</v>
      </c>
      <c r="I799" s="1">
        <v>16292.52</v>
      </c>
      <c r="J799" s="1">
        <v>0.13220000000000001</v>
      </c>
      <c r="K799" s="1">
        <v>2153.87</v>
      </c>
      <c r="L799" s="1">
        <v>537786</v>
      </c>
      <c r="M799" s="1">
        <v>38679</v>
      </c>
      <c r="N799" s="1">
        <v>79998.2</v>
      </c>
      <c r="O799" s="1">
        <v>2024</v>
      </c>
      <c r="P799" s="1" t="s">
        <v>73</v>
      </c>
      <c r="Q799" s="1" t="s">
        <v>25</v>
      </c>
      <c r="R799" s="4" t="s">
        <v>41</v>
      </c>
      <c r="S799" s="25">
        <f>Table1[[#This Row],[Clicks]]/Table1[[#This Row],[Impressions]]</f>
        <v>7.192266068659281E-2</v>
      </c>
      <c r="T799" s="22">
        <f>Table1[[#This Row],[Sales]]/Table1[[#This Row],[USD_Spend]]</f>
        <v>37.141610217886871</v>
      </c>
      <c r="U799" s="1" t="str">
        <f>Outlier_Check!C809</f>
        <v>Normal</v>
      </c>
    </row>
    <row r="800" spans="1:21" x14ac:dyDescent="0.35">
      <c r="A800" s="3" t="s">
        <v>64</v>
      </c>
      <c r="B800" s="1" t="s">
        <v>19</v>
      </c>
      <c r="C800" s="1" t="s">
        <v>69</v>
      </c>
      <c r="D800" s="1" t="s">
        <v>51</v>
      </c>
      <c r="E800" s="1" t="s">
        <v>30</v>
      </c>
      <c r="F800" s="1" t="s">
        <v>52</v>
      </c>
      <c r="G800" s="2">
        <v>45637</v>
      </c>
      <c r="H800" s="2">
        <v>45648</v>
      </c>
      <c r="I800" s="1">
        <v>27348.84</v>
      </c>
      <c r="J800" s="1">
        <v>0.40389999999999998</v>
      </c>
      <c r="K800" s="1">
        <v>11046.2</v>
      </c>
      <c r="L800" s="1">
        <v>74076</v>
      </c>
      <c r="M800" s="1">
        <v>41058</v>
      </c>
      <c r="N800" s="1">
        <v>119830.06</v>
      </c>
      <c r="O800" s="1">
        <v>2024</v>
      </c>
      <c r="P800" s="1" t="s">
        <v>73</v>
      </c>
      <c r="Q800" s="1" t="s">
        <v>25</v>
      </c>
      <c r="R800" s="4" t="s">
        <v>41</v>
      </c>
      <c r="S800" s="25">
        <f>Table1[[#This Row],[Clicks]]/Table1[[#This Row],[Impressions]]</f>
        <v>0.55426858901668552</v>
      </c>
      <c r="T800" s="22">
        <f>Table1[[#This Row],[Sales]]/Table1[[#This Row],[USD_Spend]]</f>
        <v>10.848079882674584</v>
      </c>
      <c r="U800" s="1" t="str">
        <f>Outlier_Check!C810</f>
        <v>Normal</v>
      </c>
    </row>
    <row r="801" spans="1:21" x14ac:dyDescent="0.35">
      <c r="A801" s="3" t="s">
        <v>78</v>
      </c>
      <c r="B801" s="1" t="s">
        <v>19</v>
      </c>
      <c r="C801" s="1" t="s">
        <v>69</v>
      </c>
      <c r="D801" s="1" t="s">
        <v>59</v>
      </c>
      <c r="E801" s="1" t="s">
        <v>22</v>
      </c>
      <c r="F801" s="1" t="s">
        <v>44</v>
      </c>
      <c r="G801" s="2">
        <v>45639</v>
      </c>
      <c r="H801" s="2">
        <v>45697</v>
      </c>
      <c r="I801" s="1">
        <v>7800.84</v>
      </c>
      <c r="J801" s="1">
        <v>0.84960000000000002</v>
      </c>
      <c r="K801" s="1">
        <v>6627.59</v>
      </c>
      <c r="L801" s="1">
        <v>480392</v>
      </c>
      <c r="M801" s="1">
        <v>40427</v>
      </c>
      <c r="N801" s="1">
        <v>6286.54</v>
      </c>
      <c r="O801" s="1">
        <v>2024</v>
      </c>
      <c r="P801" s="1" t="s">
        <v>73</v>
      </c>
      <c r="Q801" s="1" t="s">
        <v>25</v>
      </c>
      <c r="R801" s="4" t="s">
        <v>54</v>
      </c>
      <c r="S801" s="25">
        <f>Table1[[#This Row],[Clicks]]/Table1[[#This Row],[Impressions]]</f>
        <v>8.4154190744225546E-2</v>
      </c>
      <c r="T801" s="22">
        <f>Table1[[#This Row],[Sales]]/Table1[[#This Row],[USD_Spend]]</f>
        <v>0.94854087232312201</v>
      </c>
      <c r="U801" s="1" t="str">
        <f>Outlier_Check!C811</f>
        <v>Normal</v>
      </c>
    </row>
    <row r="802" spans="1:21" x14ac:dyDescent="0.35">
      <c r="A802" s="3" t="s">
        <v>108</v>
      </c>
      <c r="B802" s="1" t="s">
        <v>35</v>
      </c>
      <c r="C802" s="1" t="s">
        <v>69</v>
      </c>
      <c r="D802" s="1" t="s">
        <v>59</v>
      </c>
      <c r="E802" s="1" t="s">
        <v>38</v>
      </c>
      <c r="F802" s="1" t="s">
        <v>49</v>
      </c>
      <c r="G802" s="2">
        <v>45639</v>
      </c>
      <c r="H802" s="2">
        <v>45652</v>
      </c>
      <c r="I802" s="1">
        <v>22056.21</v>
      </c>
      <c r="J802" s="1">
        <v>0.51790000000000003</v>
      </c>
      <c r="K802" s="1">
        <v>11422.91</v>
      </c>
      <c r="L802" s="1">
        <v>154462</v>
      </c>
      <c r="M802" s="1">
        <v>7674</v>
      </c>
      <c r="N802" s="1">
        <v>112298.45</v>
      </c>
      <c r="O802" s="1">
        <v>2024</v>
      </c>
      <c r="P802" s="1" t="s">
        <v>73</v>
      </c>
      <c r="Q802" s="1" t="s">
        <v>25</v>
      </c>
      <c r="R802" s="4" t="s">
        <v>26</v>
      </c>
      <c r="S802" s="25">
        <f>Table1[[#This Row],[Clicks]]/Table1[[#This Row],[Impressions]]</f>
        <v>4.9682122463777498E-2</v>
      </c>
      <c r="T802" s="22">
        <f>Table1[[#This Row],[Sales]]/Table1[[#This Row],[USD_Spend]]</f>
        <v>9.8309843988966037</v>
      </c>
      <c r="U802" s="1" t="str">
        <f>Outlier_Check!C812</f>
        <v>Normal</v>
      </c>
    </row>
    <row r="803" spans="1:21" x14ac:dyDescent="0.35">
      <c r="A803" s="3" t="s">
        <v>105</v>
      </c>
      <c r="B803" s="1" t="s">
        <v>28</v>
      </c>
      <c r="C803" s="1" t="s">
        <v>29</v>
      </c>
      <c r="D803" s="1" t="s">
        <v>43</v>
      </c>
      <c r="E803" s="1" t="s">
        <v>22</v>
      </c>
      <c r="F803" s="1" t="s">
        <v>49</v>
      </c>
      <c r="G803" s="2">
        <v>45641</v>
      </c>
      <c r="H803" s="2">
        <v>45683</v>
      </c>
      <c r="I803" s="1">
        <v>10071.16</v>
      </c>
      <c r="J803" s="1">
        <v>0.8115</v>
      </c>
      <c r="K803" s="1">
        <v>8172.75</v>
      </c>
      <c r="L803" s="1">
        <v>122537</v>
      </c>
      <c r="M803" s="1">
        <v>11952</v>
      </c>
      <c r="N803" s="1">
        <v>209511.83</v>
      </c>
      <c r="O803" s="1">
        <v>2024</v>
      </c>
      <c r="P803" s="1" t="s">
        <v>73</v>
      </c>
      <c r="Q803" s="1" t="s">
        <v>25</v>
      </c>
      <c r="R803" s="4" t="s">
        <v>26</v>
      </c>
      <c r="S803" s="25">
        <f>Table1[[#This Row],[Clicks]]/Table1[[#This Row],[Impressions]]</f>
        <v>9.7537886515909486E-2</v>
      </c>
      <c r="T803" s="22">
        <f>Table1[[#This Row],[Sales]]/Table1[[#This Row],[USD_Spend]]</f>
        <v>25.635414028325837</v>
      </c>
      <c r="U803" s="1" t="str">
        <f>Outlier_Check!C813</f>
        <v>Normal</v>
      </c>
    </row>
    <row r="804" spans="1:21" x14ac:dyDescent="0.35">
      <c r="A804" s="3" t="s">
        <v>117</v>
      </c>
      <c r="B804" s="1" t="s">
        <v>28</v>
      </c>
      <c r="C804" s="1" t="s">
        <v>29</v>
      </c>
      <c r="D804" s="1" t="s">
        <v>37</v>
      </c>
      <c r="E804" s="1" t="s">
        <v>30</v>
      </c>
      <c r="F804" s="1" t="s">
        <v>31</v>
      </c>
      <c r="G804" s="2">
        <v>45643</v>
      </c>
      <c r="H804" s="2">
        <v>45696</v>
      </c>
      <c r="I804" s="1">
        <v>40937.54</v>
      </c>
      <c r="J804" s="1">
        <v>0.44840000000000002</v>
      </c>
      <c r="K804" s="1">
        <v>18356.39</v>
      </c>
      <c r="L804" s="1">
        <v>658388</v>
      </c>
      <c r="M804" s="1">
        <v>45069</v>
      </c>
      <c r="N804" s="1">
        <v>166424.65</v>
      </c>
      <c r="O804" s="1">
        <v>2024</v>
      </c>
      <c r="P804" s="1" t="s">
        <v>73</v>
      </c>
      <c r="Q804" s="1" t="s">
        <v>25</v>
      </c>
      <c r="R804" s="4" t="s">
        <v>26</v>
      </c>
      <c r="S804" s="25">
        <f>Table1[[#This Row],[Clicks]]/Table1[[#This Row],[Impressions]]</f>
        <v>6.8453556261657264E-2</v>
      </c>
      <c r="T804" s="22">
        <f>Table1[[#This Row],[Sales]]/Table1[[#This Row],[USD_Spend]]</f>
        <v>9.0663060656261933</v>
      </c>
      <c r="U804" s="1" t="str">
        <f>Outlier_Check!C814</f>
        <v>Normal</v>
      </c>
    </row>
    <row r="805" spans="1:21" x14ac:dyDescent="0.35">
      <c r="A805" s="3" t="s">
        <v>98</v>
      </c>
      <c r="B805" s="1" t="s">
        <v>28</v>
      </c>
      <c r="C805" s="1" t="s">
        <v>36</v>
      </c>
      <c r="D805" s="1" t="s">
        <v>63</v>
      </c>
      <c r="E805" s="1" t="s">
        <v>38</v>
      </c>
      <c r="F805" s="1" t="s">
        <v>49</v>
      </c>
      <c r="G805" s="2">
        <v>45643</v>
      </c>
      <c r="H805" s="2">
        <v>45690</v>
      </c>
      <c r="I805" s="1">
        <v>17186.07</v>
      </c>
      <c r="J805" s="1">
        <v>1.0343</v>
      </c>
      <c r="K805" s="1">
        <v>17775.55</v>
      </c>
      <c r="L805" s="1">
        <v>350536</v>
      </c>
      <c r="M805" s="1">
        <v>29806</v>
      </c>
      <c r="N805" s="1">
        <v>124439.15</v>
      </c>
      <c r="O805" s="1">
        <v>2024</v>
      </c>
      <c r="P805" s="1" t="s">
        <v>73</v>
      </c>
      <c r="Q805" s="1" t="s">
        <v>25</v>
      </c>
      <c r="R805" s="4" t="s">
        <v>61</v>
      </c>
      <c r="S805" s="25">
        <f>Table1[[#This Row],[Clicks]]/Table1[[#This Row],[Impressions]]</f>
        <v>8.5029782960951233E-2</v>
      </c>
      <c r="T805" s="22">
        <f>Table1[[#This Row],[Sales]]/Table1[[#This Row],[USD_Spend]]</f>
        <v>7.0005794476120284</v>
      </c>
      <c r="U805" s="1" t="str">
        <f>Outlier_Check!C815</f>
        <v>Normal</v>
      </c>
    </row>
    <row r="806" spans="1:21" x14ac:dyDescent="0.35">
      <c r="A806" s="3" t="s">
        <v>68</v>
      </c>
      <c r="B806" s="1" t="s">
        <v>19</v>
      </c>
      <c r="C806" s="1" t="s">
        <v>69</v>
      </c>
      <c r="D806" s="1" t="s">
        <v>37</v>
      </c>
      <c r="E806" s="1" t="s">
        <v>38</v>
      </c>
      <c r="F806" s="1" t="s">
        <v>31</v>
      </c>
      <c r="G806" s="2">
        <v>45643</v>
      </c>
      <c r="H806" s="2">
        <v>45688</v>
      </c>
      <c r="I806" s="1">
        <v>49026.09</v>
      </c>
      <c r="J806" s="1">
        <v>0.27389999999999998</v>
      </c>
      <c r="K806" s="1">
        <v>13428.25</v>
      </c>
      <c r="L806" s="1">
        <v>456772</v>
      </c>
      <c r="M806" s="1">
        <v>31504</v>
      </c>
      <c r="N806" s="1">
        <v>20030.68</v>
      </c>
      <c r="O806" s="1">
        <v>2024</v>
      </c>
      <c r="P806" s="1" t="s">
        <v>73</v>
      </c>
      <c r="Q806" s="1" t="s">
        <v>25</v>
      </c>
      <c r="R806" s="4" t="s">
        <v>41</v>
      </c>
      <c r="S806" s="25">
        <f>Table1[[#This Row],[Clicks]]/Table1[[#This Row],[Impressions]]</f>
        <v>6.8970952685366002E-2</v>
      </c>
      <c r="T806" s="22">
        <f>Table1[[#This Row],[Sales]]/Table1[[#This Row],[USD_Spend]]</f>
        <v>1.4916820881350883</v>
      </c>
      <c r="U806" s="1" t="str">
        <f>Outlier_Check!C816</f>
        <v>Normal</v>
      </c>
    </row>
    <row r="807" spans="1:21" x14ac:dyDescent="0.35">
      <c r="A807" s="3" t="s">
        <v>27</v>
      </c>
      <c r="B807" s="1" t="s">
        <v>28</v>
      </c>
      <c r="C807" s="1" t="s">
        <v>20</v>
      </c>
      <c r="D807" s="1" t="s">
        <v>63</v>
      </c>
      <c r="E807" s="1" t="s">
        <v>22</v>
      </c>
      <c r="F807" s="1" t="s">
        <v>52</v>
      </c>
      <c r="G807" s="2">
        <v>45643</v>
      </c>
      <c r="H807" s="2">
        <v>45679</v>
      </c>
      <c r="I807" s="1">
        <v>32796.67</v>
      </c>
      <c r="J807" s="1">
        <v>0.55259999999999998</v>
      </c>
      <c r="K807" s="1">
        <v>18123.439999999999</v>
      </c>
      <c r="L807" s="1">
        <v>440321</v>
      </c>
      <c r="M807" s="1">
        <v>23150</v>
      </c>
      <c r="N807" s="1">
        <v>91291.75</v>
      </c>
      <c r="O807" s="1">
        <v>2024</v>
      </c>
      <c r="P807" s="1" t="s">
        <v>73</v>
      </c>
      <c r="Q807" s="1" t="s">
        <v>25</v>
      </c>
      <c r="R807" s="4" t="s">
        <v>54</v>
      </c>
      <c r="S807" s="25">
        <f>Table1[[#This Row],[Clicks]]/Table1[[#This Row],[Impressions]]</f>
        <v>5.2575280306867034E-2</v>
      </c>
      <c r="T807" s="22">
        <f>Table1[[#This Row],[Sales]]/Table1[[#This Row],[USD_Spend]]</f>
        <v>5.0372197551899642</v>
      </c>
      <c r="U807" s="1" t="str">
        <f>Outlier_Check!C817</f>
        <v>Normal</v>
      </c>
    </row>
    <row r="808" spans="1:21" x14ac:dyDescent="0.35">
      <c r="A808" s="3" t="s">
        <v>72</v>
      </c>
      <c r="B808" s="1" t="s">
        <v>28</v>
      </c>
      <c r="C808" s="1" t="s">
        <v>69</v>
      </c>
      <c r="D808" s="1" t="s">
        <v>51</v>
      </c>
      <c r="E808" s="1" t="s">
        <v>38</v>
      </c>
      <c r="F808" s="1" t="s">
        <v>52</v>
      </c>
      <c r="G808" s="2">
        <v>45644</v>
      </c>
      <c r="H808" s="2">
        <v>45674</v>
      </c>
      <c r="I808" s="1">
        <v>22863.26</v>
      </c>
      <c r="J808" s="1">
        <v>0.25409999999999999</v>
      </c>
      <c r="K808" s="1">
        <v>5809.55</v>
      </c>
      <c r="L808" s="1">
        <v>580871</v>
      </c>
      <c r="M808" s="1">
        <v>41018</v>
      </c>
      <c r="N808" s="1">
        <v>198143.69</v>
      </c>
      <c r="O808" s="1">
        <v>2024</v>
      </c>
      <c r="P808" s="1" t="s">
        <v>73</v>
      </c>
      <c r="Q808" s="1" t="s">
        <v>25</v>
      </c>
      <c r="R808" s="4" t="s">
        <v>41</v>
      </c>
      <c r="S808" s="25">
        <f>Table1[[#This Row],[Clicks]]/Table1[[#This Row],[Impressions]]</f>
        <v>7.0614645936877551E-2</v>
      </c>
      <c r="T808" s="22">
        <f>Table1[[#This Row],[Sales]]/Table1[[#This Row],[USD_Spend]]</f>
        <v>34.106546978681649</v>
      </c>
      <c r="U808" s="1" t="str">
        <f>Outlier_Check!C818</f>
        <v>Normal</v>
      </c>
    </row>
    <row r="809" spans="1:21" x14ac:dyDescent="0.35">
      <c r="A809" s="3" t="s">
        <v>94</v>
      </c>
      <c r="B809" s="1" t="s">
        <v>35</v>
      </c>
      <c r="C809" s="1" t="s">
        <v>20</v>
      </c>
      <c r="D809" s="1" t="s">
        <v>43</v>
      </c>
      <c r="E809" s="1" t="s">
        <v>30</v>
      </c>
      <c r="F809" s="1" t="s">
        <v>52</v>
      </c>
      <c r="G809" s="2">
        <v>45645</v>
      </c>
      <c r="H809" s="2">
        <v>45659</v>
      </c>
      <c r="I809" s="1">
        <v>11069.25</v>
      </c>
      <c r="J809" s="1">
        <v>0.82599999999999996</v>
      </c>
      <c r="K809" s="1">
        <v>9143.2000000000007</v>
      </c>
      <c r="L809" s="1">
        <v>19756</v>
      </c>
      <c r="M809" s="1">
        <v>19833</v>
      </c>
      <c r="N809" s="1">
        <v>108113.51</v>
      </c>
      <c r="O809" s="1">
        <v>2024</v>
      </c>
      <c r="P809" s="1" t="s">
        <v>73</v>
      </c>
      <c r="Q809" s="1" t="s">
        <v>25</v>
      </c>
      <c r="R809" s="4" t="s">
        <v>54</v>
      </c>
      <c r="S809" s="25">
        <f>Table1[[#This Row],[Clicks]]/Table1[[#This Row],[Impressions]]</f>
        <v>1.0038975501113585</v>
      </c>
      <c r="T809" s="22">
        <f>Table1[[#This Row],[Sales]]/Table1[[#This Row],[USD_Spend]]</f>
        <v>11.824471738559803</v>
      </c>
      <c r="U809" s="1" t="str">
        <f>Outlier_Check!C819</f>
        <v>Normal</v>
      </c>
    </row>
    <row r="810" spans="1:21" x14ac:dyDescent="0.35">
      <c r="A810" s="3" t="s">
        <v>99</v>
      </c>
      <c r="B810" s="1" t="s">
        <v>48</v>
      </c>
      <c r="C810" s="1" t="s">
        <v>58</v>
      </c>
      <c r="D810" s="1" t="s">
        <v>37</v>
      </c>
      <c r="E810" s="1" t="s">
        <v>30</v>
      </c>
      <c r="F810" s="1" t="s">
        <v>52</v>
      </c>
      <c r="G810" s="2">
        <v>45646</v>
      </c>
      <c r="H810" s="2">
        <v>45706</v>
      </c>
      <c r="I810" s="1">
        <v>23247.53</v>
      </c>
      <c r="J810" s="1">
        <v>0.82799999999999996</v>
      </c>
      <c r="K810" s="1">
        <v>19248.95</v>
      </c>
      <c r="L810" s="1">
        <v>978790</v>
      </c>
      <c r="M810" s="1">
        <v>17437</v>
      </c>
      <c r="N810" s="1">
        <v>198017.87</v>
      </c>
      <c r="O810" s="1">
        <v>2024</v>
      </c>
      <c r="P810" s="1" t="s">
        <v>73</v>
      </c>
      <c r="Q810" s="1" t="s">
        <v>25</v>
      </c>
      <c r="R810" s="4" t="s">
        <v>61</v>
      </c>
      <c r="S810" s="25">
        <f>Table1[[#This Row],[Clicks]]/Table1[[#This Row],[Impressions]]</f>
        <v>1.7814853032826244E-2</v>
      </c>
      <c r="T810" s="22">
        <f>Table1[[#This Row],[Sales]]/Table1[[#This Row],[USD_Spend]]</f>
        <v>10.287203717605376</v>
      </c>
      <c r="U810" s="1" t="str">
        <f>Outlier_Check!C820</f>
        <v>Normal</v>
      </c>
    </row>
    <row r="811" spans="1:21" x14ac:dyDescent="0.35">
      <c r="A811" s="3" t="s">
        <v>118</v>
      </c>
      <c r="B811" s="1" t="s">
        <v>48</v>
      </c>
      <c r="C811" s="1" t="s">
        <v>69</v>
      </c>
      <c r="D811" s="1" t="s">
        <v>63</v>
      </c>
      <c r="E811" s="1" t="s">
        <v>22</v>
      </c>
      <c r="F811" s="1" t="s">
        <v>49</v>
      </c>
      <c r="G811" s="2">
        <v>45648</v>
      </c>
      <c r="H811" s="2">
        <v>45666</v>
      </c>
      <c r="I811" s="1">
        <v>11083.44</v>
      </c>
      <c r="J811" s="1">
        <v>0.90529999999999999</v>
      </c>
      <c r="K811" s="1">
        <v>10033.84</v>
      </c>
      <c r="L811" s="1">
        <v>858014</v>
      </c>
      <c r="M811" s="1">
        <v>4200</v>
      </c>
      <c r="N811" s="1">
        <v>146450.23999999999</v>
      </c>
      <c r="O811" s="1">
        <v>2024</v>
      </c>
      <c r="P811" s="1" t="s">
        <v>73</v>
      </c>
      <c r="Q811" s="1" t="s">
        <v>25</v>
      </c>
      <c r="R811" s="4" t="s">
        <v>26</v>
      </c>
      <c r="S811" s="25">
        <f>Table1[[#This Row],[Clicks]]/Table1[[#This Row],[Impressions]]</f>
        <v>4.8950250229017238E-3</v>
      </c>
      <c r="T811" s="22">
        <f>Table1[[#This Row],[Sales]]/Table1[[#This Row],[USD_Spend]]</f>
        <v>14.595632380025991</v>
      </c>
      <c r="U811" s="1" t="str">
        <f>Outlier_Check!C821</f>
        <v>Normal</v>
      </c>
    </row>
    <row r="812" spans="1:21" x14ac:dyDescent="0.35">
      <c r="A812" s="3" t="s">
        <v>57</v>
      </c>
      <c r="B812" s="1" t="s">
        <v>19</v>
      </c>
      <c r="C812" s="1" t="s">
        <v>29</v>
      </c>
      <c r="D812" s="1" t="s">
        <v>43</v>
      </c>
      <c r="E812" s="1" t="s">
        <v>30</v>
      </c>
      <c r="F812" s="1" t="s">
        <v>31</v>
      </c>
      <c r="G812" s="2">
        <v>45649</v>
      </c>
      <c r="H812" s="2">
        <v>45705</v>
      </c>
      <c r="I812" s="1">
        <v>19680.330000000002</v>
      </c>
      <c r="J812" s="1">
        <v>1.1861999999999999</v>
      </c>
      <c r="K812" s="1">
        <v>23344.81</v>
      </c>
      <c r="L812" s="1">
        <v>840884</v>
      </c>
      <c r="M812" s="1">
        <v>42830</v>
      </c>
      <c r="N812" s="1">
        <v>245300.44</v>
      </c>
      <c r="O812" s="1">
        <v>2024</v>
      </c>
      <c r="P812" s="1" t="s">
        <v>73</v>
      </c>
      <c r="Q812" s="1" t="s">
        <v>25</v>
      </c>
      <c r="R812" s="4" t="s">
        <v>26</v>
      </c>
      <c r="S812" s="25">
        <f>Table1[[#This Row],[Clicks]]/Table1[[#This Row],[Impressions]]</f>
        <v>5.0934492748107942E-2</v>
      </c>
      <c r="T812" s="22">
        <f>Table1[[#This Row],[Sales]]/Table1[[#This Row],[USD_Spend]]</f>
        <v>10.507707708908319</v>
      </c>
      <c r="U812" s="1" t="str">
        <f>Outlier_Check!C822</f>
        <v>Normal</v>
      </c>
    </row>
    <row r="813" spans="1:21" x14ac:dyDescent="0.35">
      <c r="A813" s="3" t="s">
        <v>85</v>
      </c>
      <c r="B813" s="1" t="s">
        <v>28</v>
      </c>
      <c r="C813" s="1" t="s">
        <v>20</v>
      </c>
      <c r="D813" s="1" t="s">
        <v>51</v>
      </c>
      <c r="E813" s="1" t="s">
        <v>22</v>
      </c>
      <c r="F813" s="1" t="s">
        <v>31</v>
      </c>
      <c r="G813" s="2">
        <v>45650</v>
      </c>
      <c r="H813" s="2">
        <v>45684</v>
      </c>
      <c r="I813" s="1">
        <v>9972.1200000000008</v>
      </c>
      <c r="J813" s="1">
        <v>1.1836</v>
      </c>
      <c r="K813" s="1">
        <v>11803</v>
      </c>
      <c r="L813" s="1">
        <v>847255</v>
      </c>
      <c r="M813" s="1">
        <v>30814</v>
      </c>
      <c r="N813" s="1">
        <v>128046.17</v>
      </c>
      <c r="O813" s="1">
        <v>2024</v>
      </c>
      <c r="P813" s="1" t="s">
        <v>73</v>
      </c>
      <c r="Q813" s="1" t="s">
        <v>25</v>
      </c>
      <c r="R813" s="4" t="s">
        <v>26</v>
      </c>
      <c r="S813" s="25">
        <f>Table1[[#This Row],[Clicks]]/Table1[[#This Row],[Impressions]]</f>
        <v>3.6369215879516789E-2</v>
      </c>
      <c r="T813" s="22">
        <f>Table1[[#This Row],[Sales]]/Table1[[#This Row],[USD_Spend]]</f>
        <v>10.848612217232906</v>
      </c>
      <c r="U813" s="1" t="str">
        <f>Outlier_Check!C823</f>
        <v>Normal</v>
      </c>
    </row>
    <row r="814" spans="1:21" x14ac:dyDescent="0.35">
      <c r="A814" s="3" t="s">
        <v>94</v>
      </c>
      <c r="B814" s="1" t="s">
        <v>19</v>
      </c>
      <c r="C814" s="1" t="s">
        <v>20</v>
      </c>
      <c r="D814" s="1" t="s">
        <v>37</v>
      </c>
      <c r="E814" s="1" t="s">
        <v>30</v>
      </c>
      <c r="F814" s="1" t="s">
        <v>23</v>
      </c>
      <c r="G814" s="2">
        <v>45650</v>
      </c>
      <c r="H814" s="2">
        <v>45658</v>
      </c>
      <c r="I814" s="1">
        <v>46404.97</v>
      </c>
      <c r="J814" s="1">
        <v>0.53100000000000003</v>
      </c>
      <c r="K814" s="1">
        <v>24641.040000000001</v>
      </c>
      <c r="L814" s="1">
        <v>489341</v>
      </c>
      <c r="M814" s="1">
        <v>49629</v>
      </c>
      <c r="N814" s="1">
        <v>32178.06</v>
      </c>
      <c r="O814" s="1">
        <v>2024</v>
      </c>
      <c r="P814" s="1" t="s">
        <v>73</v>
      </c>
      <c r="Q814" s="1" t="s">
        <v>25</v>
      </c>
      <c r="R814" s="4" t="s">
        <v>61</v>
      </c>
      <c r="S814" s="25">
        <f>Table1[[#This Row],[Clicks]]/Table1[[#This Row],[Impressions]]</f>
        <v>0.10142007311874542</v>
      </c>
      <c r="T814" s="22">
        <f>Table1[[#This Row],[Sales]]/Table1[[#This Row],[USD_Spend]]</f>
        <v>1.3058726417391473</v>
      </c>
      <c r="U814" s="1" t="str">
        <f>Outlier_Check!C824</f>
        <v>Normal</v>
      </c>
    </row>
    <row r="815" spans="1:21" x14ac:dyDescent="0.35">
      <c r="A815" s="3" t="s">
        <v>87</v>
      </c>
      <c r="B815" s="1" t="s">
        <v>48</v>
      </c>
      <c r="C815" s="1" t="s">
        <v>69</v>
      </c>
      <c r="D815" s="1" t="s">
        <v>21</v>
      </c>
      <c r="E815" s="1" t="s">
        <v>22</v>
      </c>
      <c r="F815" s="1" t="s">
        <v>31</v>
      </c>
      <c r="G815" s="2">
        <v>45652</v>
      </c>
      <c r="H815" s="2">
        <v>45684</v>
      </c>
      <c r="I815" s="1">
        <v>1082.8699999999999</v>
      </c>
      <c r="J815" s="1">
        <v>1.1113999999999999</v>
      </c>
      <c r="K815" s="1">
        <v>1203.5</v>
      </c>
      <c r="L815" s="1">
        <v>574607</v>
      </c>
      <c r="M815" s="1">
        <v>45113</v>
      </c>
      <c r="N815" s="1">
        <v>181260.35</v>
      </c>
      <c r="O815" s="1">
        <v>2024</v>
      </c>
      <c r="P815" s="1" t="s">
        <v>73</v>
      </c>
      <c r="Q815" s="1" t="s">
        <v>25</v>
      </c>
      <c r="R815" s="4" t="s">
        <v>41</v>
      </c>
      <c r="S815" s="25">
        <f>Table1[[#This Row],[Clicks]]/Table1[[#This Row],[Impressions]]</f>
        <v>7.8511051901560547E-2</v>
      </c>
      <c r="T815" s="22">
        <f>Table1[[#This Row],[Sales]]/Table1[[#This Row],[USD_Spend]]</f>
        <v>150.61100955546323</v>
      </c>
      <c r="U815" s="1" t="str">
        <f>Outlier_Check!C825</f>
        <v>Normal</v>
      </c>
    </row>
    <row r="816" spans="1:21" x14ac:dyDescent="0.35">
      <c r="A816" s="3" t="s">
        <v>72</v>
      </c>
      <c r="B816" s="1" t="s">
        <v>48</v>
      </c>
      <c r="C816" s="1" t="s">
        <v>36</v>
      </c>
      <c r="D816" s="1" t="s">
        <v>51</v>
      </c>
      <c r="E816" s="1" t="s">
        <v>22</v>
      </c>
      <c r="F816" s="1" t="s">
        <v>31</v>
      </c>
      <c r="G816" s="2">
        <v>45652</v>
      </c>
      <c r="H816" s="2">
        <v>45664</v>
      </c>
      <c r="I816" s="1">
        <v>5232.93</v>
      </c>
      <c r="J816" s="1">
        <v>0.72960000000000003</v>
      </c>
      <c r="K816" s="1">
        <v>3817.95</v>
      </c>
      <c r="L816" s="1">
        <v>404220</v>
      </c>
      <c r="M816" s="1">
        <v>43117</v>
      </c>
      <c r="N816" s="1">
        <v>192145.15</v>
      </c>
      <c r="O816" s="1">
        <v>2024</v>
      </c>
      <c r="P816" s="1" t="s">
        <v>73</v>
      </c>
      <c r="Q816" s="1" t="s">
        <v>25</v>
      </c>
      <c r="R816" s="4" t="s">
        <v>41</v>
      </c>
      <c r="S816" s="25">
        <f>Table1[[#This Row],[Clicks]]/Table1[[#This Row],[Impressions]]</f>
        <v>0.10666716144673692</v>
      </c>
      <c r="T816" s="22">
        <f>Table1[[#This Row],[Sales]]/Table1[[#This Row],[USD_Spend]]</f>
        <v>50.326785316727566</v>
      </c>
      <c r="U816" s="1" t="str">
        <f>Outlier_Check!C826</f>
        <v>Normal</v>
      </c>
    </row>
    <row r="817" spans="1:21" x14ac:dyDescent="0.35">
      <c r="A817" s="3" t="s">
        <v>66</v>
      </c>
      <c r="B817" s="1" t="s">
        <v>28</v>
      </c>
      <c r="C817" s="1" t="s">
        <v>36</v>
      </c>
      <c r="D817" s="1" t="s">
        <v>37</v>
      </c>
      <c r="E817" s="1" t="s">
        <v>22</v>
      </c>
      <c r="F817" s="1" t="s">
        <v>31</v>
      </c>
      <c r="G817" s="2">
        <v>45656</v>
      </c>
      <c r="H817" s="2">
        <v>45710</v>
      </c>
      <c r="I817" s="1">
        <v>34460.800000000003</v>
      </c>
      <c r="J817" s="1">
        <v>0.29449999999999998</v>
      </c>
      <c r="K817" s="1">
        <v>10148.709999999999</v>
      </c>
      <c r="L817" s="1">
        <v>650037</v>
      </c>
      <c r="M817" s="1">
        <v>39872</v>
      </c>
      <c r="N817" s="1">
        <v>23374.58</v>
      </c>
      <c r="O817" s="1">
        <v>2024</v>
      </c>
      <c r="P817" s="1" t="s">
        <v>73</v>
      </c>
      <c r="Q817" s="1" t="s">
        <v>25</v>
      </c>
      <c r="R817" s="4" t="s">
        <v>26</v>
      </c>
      <c r="S817" s="25">
        <f>Table1[[#This Row],[Clicks]]/Table1[[#This Row],[Impressions]]</f>
        <v>6.1338046911175823E-2</v>
      </c>
      <c r="T817" s="22">
        <f>Table1[[#This Row],[Sales]]/Table1[[#This Row],[USD_Spend]]</f>
        <v>2.3032070085754746</v>
      </c>
      <c r="U817" s="1" t="str">
        <f>Outlier_Check!C827</f>
        <v>Normal</v>
      </c>
    </row>
    <row r="818" spans="1:21" x14ac:dyDescent="0.35">
      <c r="A818" s="3" t="s">
        <v>57</v>
      </c>
      <c r="B818" s="1" t="s">
        <v>28</v>
      </c>
      <c r="C818" s="1" t="s">
        <v>29</v>
      </c>
      <c r="D818" s="1" t="s">
        <v>21</v>
      </c>
      <c r="E818" s="1" t="s">
        <v>22</v>
      </c>
      <c r="F818" s="1" t="s">
        <v>44</v>
      </c>
      <c r="G818" s="2">
        <v>45657</v>
      </c>
      <c r="H818" s="2">
        <v>45675</v>
      </c>
      <c r="I818" s="1">
        <v>10336.66</v>
      </c>
      <c r="J818" s="1">
        <v>1.0357000000000001</v>
      </c>
      <c r="K818" s="1">
        <v>10705.68</v>
      </c>
      <c r="L818" s="1">
        <v>830114</v>
      </c>
      <c r="M818" s="1">
        <v>17545</v>
      </c>
      <c r="N818" s="1">
        <v>75550.679999999993</v>
      </c>
      <c r="O818" s="1">
        <v>2024</v>
      </c>
      <c r="P818" s="1" t="s">
        <v>73</v>
      </c>
      <c r="Q818" s="1" t="s">
        <v>25</v>
      </c>
      <c r="R818" s="4" t="s">
        <v>61</v>
      </c>
      <c r="S818" s="25">
        <f>Table1[[#This Row],[Clicks]]/Table1[[#This Row],[Impressions]]</f>
        <v>2.1135651247900889E-2</v>
      </c>
      <c r="T818" s="22">
        <f>Table1[[#This Row],[Sales]]/Table1[[#This Row],[USD_Spend]]</f>
        <v>7.0570650346358184</v>
      </c>
      <c r="U818" s="1" t="str">
        <f>Outlier_Check!C828</f>
        <v>Normal</v>
      </c>
    </row>
    <row r="819" spans="1:21" x14ac:dyDescent="0.35">
      <c r="A819" s="3" t="s">
        <v>83</v>
      </c>
      <c r="B819" s="1" t="s">
        <v>28</v>
      </c>
      <c r="C819" s="1" t="s">
        <v>36</v>
      </c>
      <c r="D819" s="1" t="s">
        <v>37</v>
      </c>
      <c r="E819" s="1" t="s">
        <v>22</v>
      </c>
      <c r="F819" s="1" t="s">
        <v>52</v>
      </c>
      <c r="G819" s="2">
        <v>45657</v>
      </c>
      <c r="H819" s="2">
        <v>45665</v>
      </c>
      <c r="I819" s="1">
        <v>15603.19</v>
      </c>
      <c r="J819" s="1">
        <v>0.1275</v>
      </c>
      <c r="K819" s="1">
        <v>1989.41</v>
      </c>
      <c r="L819" s="1">
        <v>159380</v>
      </c>
      <c r="M819" s="1">
        <v>27154</v>
      </c>
      <c r="N819" s="1">
        <v>223787.7</v>
      </c>
      <c r="O819" s="1">
        <v>2024</v>
      </c>
      <c r="P819" s="1" t="s">
        <v>73</v>
      </c>
      <c r="Q819" s="1" t="s">
        <v>25</v>
      </c>
      <c r="R819" s="4" t="s">
        <v>61</v>
      </c>
      <c r="S819" s="25">
        <f>Table1[[#This Row],[Clicks]]/Table1[[#This Row],[Impressions]]</f>
        <v>0.17037269418998618</v>
      </c>
      <c r="T819" s="22">
        <f>Table1[[#This Row],[Sales]]/Table1[[#This Row],[USD_Spend]]</f>
        <v>112.48948180616364</v>
      </c>
      <c r="U819" s="1" t="str">
        <f>Outlier_Check!C829</f>
        <v>Normal</v>
      </c>
    </row>
    <row r="820" spans="1:21" x14ac:dyDescent="0.35">
      <c r="A820" s="3" t="s">
        <v>100</v>
      </c>
      <c r="B820" s="1" t="s">
        <v>35</v>
      </c>
      <c r="C820" s="1" t="s">
        <v>58</v>
      </c>
      <c r="D820" s="1" t="s">
        <v>37</v>
      </c>
      <c r="E820" s="1" t="s">
        <v>22</v>
      </c>
      <c r="F820" s="1" t="s">
        <v>49</v>
      </c>
      <c r="G820" s="2">
        <v>45658</v>
      </c>
      <c r="H820" s="2">
        <v>45687</v>
      </c>
      <c r="I820" s="1">
        <v>26463.67</v>
      </c>
      <c r="J820" s="1">
        <v>0.30470000000000003</v>
      </c>
      <c r="K820" s="1">
        <v>8063.48</v>
      </c>
      <c r="L820" s="1">
        <v>353772</v>
      </c>
      <c r="M820" s="1">
        <v>33946</v>
      </c>
      <c r="N820" s="1">
        <v>147680.42000000001</v>
      </c>
      <c r="O820" s="1">
        <v>2025</v>
      </c>
      <c r="P820" s="1" t="s">
        <v>56</v>
      </c>
      <c r="Q820" s="1" t="s">
        <v>40</v>
      </c>
      <c r="R820" s="4" t="s">
        <v>54</v>
      </c>
      <c r="S820" s="25">
        <f>Table1[[#This Row],[Clicks]]/Table1[[#This Row],[Impressions]]</f>
        <v>9.5954456542631975E-2</v>
      </c>
      <c r="T820" s="22">
        <f>Table1[[#This Row],[Sales]]/Table1[[#This Row],[USD_Spend]]</f>
        <v>18.314725155888031</v>
      </c>
      <c r="U820" s="1" t="str">
        <f>Outlier_Check!C830</f>
        <v>Normal</v>
      </c>
    </row>
    <row r="821" spans="1:21" x14ac:dyDescent="0.35">
      <c r="A821" s="3" t="s">
        <v>18</v>
      </c>
      <c r="B821" s="1" t="s">
        <v>28</v>
      </c>
      <c r="C821" s="1" t="s">
        <v>58</v>
      </c>
      <c r="D821" s="1" t="s">
        <v>43</v>
      </c>
      <c r="E821" s="1" t="s">
        <v>22</v>
      </c>
      <c r="F821" s="1" t="s">
        <v>44</v>
      </c>
      <c r="G821" s="2">
        <v>45659</v>
      </c>
      <c r="H821" s="2">
        <v>45688</v>
      </c>
      <c r="I821" s="1">
        <v>24885.29</v>
      </c>
      <c r="J821" s="1">
        <v>0.14019999999999999</v>
      </c>
      <c r="K821" s="1">
        <v>3488.92</v>
      </c>
      <c r="L821" s="1">
        <v>717814</v>
      </c>
      <c r="M821" s="1">
        <v>32248</v>
      </c>
      <c r="N821" s="1">
        <v>166719.25</v>
      </c>
      <c r="O821" s="1">
        <v>2025</v>
      </c>
      <c r="P821" s="1" t="s">
        <v>56</v>
      </c>
      <c r="Q821" s="1" t="s">
        <v>40</v>
      </c>
      <c r="R821" s="4" t="s">
        <v>26</v>
      </c>
      <c r="S821" s="25">
        <f>Table1[[#This Row],[Clicks]]/Table1[[#This Row],[Impressions]]</f>
        <v>4.4925287052077559E-2</v>
      </c>
      <c r="T821" s="22">
        <f>Table1[[#This Row],[Sales]]/Table1[[#This Row],[USD_Spend]]</f>
        <v>47.785346181626402</v>
      </c>
      <c r="U821" s="1" t="str">
        <f>Outlier_Check!C831</f>
        <v>Normal</v>
      </c>
    </row>
    <row r="822" spans="1:21" x14ac:dyDescent="0.35">
      <c r="A822" s="3" t="s">
        <v>95</v>
      </c>
      <c r="B822" s="1" t="s">
        <v>35</v>
      </c>
      <c r="C822" s="1" t="s">
        <v>20</v>
      </c>
      <c r="D822" s="1" t="s">
        <v>37</v>
      </c>
      <c r="E822" s="1" t="s">
        <v>30</v>
      </c>
      <c r="F822" s="1" t="s">
        <v>23</v>
      </c>
      <c r="G822" s="2">
        <v>45659</v>
      </c>
      <c r="H822" s="2">
        <v>45676</v>
      </c>
      <c r="I822" s="1">
        <v>4723.83</v>
      </c>
      <c r="J822" s="1">
        <v>0.83179999999999998</v>
      </c>
      <c r="K822" s="1">
        <v>3929.28</v>
      </c>
      <c r="L822" s="1">
        <v>667711</v>
      </c>
      <c r="M822" s="1">
        <v>16015</v>
      </c>
      <c r="N822" s="1">
        <v>29965.82</v>
      </c>
      <c r="O822" s="1">
        <v>2025</v>
      </c>
      <c r="P822" s="1" t="s">
        <v>56</v>
      </c>
      <c r="Q822" s="1" t="s">
        <v>40</v>
      </c>
      <c r="R822" s="4" t="s">
        <v>41</v>
      </c>
      <c r="S822" s="25">
        <f>Table1[[#This Row],[Clicks]]/Table1[[#This Row],[Impressions]]</f>
        <v>2.398492761089753E-2</v>
      </c>
      <c r="T822" s="22">
        <f>Table1[[#This Row],[Sales]]/Table1[[#This Row],[USD_Spend]]</f>
        <v>7.6262877677335279</v>
      </c>
      <c r="U822" s="1" t="str">
        <f>Outlier_Check!C832</f>
        <v>Normal</v>
      </c>
    </row>
    <row r="823" spans="1:21" x14ac:dyDescent="0.35">
      <c r="A823" s="3" t="s">
        <v>72</v>
      </c>
      <c r="B823" s="1" t="s">
        <v>28</v>
      </c>
      <c r="C823" s="1" t="s">
        <v>58</v>
      </c>
      <c r="D823" s="1" t="s">
        <v>63</v>
      </c>
      <c r="E823" s="1" t="s">
        <v>38</v>
      </c>
      <c r="F823" s="1" t="s">
        <v>52</v>
      </c>
      <c r="G823" s="2">
        <v>45660</v>
      </c>
      <c r="H823" s="2">
        <v>45703</v>
      </c>
      <c r="I823" s="1">
        <v>47367.28</v>
      </c>
      <c r="J823" s="1">
        <v>0.9708</v>
      </c>
      <c r="K823" s="1">
        <v>45984.160000000003</v>
      </c>
      <c r="L823" s="1">
        <v>713956</v>
      </c>
      <c r="M823" s="1">
        <v>5003</v>
      </c>
      <c r="N823" s="1">
        <v>145617.35999999999</v>
      </c>
      <c r="O823" s="1">
        <v>2025</v>
      </c>
      <c r="P823" s="1" t="s">
        <v>56</v>
      </c>
      <c r="Q823" s="1" t="s">
        <v>40</v>
      </c>
      <c r="R823" s="4" t="s">
        <v>61</v>
      </c>
      <c r="S823" s="25">
        <f>Table1[[#This Row],[Clicks]]/Table1[[#This Row],[Impressions]]</f>
        <v>7.0074346318260506E-3</v>
      </c>
      <c r="T823" s="22">
        <f>Table1[[#This Row],[Sales]]/Table1[[#This Row],[USD_Spend]]</f>
        <v>3.166685223781406</v>
      </c>
      <c r="U823" s="1" t="str">
        <f>Outlier_Check!C833</f>
        <v>Normal</v>
      </c>
    </row>
    <row r="824" spans="1:21" x14ac:dyDescent="0.35">
      <c r="A824" s="3" t="s">
        <v>104</v>
      </c>
      <c r="B824" s="1" t="s">
        <v>28</v>
      </c>
      <c r="C824" s="1" t="s">
        <v>58</v>
      </c>
      <c r="D824" s="1" t="s">
        <v>59</v>
      </c>
      <c r="E824" s="1" t="s">
        <v>38</v>
      </c>
      <c r="F824" s="1" t="s">
        <v>23</v>
      </c>
      <c r="G824" s="2">
        <v>45661</v>
      </c>
      <c r="H824" s="2">
        <v>45720</v>
      </c>
      <c r="I824" s="1">
        <v>29331.47</v>
      </c>
      <c r="J824" s="1">
        <v>0.71430000000000005</v>
      </c>
      <c r="K824" s="1">
        <v>20951.47</v>
      </c>
      <c r="L824" s="1">
        <v>296643</v>
      </c>
      <c r="M824" s="1">
        <v>4508</v>
      </c>
      <c r="N824" s="1">
        <v>143774.93</v>
      </c>
      <c r="O824" s="1">
        <v>2025</v>
      </c>
      <c r="P824" s="1" t="s">
        <v>56</v>
      </c>
      <c r="Q824" s="1" t="s">
        <v>40</v>
      </c>
      <c r="R824" s="4" t="s">
        <v>41</v>
      </c>
      <c r="S824" s="25">
        <f>Table1[[#This Row],[Clicks]]/Table1[[#This Row],[Impressions]]</f>
        <v>1.5196717940419966E-2</v>
      </c>
      <c r="T824" s="22">
        <f>Table1[[#This Row],[Sales]]/Table1[[#This Row],[USD_Spend]]</f>
        <v>6.8622836488322765</v>
      </c>
      <c r="U824" s="1" t="str">
        <f>Outlier_Check!C834</f>
        <v>Normal</v>
      </c>
    </row>
    <row r="825" spans="1:21" x14ac:dyDescent="0.35">
      <c r="A825" s="3" t="s">
        <v>77</v>
      </c>
      <c r="B825" s="1" t="s">
        <v>19</v>
      </c>
      <c r="C825" s="1" t="s">
        <v>69</v>
      </c>
      <c r="D825" s="1" t="s">
        <v>21</v>
      </c>
      <c r="E825" s="1" t="s">
        <v>30</v>
      </c>
      <c r="F825" s="1" t="s">
        <v>44</v>
      </c>
      <c r="G825" s="2">
        <v>45661</v>
      </c>
      <c r="H825" s="2">
        <v>45693</v>
      </c>
      <c r="I825" s="1">
        <v>43961.3</v>
      </c>
      <c r="J825" s="1">
        <v>0.98609999999999998</v>
      </c>
      <c r="K825" s="1">
        <v>43350.239999999998</v>
      </c>
      <c r="L825" s="1">
        <v>874446</v>
      </c>
      <c r="M825" s="1">
        <v>10608</v>
      </c>
      <c r="N825" s="1">
        <v>176128.14</v>
      </c>
      <c r="O825" s="1">
        <v>2025</v>
      </c>
      <c r="P825" s="1" t="s">
        <v>56</v>
      </c>
      <c r="Q825" s="1" t="s">
        <v>40</v>
      </c>
      <c r="R825" s="4" t="s">
        <v>41</v>
      </c>
      <c r="S825" s="25">
        <f>Table1[[#This Row],[Clicks]]/Table1[[#This Row],[Impressions]]</f>
        <v>1.2131109296628952E-2</v>
      </c>
      <c r="T825" s="22">
        <f>Table1[[#This Row],[Sales]]/Table1[[#This Row],[USD_Spend]]</f>
        <v>4.0629103783508471</v>
      </c>
      <c r="U825" s="1" t="str">
        <f>Outlier_Check!C835</f>
        <v>Normal</v>
      </c>
    </row>
    <row r="826" spans="1:21" x14ac:dyDescent="0.35">
      <c r="A826" s="3" t="s">
        <v>42</v>
      </c>
      <c r="B826" s="1" t="s">
        <v>28</v>
      </c>
      <c r="C826" s="1" t="s">
        <v>36</v>
      </c>
      <c r="D826" s="1" t="s">
        <v>51</v>
      </c>
      <c r="E826" s="1" t="s">
        <v>38</v>
      </c>
      <c r="F826" s="1" t="s">
        <v>52</v>
      </c>
      <c r="G826" s="2">
        <v>45663</v>
      </c>
      <c r="H826" s="2">
        <v>45684</v>
      </c>
      <c r="I826" s="1">
        <v>33630.699999999997</v>
      </c>
      <c r="J826" s="1">
        <v>1.1423000000000001</v>
      </c>
      <c r="K826" s="1">
        <v>38416.35</v>
      </c>
      <c r="L826" s="1">
        <v>713176</v>
      </c>
      <c r="M826" s="1">
        <v>8167</v>
      </c>
      <c r="N826" s="1">
        <v>168041.71</v>
      </c>
      <c r="O826" s="1">
        <v>2025</v>
      </c>
      <c r="P826" s="1" t="s">
        <v>56</v>
      </c>
      <c r="Q826" s="1" t="s">
        <v>40</v>
      </c>
      <c r="R826" s="4" t="s">
        <v>26</v>
      </c>
      <c r="S826" s="25">
        <f>Table1[[#This Row],[Clicks]]/Table1[[#This Row],[Impressions]]</f>
        <v>1.1451591192076008E-2</v>
      </c>
      <c r="T826" s="22">
        <f>Table1[[#This Row],[Sales]]/Table1[[#This Row],[USD_Spend]]</f>
        <v>4.3742237354668001</v>
      </c>
      <c r="U826" s="1" t="str">
        <f>Outlier_Check!C836</f>
        <v>Normal</v>
      </c>
    </row>
    <row r="827" spans="1:21" x14ac:dyDescent="0.35">
      <c r="A827" s="3" t="s">
        <v>34</v>
      </c>
      <c r="B827" s="1" t="s">
        <v>19</v>
      </c>
      <c r="C827" s="1" t="s">
        <v>36</v>
      </c>
      <c r="D827" s="1" t="s">
        <v>63</v>
      </c>
      <c r="E827" s="1" t="s">
        <v>38</v>
      </c>
      <c r="F827" s="1" t="s">
        <v>49</v>
      </c>
      <c r="G827" s="2">
        <v>45665</v>
      </c>
      <c r="H827" s="2">
        <v>45690</v>
      </c>
      <c r="I827" s="1">
        <v>39064.949999999997</v>
      </c>
      <c r="J827" s="1">
        <v>0.68540000000000001</v>
      </c>
      <c r="K827" s="1">
        <v>26775.119999999999</v>
      </c>
      <c r="L827" s="1">
        <v>99083</v>
      </c>
      <c r="M827" s="1">
        <v>3547</v>
      </c>
      <c r="N827" s="1">
        <v>43117.08</v>
      </c>
      <c r="O827" s="1">
        <v>2025</v>
      </c>
      <c r="P827" s="1" t="s">
        <v>56</v>
      </c>
      <c r="Q827" s="1" t="s">
        <v>40</v>
      </c>
      <c r="R827" s="4" t="s">
        <v>54</v>
      </c>
      <c r="S827" s="25">
        <f>Table1[[#This Row],[Clicks]]/Table1[[#This Row],[Impressions]]</f>
        <v>3.5798270137157737E-2</v>
      </c>
      <c r="T827" s="22">
        <f>Table1[[#This Row],[Sales]]/Table1[[#This Row],[USD_Spend]]</f>
        <v>1.6103412421681025</v>
      </c>
      <c r="U827" s="1" t="str">
        <f>Outlier_Check!C837</f>
        <v>Normal</v>
      </c>
    </row>
    <row r="828" spans="1:21" x14ac:dyDescent="0.35">
      <c r="A828" s="3" t="s">
        <v>55</v>
      </c>
      <c r="B828" s="1" t="s">
        <v>28</v>
      </c>
      <c r="C828" s="1" t="s">
        <v>29</v>
      </c>
      <c r="D828" s="1" t="s">
        <v>51</v>
      </c>
      <c r="E828" s="1" t="s">
        <v>22</v>
      </c>
      <c r="F828" s="1" t="s">
        <v>23</v>
      </c>
      <c r="G828" s="2">
        <v>45665</v>
      </c>
      <c r="H828" s="2">
        <v>45673</v>
      </c>
      <c r="I828" s="1">
        <v>29592.639999999999</v>
      </c>
      <c r="J828" s="1">
        <v>0.21290000000000001</v>
      </c>
      <c r="K828" s="1">
        <v>6300.27</v>
      </c>
      <c r="L828" s="1">
        <v>669580</v>
      </c>
      <c r="M828" s="1">
        <v>47363</v>
      </c>
      <c r="N828" s="1">
        <v>156835.26999999999</v>
      </c>
      <c r="O828" s="1">
        <v>2025</v>
      </c>
      <c r="P828" s="1" t="s">
        <v>56</v>
      </c>
      <c r="Q828" s="1" t="s">
        <v>40</v>
      </c>
      <c r="R828" s="4" t="s">
        <v>26</v>
      </c>
      <c r="S828" s="25">
        <f>Table1[[#This Row],[Clicks]]/Table1[[#This Row],[Impressions]]</f>
        <v>7.0735386361599803E-2</v>
      </c>
      <c r="T828" s="22">
        <f>Table1[[#This Row],[Sales]]/Table1[[#This Row],[USD_Spend]]</f>
        <v>24.893420440711267</v>
      </c>
      <c r="U828" s="1" t="str">
        <f>Outlier_Check!C838</f>
        <v>Normal</v>
      </c>
    </row>
    <row r="829" spans="1:21" x14ac:dyDescent="0.35">
      <c r="A829" s="3" t="s">
        <v>120</v>
      </c>
      <c r="B829" s="1" t="s">
        <v>35</v>
      </c>
      <c r="C829" s="1" t="s">
        <v>29</v>
      </c>
      <c r="D829" s="1" t="s">
        <v>51</v>
      </c>
      <c r="E829" s="1" t="s">
        <v>38</v>
      </c>
      <c r="F829" s="1" t="s">
        <v>52</v>
      </c>
      <c r="G829" s="2">
        <v>45666</v>
      </c>
      <c r="H829" s="2">
        <v>45679</v>
      </c>
      <c r="I829" s="1">
        <v>21008.799999999999</v>
      </c>
      <c r="J829" s="1">
        <v>0.73770000000000002</v>
      </c>
      <c r="K829" s="1">
        <v>15498.19</v>
      </c>
      <c r="L829" s="1">
        <v>350404</v>
      </c>
      <c r="M829" s="1">
        <v>3852</v>
      </c>
      <c r="N829" s="1">
        <v>158359.04999999999</v>
      </c>
      <c r="O829" s="1">
        <v>2025</v>
      </c>
      <c r="P829" s="1" t="s">
        <v>56</v>
      </c>
      <c r="Q829" s="1" t="s">
        <v>40</v>
      </c>
      <c r="R829" s="4" t="s">
        <v>41</v>
      </c>
      <c r="S829" s="25">
        <f>Table1[[#This Row],[Clicks]]/Table1[[#This Row],[Impressions]]</f>
        <v>1.0993025193776327E-2</v>
      </c>
      <c r="T829" s="22">
        <f>Table1[[#This Row],[Sales]]/Table1[[#This Row],[USD_Spend]]</f>
        <v>10.217906090969331</v>
      </c>
      <c r="U829" s="1" t="str">
        <f>Outlier_Check!C839</f>
        <v>Normal</v>
      </c>
    </row>
    <row r="830" spans="1:21" x14ac:dyDescent="0.35">
      <c r="A830" s="3" t="s">
        <v>120</v>
      </c>
      <c r="B830" s="1" t="s">
        <v>35</v>
      </c>
      <c r="C830" s="1" t="s">
        <v>58</v>
      </c>
      <c r="D830" s="1" t="s">
        <v>21</v>
      </c>
      <c r="E830" s="1" t="s">
        <v>38</v>
      </c>
      <c r="F830" s="1" t="s">
        <v>49</v>
      </c>
      <c r="G830" s="2">
        <v>45668</v>
      </c>
      <c r="H830" s="2">
        <v>45722</v>
      </c>
      <c r="I830" s="1">
        <v>29888.35</v>
      </c>
      <c r="J830" s="1">
        <v>0.9859</v>
      </c>
      <c r="K830" s="1">
        <v>29466.92</v>
      </c>
      <c r="L830" s="1">
        <v>544117</v>
      </c>
      <c r="M830" s="1">
        <v>5591</v>
      </c>
      <c r="N830" s="1">
        <v>42302.82</v>
      </c>
      <c r="O830" s="1">
        <v>2025</v>
      </c>
      <c r="P830" s="1" t="s">
        <v>56</v>
      </c>
      <c r="Q830" s="1" t="s">
        <v>40</v>
      </c>
      <c r="R830" s="4" t="s">
        <v>61</v>
      </c>
      <c r="S830" s="25">
        <f>Table1[[#This Row],[Clicks]]/Table1[[#This Row],[Impressions]]</f>
        <v>1.0275363570702625E-2</v>
      </c>
      <c r="T830" s="22">
        <f>Table1[[#This Row],[Sales]]/Table1[[#This Row],[USD_Spend]]</f>
        <v>1.435603721053982</v>
      </c>
      <c r="U830" s="1" t="str">
        <f>Outlier_Check!C840</f>
        <v>Normal</v>
      </c>
    </row>
    <row r="831" spans="1:21" x14ac:dyDescent="0.35">
      <c r="A831" s="3" t="s">
        <v>105</v>
      </c>
      <c r="B831" s="1" t="s">
        <v>48</v>
      </c>
      <c r="C831" s="1" t="s">
        <v>36</v>
      </c>
      <c r="D831" s="1" t="s">
        <v>37</v>
      </c>
      <c r="E831" s="1" t="s">
        <v>22</v>
      </c>
      <c r="F831" s="1" t="s">
        <v>44</v>
      </c>
      <c r="G831" s="2">
        <v>45668</v>
      </c>
      <c r="H831" s="2">
        <v>45716</v>
      </c>
      <c r="I831" s="1">
        <v>17790.89</v>
      </c>
      <c r="J831" s="1">
        <v>0.54959999999999998</v>
      </c>
      <c r="K831" s="1">
        <v>9777.8700000000008</v>
      </c>
      <c r="L831" s="1">
        <v>629284</v>
      </c>
      <c r="M831" s="1">
        <v>4611</v>
      </c>
      <c r="N831" s="1">
        <v>61304.38</v>
      </c>
      <c r="O831" s="1">
        <v>2025</v>
      </c>
      <c r="P831" s="1" t="s">
        <v>56</v>
      </c>
      <c r="Q831" s="1" t="s">
        <v>40</v>
      </c>
      <c r="R831" s="4" t="s">
        <v>54</v>
      </c>
      <c r="S831" s="25">
        <f>Table1[[#This Row],[Clicks]]/Table1[[#This Row],[Impressions]]</f>
        <v>7.327375239160697E-3</v>
      </c>
      <c r="T831" s="22">
        <f>Table1[[#This Row],[Sales]]/Table1[[#This Row],[USD_Spend]]</f>
        <v>6.2697070016271432</v>
      </c>
      <c r="U831" s="1" t="str">
        <f>Outlier_Check!C841</f>
        <v>Normal</v>
      </c>
    </row>
    <row r="832" spans="1:21" x14ac:dyDescent="0.35">
      <c r="A832" s="3" t="s">
        <v>97</v>
      </c>
      <c r="B832" s="1" t="s">
        <v>48</v>
      </c>
      <c r="C832" s="1" t="s">
        <v>69</v>
      </c>
      <c r="D832" s="1" t="s">
        <v>59</v>
      </c>
      <c r="E832" s="1" t="s">
        <v>38</v>
      </c>
      <c r="F832" s="1" t="s">
        <v>23</v>
      </c>
      <c r="G832" s="2">
        <v>45668</v>
      </c>
      <c r="H832" s="2">
        <v>45710</v>
      </c>
      <c r="I832" s="1">
        <v>48853.74</v>
      </c>
      <c r="J832" s="1">
        <v>0.63429999999999997</v>
      </c>
      <c r="K832" s="1">
        <v>30987.93</v>
      </c>
      <c r="L832" s="1">
        <v>306745</v>
      </c>
      <c r="M832" s="1">
        <v>6688</v>
      </c>
      <c r="N832" s="1">
        <v>208993.95</v>
      </c>
      <c r="O832" s="1">
        <v>2025</v>
      </c>
      <c r="P832" s="1" t="s">
        <v>56</v>
      </c>
      <c r="Q832" s="1" t="s">
        <v>40</v>
      </c>
      <c r="R832" s="4" t="s">
        <v>61</v>
      </c>
      <c r="S832" s="25">
        <f>Table1[[#This Row],[Clicks]]/Table1[[#This Row],[Impressions]]</f>
        <v>2.1803126375328042E-2</v>
      </c>
      <c r="T832" s="22">
        <f>Table1[[#This Row],[Sales]]/Table1[[#This Row],[USD_Spend]]</f>
        <v>6.7443662742235446</v>
      </c>
      <c r="U832" s="1" t="str">
        <f>Outlier_Check!C842</f>
        <v>Normal</v>
      </c>
    </row>
    <row r="833" spans="1:21" x14ac:dyDescent="0.35">
      <c r="A833" s="3" t="s">
        <v>118</v>
      </c>
      <c r="B833" s="1" t="s">
        <v>35</v>
      </c>
      <c r="C833" s="1" t="s">
        <v>69</v>
      </c>
      <c r="D833" s="1" t="s">
        <v>51</v>
      </c>
      <c r="E833" s="1" t="s">
        <v>38</v>
      </c>
      <c r="F833" s="1" t="s">
        <v>49</v>
      </c>
      <c r="G833" s="2">
        <v>45669</v>
      </c>
      <c r="H833" s="2">
        <v>45709</v>
      </c>
      <c r="I833" s="1">
        <v>49942.239999999998</v>
      </c>
      <c r="J833" s="1">
        <v>1.0551999999999999</v>
      </c>
      <c r="K833" s="1">
        <v>52699.05</v>
      </c>
      <c r="L833" s="1">
        <v>231092</v>
      </c>
      <c r="M833" s="1">
        <v>40106</v>
      </c>
      <c r="N833" s="1">
        <v>128680.96000000001</v>
      </c>
      <c r="O833" s="1">
        <v>2025</v>
      </c>
      <c r="P833" s="1" t="s">
        <v>56</v>
      </c>
      <c r="Q833" s="1" t="s">
        <v>40</v>
      </c>
      <c r="R833" s="4" t="s">
        <v>41</v>
      </c>
      <c r="S833" s="25">
        <f>Table1[[#This Row],[Clicks]]/Table1[[#This Row],[Impressions]]</f>
        <v>0.17354992816713691</v>
      </c>
      <c r="T833" s="22">
        <f>Table1[[#This Row],[Sales]]/Table1[[#This Row],[USD_Spend]]</f>
        <v>2.4418079642801911</v>
      </c>
      <c r="U833" s="1" t="str">
        <f>Outlier_Check!C843</f>
        <v>Normal</v>
      </c>
    </row>
    <row r="834" spans="1:21" x14ac:dyDescent="0.35">
      <c r="A834" s="3" t="s">
        <v>114</v>
      </c>
      <c r="B834" s="1" t="s">
        <v>28</v>
      </c>
      <c r="C834" s="1" t="s">
        <v>20</v>
      </c>
      <c r="D834" s="1" t="s">
        <v>51</v>
      </c>
      <c r="E834" s="1" t="s">
        <v>38</v>
      </c>
      <c r="F834" s="1" t="s">
        <v>44</v>
      </c>
      <c r="G834" s="2">
        <v>45669</v>
      </c>
      <c r="H834" s="2">
        <v>45704</v>
      </c>
      <c r="I834" s="1">
        <v>49492.59</v>
      </c>
      <c r="J834" s="1">
        <v>0.25040000000000001</v>
      </c>
      <c r="K834" s="1">
        <v>12392.94</v>
      </c>
      <c r="L834" s="1">
        <v>765781</v>
      </c>
      <c r="M834" s="1">
        <v>10171</v>
      </c>
      <c r="N834" s="1">
        <v>15733.72</v>
      </c>
      <c r="O834" s="1">
        <v>2025</v>
      </c>
      <c r="P834" s="1" t="s">
        <v>56</v>
      </c>
      <c r="Q834" s="1" t="s">
        <v>40</v>
      </c>
      <c r="R834" s="4" t="s">
        <v>41</v>
      </c>
      <c r="S834" s="25">
        <f>Table1[[#This Row],[Clicks]]/Table1[[#This Row],[Impressions]]</f>
        <v>1.3281865180776228E-2</v>
      </c>
      <c r="T834" s="22">
        <f>Table1[[#This Row],[Sales]]/Table1[[#This Row],[USD_Spend]]</f>
        <v>1.2695712236160264</v>
      </c>
      <c r="U834" s="1" t="str">
        <f>Outlier_Check!C844</f>
        <v>Normal</v>
      </c>
    </row>
    <row r="835" spans="1:21" x14ac:dyDescent="0.35">
      <c r="A835" s="3" t="s">
        <v>99</v>
      </c>
      <c r="B835" s="1" t="s">
        <v>48</v>
      </c>
      <c r="C835" s="1" t="s">
        <v>20</v>
      </c>
      <c r="D835" s="1" t="s">
        <v>51</v>
      </c>
      <c r="E835" s="1" t="s">
        <v>30</v>
      </c>
      <c r="F835" s="1" t="s">
        <v>49</v>
      </c>
      <c r="G835" s="2">
        <v>45669</v>
      </c>
      <c r="H835" s="2">
        <v>45688</v>
      </c>
      <c r="I835" s="1">
        <v>27051.39</v>
      </c>
      <c r="J835" s="1">
        <v>0.23549999999999999</v>
      </c>
      <c r="K835" s="1">
        <v>6370.6</v>
      </c>
      <c r="L835" s="1">
        <v>561752</v>
      </c>
      <c r="M835" s="1">
        <v>43149</v>
      </c>
      <c r="N835" s="1">
        <v>65946.94</v>
      </c>
      <c r="O835" s="1">
        <v>2025</v>
      </c>
      <c r="P835" s="1" t="s">
        <v>56</v>
      </c>
      <c r="Q835" s="1" t="s">
        <v>40</v>
      </c>
      <c r="R835" s="4" t="s">
        <v>26</v>
      </c>
      <c r="S835" s="25">
        <f>Table1[[#This Row],[Clicks]]/Table1[[#This Row],[Impressions]]</f>
        <v>7.6811475526566877E-2</v>
      </c>
      <c r="T835" s="22">
        <f>Table1[[#This Row],[Sales]]/Table1[[#This Row],[USD_Spend]]</f>
        <v>10.351762785294948</v>
      </c>
      <c r="U835" s="1" t="str">
        <f>Outlier_Check!C845</f>
        <v>Normal</v>
      </c>
    </row>
    <row r="836" spans="1:21" x14ac:dyDescent="0.35">
      <c r="A836" s="3" t="s">
        <v>34</v>
      </c>
      <c r="B836" s="1" t="s">
        <v>19</v>
      </c>
      <c r="C836" s="1" t="s">
        <v>36</v>
      </c>
      <c r="D836" s="1" t="s">
        <v>43</v>
      </c>
      <c r="E836" s="1" t="s">
        <v>38</v>
      </c>
      <c r="F836" s="1" t="s">
        <v>31</v>
      </c>
      <c r="G836" s="2">
        <v>45670</v>
      </c>
      <c r="H836" s="2">
        <v>45728</v>
      </c>
      <c r="I836" s="1">
        <v>31455</v>
      </c>
      <c r="J836" s="1">
        <v>1.0402</v>
      </c>
      <c r="K836" s="1">
        <v>32719.49</v>
      </c>
      <c r="L836" s="1">
        <v>830628</v>
      </c>
      <c r="M836" s="1">
        <v>47890</v>
      </c>
      <c r="N836" s="1">
        <v>232498.79</v>
      </c>
      <c r="O836" s="1">
        <v>2025</v>
      </c>
      <c r="P836" s="1" t="s">
        <v>56</v>
      </c>
      <c r="Q836" s="1" t="s">
        <v>40</v>
      </c>
      <c r="R836" s="4" t="s">
        <v>54</v>
      </c>
      <c r="S836" s="25">
        <f>Table1[[#This Row],[Clicks]]/Table1[[#This Row],[Impressions]]</f>
        <v>5.7655171749567795E-2</v>
      </c>
      <c r="T836" s="22">
        <f>Table1[[#This Row],[Sales]]/Table1[[#This Row],[USD_Spend]]</f>
        <v>7.1058194977977953</v>
      </c>
      <c r="U836" s="1" t="str">
        <f>Outlier_Check!C846</f>
        <v>Normal</v>
      </c>
    </row>
    <row r="837" spans="1:21" x14ac:dyDescent="0.35">
      <c r="A837" s="3" t="s">
        <v>83</v>
      </c>
      <c r="B837" s="1" t="s">
        <v>19</v>
      </c>
      <c r="C837" s="1" t="s">
        <v>36</v>
      </c>
      <c r="D837" s="1" t="s">
        <v>59</v>
      </c>
      <c r="E837" s="1" t="s">
        <v>38</v>
      </c>
      <c r="F837" s="1" t="s">
        <v>49</v>
      </c>
      <c r="G837" s="2">
        <v>45670</v>
      </c>
      <c r="H837" s="2">
        <v>45715</v>
      </c>
      <c r="I837" s="1">
        <v>9196.8799999999992</v>
      </c>
      <c r="J837" s="1">
        <v>0.69750000000000001</v>
      </c>
      <c r="K837" s="1">
        <v>6414.82</v>
      </c>
      <c r="L837" s="1">
        <v>892725</v>
      </c>
      <c r="M837" s="1">
        <v>22714</v>
      </c>
      <c r="N837" s="1">
        <v>18309.82</v>
      </c>
      <c r="O837" s="1">
        <v>2025</v>
      </c>
      <c r="P837" s="1" t="s">
        <v>56</v>
      </c>
      <c r="Q837" s="1" t="s">
        <v>40</v>
      </c>
      <c r="R837" s="4" t="s">
        <v>54</v>
      </c>
      <c r="S837" s="25">
        <f>Table1[[#This Row],[Clicks]]/Table1[[#This Row],[Impressions]]</f>
        <v>2.5443445629953234E-2</v>
      </c>
      <c r="T837" s="22">
        <f>Table1[[#This Row],[Sales]]/Table1[[#This Row],[USD_Spend]]</f>
        <v>2.8542998868245721</v>
      </c>
      <c r="U837" s="1" t="str">
        <f>Outlier_Check!C847</f>
        <v>Normal</v>
      </c>
    </row>
    <row r="838" spans="1:21" x14ac:dyDescent="0.35">
      <c r="A838" s="3" t="s">
        <v>87</v>
      </c>
      <c r="B838" s="1" t="s">
        <v>19</v>
      </c>
      <c r="C838" s="1" t="s">
        <v>20</v>
      </c>
      <c r="D838" s="1" t="s">
        <v>59</v>
      </c>
      <c r="E838" s="1" t="s">
        <v>22</v>
      </c>
      <c r="F838" s="1" t="s">
        <v>44</v>
      </c>
      <c r="G838" s="2">
        <v>45670</v>
      </c>
      <c r="H838" s="2">
        <v>45697</v>
      </c>
      <c r="I838" s="1">
        <v>48718.69</v>
      </c>
      <c r="J838" s="1">
        <v>0.84619999999999995</v>
      </c>
      <c r="K838" s="1">
        <v>41225.760000000002</v>
      </c>
      <c r="L838" s="1">
        <v>112110</v>
      </c>
      <c r="M838" s="1">
        <v>21813</v>
      </c>
      <c r="N838" s="1">
        <v>104785.21</v>
      </c>
      <c r="O838" s="1">
        <v>2025</v>
      </c>
      <c r="P838" s="1" t="s">
        <v>56</v>
      </c>
      <c r="Q838" s="1" t="s">
        <v>40</v>
      </c>
      <c r="R838" s="4" t="s">
        <v>54</v>
      </c>
      <c r="S838" s="25">
        <f>Table1[[#This Row],[Clicks]]/Table1[[#This Row],[Impressions]]</f>
        <v>0.19456783516189458</v>
      </c>
      <c r="T838" s="22">
        <f>Table1[[#This Row],[Sales]]/Table1[[#This Row],[USD_Spend]]</f>
        <v>2.5417411346691972</v>
      </c>
      <c r="U838" s="1" t="str">
        <f>Outlier_Check!C848</f>
        <v>Normal</v>
      </c>
    </row>
    <row r="839" spans="1:21" x14ac:dyDescent="0.35">
      <c r="A839" s="3" t="s">
        <v>110</v>
      </c>
      <c r="B839" s="1" t="s">
        <v>48</v>
      </c>
      <c r="C839" s="1" t="s">
        <v>36</v>
      </c>
      <c r="D839" s="1" t="s">
        <v>59</v>
      </c>
      <c r="E839" s="1" t="s">
        <v>30</v>
      </c>
      <c r="F839" s="1" t="s">
        <v>49</v>
      </c>
      <c r="G839" s="2">
        <v>45671</v>
      </c>
      <c r="H839" s="2">
        <v>45728</v>
      </c>
      <c r="I839" s="1">
        <v>32626.71</v>
      </c>
      <c r="J839" s="1">
        <v>0.18579999999999999</v>
      </c>
      <c r="K839" s="1">
        <v>6062.04</v>
      </c>
      <c r="L839" s="1">
        <v>117798</v>
      </c>
      <c r="M839" s="1">
        <v>9697</v>
      </c>
      <c r="N839" s="1">
        <v>67712.210000000006</v>
      </c>
      <c r="O839" s="1">
        <v>2025</v>
      </c>
      <c r="P839" s="1" t="s">
        <v>56</v>
      </c>
      <c r="Q839" s="1" t="s">
        <v>40</v>
      </c>
      <c r="R839" s="4" t="s">
        <v>54</v>
      </c>
      <c r="S839" s="25">
        <f>Table1[[#This Row],[Clicks]]/Table1[[#This Row],[Impressions]]</f>
        <v>8.2318884870710873E-2</v>
      </c>
      <c r="T839" s="22">
        <f>Table1[[#This Row],[Sales]]/Table1[[#This Row],[USD_Spend]]</f>
        <v>11.169871858318324</v>
      </c>
      <c r="U839" s="1" t="str">
        <f>Outlier_Check!C849</f>
        <v>Normal</v>
      </c>
    </row>
    <row r="840" spans="1:21" x14ac:dyDescent="0.35">
      <c r="A840" s="3" t="s">
        <v>117</v>
      </c>
      <c r="B840" s="1" t="s">
        <v>35</v>
      </c>
      <c r="C840" s="1" t="s">
        <v>36</v>
      </c>
      <c r="D840" s="1" t="s">
        <v>43</v>
      </c>
      <c r="E840" s="1" t="s">
        <v>38</v>
      </c>
      <c r="F840" s="1" t="s">
        <v>23</v>
      </c>
      <c r="G840" s="2">
        <v>45673</v>
      </c>
      <c r="H840" s="2">
        <v>45704</v>
      </c>
      <c r="I840" s="1">
        <v>7838.82</v>
      </c>
      <c r="J840" s="1">
        <v>0.7087</v>
      </c>
      <c r="K840" s="1">
        <v>5555.37</v>
      </c>
      <c r="L840" s="1">
        <v>100259</v>
      </c>
      <c r="M840" s="1">
        <v>9513</v>
      </c>
      <c r="N840" s="1">
        <v>55907.03</v>
      </c>
      <c r="O840" s="1">
        <v>2025</v>
      </c>
      <c r="P840" s="1" t="s">
        <v>56</v>
      </c>
      <c r="Q840" s="1" t="s">
        <v>40</v>
      </c>
      <c r="R840" s="4" t="s">
        <v>26</v>
      </c>
      <c r="S840" s="25">
        <f>Table1[[#This Row],[Clicks]]/Table1[[#This Row],[Impressions]]</f>
        <v>9.4884249793036043E-2</v>
      </c>
      <c r="T840" s="22">
        <f>Table1[[#This Row],[Sales]]/Table1[[#This Row],[USD_Spend]]</f>
        <v>10.063601524290911</v>
      </c>
      <c r="U840" s="1" t="str">
        <f>Outlier_Check!C850</f>
        <v>Normal</v>
      </c>
    </row>
    <row r="841" spans="1:21" x14ac:dyDescent="0.35">
      <c r="A841" s="3" t="s">
        <v>78</v>
      </c>
      <c r="B841" s="1" t="s">
        <v>19</v>
      </c>
      <c r="C841" s="1" t="s">
        <v>29</v>
      </c>
      <c r="D841" s="1" t="s">
        <v>21</v>
      </c>
      <c r="E841" s="1" t="s">
        <v>30</v>
      </c>
      <c r="F841" s="1" t="s">
        <v>23</v>
      </c>
      <c r="G841" s="2">
        <v>45674</v>
      </c>
      <c r="H841" s="2">
        <v>45725</v>
      </c>
      <c r="I841" s="1">
        <v>26793.99</v>
      </c>
      <c r="J841" s="1">
        <v>1.0326</v>
      </c>
      <c r="K841" s="1">
        <v>27667.47</v>
      </c>
      <c r="L841" s="1">
        <v>797042</v>
      </c>
      <c r="M841" s="1">
        <v>18412</v>
      </c>
      <c r="N841" s="1">
        <v>118909.4</v>
      </c>
      <c r="O841" s="1">
        <v>2025</v>
      </c>
      <c r="P841" s="1" t="s">
        <v>56</v>
      </c>
      <c r="Q841" s="1" t="s">
        <v>40</v>
      </c>
      <c r="R841" s="4" t="s">
        <v>41</v>
      </c>
      <c r="S841" s="25">
        <f>Table1[[#This Row],[Clicks]]/Table1[[#This Row],[Impressions]]</f>
        <v>2.3100413779951371E-2</v>
      </c>
      <c r="T841" s="22">
        <f>Table1[[#This Row],[Sales]]/Table1[[#This Row],[USD_Spend]]</f>
        <v>4.2978053287850315</v>
      </c>
      <c r="U841" s="1" t="str">
        <f>Outlier_Check!C851</f>
        <v>Normal</v>
      </c>
    </row>
    <row r="842" spans="1:21" x14ac:dyDescent="0.35">
      <c r="A842" s="3" t="s">
        <v>106</v>
      </c>
      <c r="B842" s="1" t="s">
        <v>35</v>
      </c>
      <c r="C842" s="1" t="s">
        <v>20</v>
      </c>
      <c r="D842" s="1" t="s">
        <v>43</v>
      </c>
      <c r="E842" s="1" t="s">
        <v>38</v>
      </c>
      <c r="F842" s="1" t="s">
        <v>52</v>
      </c>
      <c r="G842" s="2">
        <v>45676</v>
      </c>
      <c r="H842" s="2">
        <v>45689</v>
      </c>
      <c r="I842" s="1">
        <v>5416.54</v>
      </c>
      <c r="J842" s="1">
        <v>0.36120000000000002</v>
      </c>
      <c r="K842" s="1">
        <v>1956.45</v>
      </c>
      <c r="L842" s="1">
        <v>793790</v>
      </c>
      <c r="M842" s="1">
        <v>27330</v>
      </c>
      <c r="N842" s="1">
        <v>48031.82</v>
      </c>
      <c r="O842" s="1">
        <v>2025</v>
      </c>
      <c r="P842" s="1" t="s">
        <v>56</v>
      </c>
      <c r="Q842" s="1" t="s">
        <v>40</v>
      </c>
      <c r="R842" s="4" t="s">
        <v>41</v>
      </c>
      <c r="S842" s="25">
        <f>Table1[[#This Row],[Clicks]]/Table1[[#This Row],[Impressions]]</f>
        <v>3.4429761019917106E-2</v>
      </c>
      <c r="T842" s="22">
        <f>Table1[[#This Row],[Sales]]/Table1[[#This Row],[USD_Spend]]</f>
        <v>24.550497073781592</v>
      </c>
      <c r="U842" s="1" t="str">
        <f>Outlier_Check!C852</f>
        <v>Normal</v>
      </c>
    </row>
    <row r="843" spans="1:21" x14ac:dyDescent="0.35">
      <c r="A843" s="3" t="s">
        <v>100</v>
      </c>
      <c r="B843" s="1" t="s">
        <v>28</v>
      </c>
      <c r="C843" s="1" t="s">
        <v>20</v>
      </c>
      <c r="D843" s="1" t="s">
        <v>59</v>
      </c>
      <c r="E843" s="1" t="s">
        <v>22</v>
      </c>
      <c r="F843" s="1" t="s">
        <v>44</v>
      </c>
      <c r="G843" s="2">
        <v>45678</v>
      </c>
      <c r="H843" s="2">
        <v>45723</v>
      </c>
      <c r="I843" s="1">
        <v>4746.66</v>
      </c>
      <c r="J843" s="1">
        <v>9.9699999999999997E-2</v>
      </c>
      <c r="K843" s="1">
        <v>473.24</v>
      </c>
      <c r="L843" s="1">
        <v>29535</v>
      </c>
      <c r="M843" s="1">
        <v>33338</v>
      </c>
      <c r="N843" s="1">
        <v>159748.49</v>
      </c>
      <c r="O843" s="1">
        <v>2025</v>
      </c>
      <c r="P843" s="1" t="s">
        <v>56</v>
      </c>
      <c r="Q843" s="1" t="s">
        <v>40</v>
      </c>
      <c r="R843" s="4" t="s">
        <v>41</v>
      </c>
      <c r="S843" s="25">
        <f>Table1[[#This Row],[Clicks]]/Table1[[#This Row],[Impressions]]</f>
        <v>1.1287624851870661</v>
      </c>
      <c r="T843" s="22">
        <f>Table1[[#This Row],[Sales]]/Table1[[#This Row],[USD_Spend]]</f>
        <v>337.56337165074802</v>
      </c>
      <c r="U843" s="1" t="str">
        <f>Outlier_Check!C853</f>
        <v>Normal</v>
      </c>
    </row>
    <row r="844" spans="1:21" x14ac:dyDescent="0.35">
      <c r="A844" s="3" t="s">
        <v>94</v>
      </c>
      <c r="B844" s="1" t="s">
        <v>35</v>
      </c>
      <c r="C844" s="1" t="s">
        <v>20</v>
      </c>
      <c r="D844" s="1" t="s">
        <v>59</v>
      </c>
      <c r="E844" s="1" t="s">
        <v>38</v>
      </c>
      <c r="F844" s="1" t="s">
        <v>49</v>
      </c>
      <c r="G844" s="2">
        <v>45680</v>
      </c>
      <c r="H844" s="2">
        <v>45736</v>
      </c>
      <c r="I844" s="1">
        <v>46163.29</v>
      </c>
      <c r="J844" s="1">
        <v>1.0853999999999999</v>
      </c>
      <c r="K844" s="1">
        <v>50105.63</v>
      </c>
      <c r="L844" s="1">
        <v>642829</v>
      </c>
      <c r="M844" s="1">
        <v>8704</v>
      </c>
      <c r="N844" s="1">
        <v>92965.84</v>
      </c>
      <c r="O844" s="1">
        <v>2025</v>
      </c>
      <c r="P844" s="1" t="s">
        <v>56</v>
      </c>
      <c r="Q844" s="1" t="s">
        <v>40</v>
      </c>
      <c r="R844" s="4" t="s">
        <v>54</v>
      </c>
      <c r="S844" s="25">
        <f>Table1[[#This Row],[Clicks]]/Table1[[#This Row],[Impressions]]</f>
        <v>1.3540148313159488E-2</v>
      </c>
      <c r="T844" s="22">
        <f>Table1[[#This Row],[Sales]]/Table1[[#This Row],[USD_Spend]]</f>
        <v>1.8553970881116553</v>
      </c>
      <c r="U844" s="1" t="str">
        <f>Outlier_Check!C854</f>
        <v>Normal</v>
      </c>
    </row>
    <row r="845" spans="1:21" x14ac:dyDescent="0.35">
      <c r="A845" s="3" t="s">
        <v>83</v>
      </c>
      <c r="B845" s="1" t="s">
        <v>35</v>
      </c>
      <c r="C845" s="1" t="s">
        <v>29</v>
      </c>
      <c r="D845" s="1" t="s">
        <v>37</v>
      </c>
      <c r="E845" s="1" t="s">
        <v>30</v>
      </c>
      <c r="F845" s="1" t="s">
        <v>52</v>
      </c>
      <c r="G845" s="2">
        <v>45680</v>
      </c>
      <c r="H845" s="2">
        <v>45731</v>
      </c>
      <c r="I845" s="1">
        <v>24691.67</v>
      </c>
      <c r="J845" s="1">
        <v>0.437</v>
      </c>
      <c r="K845" s="1">
        <v>10790.26</v>
      </c>
      <c r="L845" s="1">
        <v>239448</v>
      </c>
      <c r="M845" s="1">
        <v>32058</v>
      </c>
      <c r="N845" s="1">
        <v>61778.73</v>
      </c>
      <c r="O845" s="1">
        <v>2025</v>
      </c>
      <c r="P845" s="1" t="s">
        <v>56</v>
      </c>
      <c r="Q845" s="1" t="s">
        <v>40</v>
      </c>
      <c r="R845" s="4" t="s">
        <v>41</v>
      </c>
      <c r="S845" s="25">
        <f>Table1[[#This Row],[Clicks]]/Table1[[#This Row],[Impressions]]</f>
        <v>0.13388293074070362</v>
      </c>
      <c r="T845" s="22">
        <f>Table1[[#This Row],[Sales]]/Table1[[#This Row],[USD_Spend]]</f>
        <v>5.7254162550299998</v>
      </c>
      <c r="U845" s="1" t="str">
        <f>Outlier_Check!C855</f>
        <v>Normal</v>
      </c>
    </row>
    <row r="846" spans="1:21" x14ac:dyDescent="0.35">
      <c r="A846" s="3" t="s">
        <v>85</v>
      </c>
      <c r="B846" s="1" t="s">
        <v>48</v>
      </c>
      <c r="C846" s="1" t="s">
        <v>36</v>
      </c>
      <c r="D846" s="1" t="s">
        <v>21</v>
      </c>
      <c r="E846" s="1" t="s">
        <v>22</v>
      </c>
      <c r="F846" s="1" t="s">
        <v>49</v>
      </c>
      <c r="G846" s="2">
        <v>45681</v>
      </c>
      <c r="H846" s="2">
        <v>45707</v>
      </c>
      <c r="I846" s="1">
        <v>39336.94</v>
      </c>
      <c r="J846" s="1">
        <v>0.49990000000000001</v>
      </c>
      <c r="K846" s="1">
        <v>19664.54</v>
      </c>
      <c r="L846" s="1">
        <v>712448</v>
      </c>
      <c r="M846" s="1">
        <v>48272</v>
      </c>
      <c r="N846" s="1">
        <v>203633.58</v>
      </c>
      <c r="O846" s="1">
        <v>2025</v>
      </c>
      <c r="P846" s="1" t="s">
        <v>56</v>
      </c>
      <c r="Q846" s="1" t="s">
        <v>40</v>
      </c>
      <c r="R846" s="4" t="s">
        <v>61</v>
      </c>
      <c r="S846" s="25">
        <f>Table1[[#This Row],[Clicks]]/Table1[[#This Row],[Impressions]]</f>
        <v>6.775512037369745E-2</v>
      </c>
      <c r="T846" s="22">
        <f>Table1[[#This Row],[Sales]]/Table1[[#This Row],[USD_Spend]]</f>
        <v>10.355369614544758</v>
      </c>
      <c r="U846" s="1" t="str">
        <f>Outlier_Check!C856</f>
        <v>Normal</v>
      </c>
    </row>
    <row r="847" spans="1:21" x14ac:dyDescent="0.35">
      <c r="A847" s="3" t="s">
        <v>109</v>
      </c>
      <c r="B847" s="1" t="s">
        <v>35</v>
      </c>
      <c r="C847" s="1" t="s">
        <v>58</v>
      </c>
      <c r="D847" s="1" t="s">
        <v>43</v>
      </c>
      <c r="E847" s="1" t="s">
        <v>22</v>
      </c>
      <c r="F847" s="1" t="s">
        <v>49</v>
      </c>
      <c r="G847" s="2">
        <v>45681</v>
      </c>
      <c r="H847" s="2">
        <v>45691</v>
      </c>
      <c r="I847" s="1">
        <v>15107.68</v>
      </c>
      <c r="J847" s="1">
        <v>1.0584</v>
      </c>
      <c r="K847" s="1">
        <v>15989.97</v>
      </c>
      <c r="L847" s="1">
        <v>488472</v>
      </c>
      <c r="M847" s="1">
        <v>22826</v>
      </c>
      <c r="N847" s="1">
        <v>176577.55</v>
      </c>
      <c r="O847" s="1">
        <v>2025</v>
      </c>
      <c r="P847" s="1" t="s">
        <v>56</v>
      </c>
      <c r="Q847" s="1" t="s">
        <v>40</v>
      </c>
      <c r="R847" s="4" t="s">
        <v>61</v>
      </c>
      <c r="S847" s="25">
        <f>Table1[[#This Row],[Clicks]]/Table1[[#This Row],[Impressions]]</f>
        <v>4.6729392882294177E-2</v>
      </c>
      <c r="T847" s="22">
        <f>Table1[[#This Row],[Sales]]/Table1[[#This Row],[USD_Spend]]</f>
        <v>11.043019467828895</v>
      </c>
      <c r="U847" s="1" t="str">
        <f>Outlier_Check!C857</f>
        <v>Normal</v>
      </c>
    </row>
    <row r="848" spans="1:21" x14ac:dyDescent="0.35">
      <c r="A848" s="3" t="s">
        <v>71</v>
      </c>
      <c r="B848" s="1" t="s">
        <v>28</v>
      </c>
      <c r="C848" s="1" t="s">
        <v>69</v>
      </c>
      <c r="D848" s="1" t="s">
        <v>37</v>
      </c>
      <c r="E848" s="1" t="s">
        <v>22</v>
      </c>
      <c r="F848" s="1" t="s">
        <v>31</v>
      </c>
      <c r="G848" s="2">
        <v>45683</v>
      </c>
      <c r="H848" s="2">
        <v>45709</v>
      </c>
      <c r="I848" s="1">
        <v>7579.08</v>
      </c>
      <c r="J848" s="1">
        <v>0.38790000000000002</v>
      </c>
      <c r="K848" s="1">
        <v>2939.93</v>
      </c>
      <c r="L848" s="1">
        <v>835198</v>
      </c>
      <c r="M848" s="1">
        <v>49939</v>
      </c>
      <c r="N848" s="1">
        <v>14703.83</v>
      </c>
      <c r="O848" s="1">
        <v>2025</v>
      </c>
      <c r="P848" s="1" t="s">
        <v>56</v>
      </c>
      <c r="Q848" s="1" t="s">
        <v>40</v>
      </c>
      <c r="R848" s="4" t="s">
        <v>41</v>
      </c>
      <c r="S848" s="25">
        <f>Table1[[#This Row],[Clicks]]/Table1[[#This Row],[Impressions]]</f>
        <v>5.9793007167162758E-2</v>
      </c>
      <c r="T848" s="22">
        <f>Table1[[#This Row],[Sales]]/Table1[[#This Row],[USD_Spend]]</f>
        <v>5.0014218025599249</v>
      </c>
      <c r="U848" s="1" t="str">
        <f>Outlier_Check!C858</f>
        <v>Normal</v>
      </c>
    </row>
    <row r="849" spans="1:21" x14ac:dyDescent="0.35">
      <c r="A849" s="3" t="s">
        <v>64</v>
      </c>
      <c r="B849" s="1" t="s">
        <v>48</v>
      </c>
      <c r="C849" s="1" t="s">
        <v>69</v>
      </c>
      <c r="D849" s="1" t="s">
        <v>21</v>
      </c>
      <c r="E849" s="1" t="s">
        <v>22</v>
      </c>
      <c r="F849" s="1" t="s">
        <v>23</v>
      </c>
      <c r="G849" s="2">
        <v>45683</v>
      </c>
      <c r="H849" s="2">
        <v>45707</v>
      </c>
      <c r="I849" s="1">
        <v>42775.63</v>
      </c>
      <c r="J849" s="1">
        <v>0.8286</v>
      </c>
      <c r="K849" s="1">
        <v>35443.89</v>
      </c>
      <c r="L849" s="1">
        <v>188501</v>
      </c>
      <c r="M849" s="1">
        <v>20751</v>
      </c>
      <c r="N849" s="1">
        <v>171953.41</v>
      </c>
      <c r="O849" s="1">
        <v>2025</v>
      </c>
      <c r="P849" s="1" t="s">
        <v>56</v>
      </c>
      <c r="Q849" s="1" t="s">
        <v>40</v>
      </c>
      <c r="R849" s="4" t="s">
        <v>54</v>
      </c>
      <c r="S849" s="25">
        <f>Table1[[#This Row],[Clicks]]/Table1[[#This Row],[Impressions]]</f>
        <v>0.11008429663503111</v>
      </c>
      <c r="T849" s="22">
        <f>Table1[[#This Row],[Sales]]/Table1[[#This Row],[USD_Spend]]</f>
        <v>4.8514260144696308</v>
      </c>
      <c r="U849" s="1" t="str">
        <f>Outlier_Check!C859</f>
        <v>Normal</v>
      </c>
    </row>
    <row r="850" spans="1:21" x14ac:dyDescent="0.35">
      <c r="A850" s="3" t="s">
        <v>90</v>
      </c>
      <c r="B850" s="1" t="s">
        <v>28</v>
      </c>
      <c r="C850" s="1" t="s">
        <v>36</v>
      </c>
      <c r="D850" s="1" t="s">
        <v>37</v>
      </c>
      <c r="E850" s="1" t="s">
        <v>22</v>
      </c>
      <c r="F850" s="1" t="s">
        <v>44</v>
      </c>
      <c r="G850" s="2">
        <v>45687</v>
      </c>
      <c r="H850" s="2">
        <v>45741</v>
      </c>
      <c r="I850" s="1">
        <v>29856.639999999999</v>
      </c>
      <c r="J850" s="1">
        <v>0.72960000000000003</v>
      </c>
      <c r="K850" s="1">
        <v>21783.4</v>
      </c>
      <c r="L850" s="1">
        <v>259825</v>
      </c>
      <c r="M850" s="1">
        <v>42714</v>
      </c>
      <c r="N850" s="1">
        <v>72607</v>
      </c>
      <c r="O850" s="1">
        <v>2025</v>
      </c>
      <c r="P850" s="1" t="s">
        <v>56</v>
      </c>
      <c r="Q850" s="1" t="s">
        <v>40</v>
      </c>
      <c r="R850" s="4" t="s">
        <v>26</v>
      </c>
      <c r="S850" s="25">
        <f>Table1[[#This Row],[Clicks]]/Table1[[#This Row],[Impressions]]</f>
        <v>0.16439526604445301</v>
      </c>
      <c r="T850" s="22">
        <f>Table1[[#This Row],[Sales]]/Table1[[#This Row],[USD_Spend]]</f>
        <v>3.3331344050974594</v>
      </c>
      <c r="U850" s="1" t="str">
        <f>Outlier_Check!C860</f>
        <v>Normal</v>
      </c>
    </row>
    <row r="851" spans="1:21" x14ac:dyDescent="0.35">
      <c r="A851" s="3" t="s">
        <v>98</v>
      </c>
      <c r="B851" s="1" t="s">
        <v>48</v>
      </c>
      <c r="C851" s="1" t="s">
        <v>20</v>
      </c>
      <c r="D851" s="1" t="s">
        <v>43</v>
      </c>
      <c r="E851" s="1" t="s">
        <v>38</v>
      </c>
      <c r="F851" s="1" t="s">
        <v>49</v>
      </c>
      <c r="G851" s="2">
        <v>45687</v>
      </c>
      <c r="H851" s="2">
        <v>45698</v>
      </c>
      <c r="I851" s="1">
        <v>7193.5</v>
      </c>
      <c r="J851" s="1">
        <v>5.0599999999999999E-2</v>
      </c>
      <c r="K851" s="1">
        <v>363.99</v>
      </c>
      <c r="L851" s="1">
        <v>462376</v>
      </c>
      <c r="M851" s="1">
        <v>1668</v>
      </c>
      <c r="N851" s="1">
        <v>174061.41</v>
      </c>
      <c r="O851" s="1">
        <v>2025</v>
      </c>
      <c r="P851" s="1" t="s">
        <v>56</v>
      </c>
      <c r="Q851" s="1" t="s">
        <v>40</v>
      </c>
      <c r="R851" s="4" t="s">
        <v>41</v>
      </c>
      <c r="S851" s="25">
        <f>Table1[[#This Row],[Clicks]]/Table1[[#This Row],[Impressions]]</f>
        <v>3.607453674066128E-3</v>
      </c>
      <c r="T851" s="22">
        <f>Table1[[#This Row],[Sales]]/Table1[[#This Row],[USD_Spend]]</f>
        <v>478.20382428088686</v>
      </c>
      <c r="U851" s="1" t="str">
        <f>Outlier_Check!C861</f>
        <v>Normal</v>
      </c>
    </row>
    <row r="852" spans="1:21" x14ac:dyDescent="0.35">
      <c r="A852" s="3" t="s">
        <v>62</v>
      </c>
      <c r="B852" s="1" t="s">
        <v>48</v>
      </c>
      <c r="C852" s="1" t="s">
        <v>20</v>
      </c>
      <c r="D852" s="1" t="s">
        <v>21</v>
      </c>
      <c r="E852" s="1" t="s">
        <v>22</v>
      </c>
      <c r="F852" s="1" t="s">
        <v>23</v>
      </c>
      <c r="G852" s="2">
        <v>45689</v>
      </c>
      <c r="H852" s="2">
        <v>45729</v>
      </c>
      <c r="I852" s="1">
        <v>27409.89</v>
      </c>
      <c r="J852" s="1">
        <v>0.89890000000000003</v>
      </c>
      <c r="K852" s="1">
        <v>24638.75</v>
      </c>
      <c r="L852" s="1">
        <v>459245</v>
      </c>
      <c r="M852" s="1">
        <v>38342</v>
      </c>
      <c r="N852" s="1">
        <v>102853.12</v>
      </c>
      <c r="O852" s="1">
        <v>2025</v>
      </c>
      <c r="P852" s="1" t="s">
        <v>39</v>
      </c>
      <c r="Q852" s="1" t="s">
        <v>40</v>
      </c>
      <c r="R852" s="4" t="s">
        <v>26</v>
      </c>
      <c r="S852" s="25">
        <f>Table1[[#This Row],[Clicks]]/Table1[[#This Row],[Impressions]]</f>
        <v>8.3489205108384409E-2</v>
      </c>
      <c r="T852" s="22">
        <f>Table1[[#This Row],[Sales]]/Table1[[#This Row],[USD_Spend]]</f>
        <v>4.174445538024453</v>
      </c>
      <c r="U852" s="1" t="str">
        <f>Outlier_Check!C862</f>
        <v>Normal</v>
      </c>
    </row>
    <row r="853" spans="1:21" x14ac:dyDescent="0.35">
      <c r="A853" s="3" t="s">
        <v>96</v>
      </c>
      <c r="B853" s="1" t="s">
        <v>19</v>
      </c>
      <c r="C853" s="1" t="s">
        <v>69</v>
      </c>
      <c r="D853" s="1" t="s">
        <v>51</v>
      </c>
      <c r="E853" s="1" t="s">
        <v>30</v>
      </c>
      <c r="F853" s="1" t="s">
        <v>52</v>
      </c>
      <c r="G853" s="2">
        <v>45689</v>
      </c>
      <c r="H853" s="2">
        <v>45715</v>
      </c>
      <c r="I853" s="1">
        <v>13728.69</v>
      </c>
      <c r="J853" s="1">
        <v>0.43880000000000002</v>
      </c>
      <c r="K853" s="1">
        <v>6024.15</v>
      </c>
      <c r="L853" s="1">
        <v>594572</v>
      </c>
      <c r="M853" s="1">
        <v>16989</v>
      </c>
      <c r="N853" s="1">
        <v>89314.37</v>
      </c>
      <c r="O853" s="1">
        <v>2025</v>
      </c>
      <c r="P853" s="1" t="s">
        <v>39</v>
      </c>
      <c r="Q853" s="1" t="s">
        <v>40</v>
      </c>
      <c r="R853" s="4" t="s">
        <v>61</v>
      </c>
      <c r="S853" s="25">
        <f>Table1[[#This Row],[Clicks]]/Table1[[#This Row],[Impressions]]</f>
        <v>2.8573494883714672E-2</v>
      </c>
      <c r="T853" s="22">
        <f>Table1[[#This Row],[Sales]]/Table1[[#This Row],[USD_Spend]]</f>
        <v>14.826053468124133</v>
      </c>
      <c r="U853" s="1" t="str">
        <f>Outlier_Check!C863</f>
        <v>Normal</v>
      </c>
    </row>
    <row r="854" spans="1:21" x14ac:dyDescent="0.35">
      <c r="A854" s="3" t="s">
        <v>106</v>
      </c>
      <c r="B854" s="1" t="s">
        <v>35</v>
      </c>
      <c r="C854" s="1" t="s">
        <v>36</v>
      </c>
      <c r="D854" s="1" t="s">
        <v>63</v>
      </c>
      <c r="E854" s="1" t="s">
        <v>38</v>
      </c>
      <c r="F854" s="1" t="s">
        <v>31</v>
      </c>
      <c r="G854" s="2">
        <v>45690</v>
      </c>
      <c r="H854" s="2">
        <v>45747</v>
      </c>
      <c r="I854" s="1">
        <v>38655.660000000003</v>
      </c>
      <c r="J854" s="1">
        <v>1.0161</v>
      </c>
      <c r="K854" s="1">
        <v>39278.019999999997</v>
      </c>
      <c r="L854" s="1">
        <v>209903</v>
      </c>
      <c r="M854" s="1">
        <v>46344</v>
      </c>
      <c r="N854" s="1">
        <v>152988.34</v>
      </c>
      <c r="O854" s="1">
        <v>2025</v>
      </c>
      <c r="P854" s="1" t="s">
        <v>39</v>
      </c>
      <c r="Q854" s="1" t="s">
        <v>40</v>
      </c>
      <c r="R854" s="4" t="s">
        <v>54</v>
      </c>
      <c r="S854" s="25">
        <f>Table1[[#This Row],[Clicks]]/Table1[[#This Row],[Impressions]]</f>
        <v>0.22078769717440913</v>
      </c>
      <c r="T854" s="22">
        <f>Table1[[#This Row],[Sales]]/Table1[[#This Row],[USD_Spend]]</f>
        <v>3.8950115102543359</v>
      </c>
      <c r="U854" s="1" t="str">
        <f>Outlier_Check!C864</f>
        <v>Normal</v>
      </c>
    </row>
    <row r="855" spans="1:21" x14ac:dyDescent="0.35">
      <c r="A855" s="3" t="s">
        <v>93</v>
      </c>
      <c r="B855" s="1" t="s">
        <v>48</v>
      </c>
      <c r="C855" s="1" t="s">
        <v>58</v>
      </c>
      <c r="D855" s="1" t="s">
        <v>51</v>
      </c>
      <c r="E855" s="1" t="s">
        <v>30</v>
      </c>
      <c r="F855" s="1" t="s">
        <v>23</v>
      </c>
      <c r="G855" s="2">
        <v>45692</v>
      </c>
      <c r="H855" s="2">
        <v>45722</v>
      </c>
      <c r="I855" s="1">
        <v>15481.56</v>
      </c>
      <c r="J855" s="1">
        <v>7.4899999999999994E-2</v>
      </c>
      <c r="K855" s="1">
        <v>1159.57</v>
      </c>
      <c r="L855" s="1">
        <v>951529</v>
      </c>
      <c r="M855" s="1">
        <v>15785</v>
      </c>
      <c r="N855" s="1">
        <v>126247.49</v>
      </c>
      <c r="O855" s="1">
        <v>2025</v>
      </c>
      <c r="P855" s="1" t="s">
        <v>39</v>
      </c>
      <c r="Q855" s="1" t="s">
        <v>40</v>
      </c>
      <c r="R855" s="4" t="s">
        <v>26</v>
      </c>
      <c r="S855" s="25">
        <f>Table1[[#This Row],[Clicks]]/Table1[[#This Row],[Impressions]]</f>
        <v>1.658908977025398E-2</v>
      </c>
      <c r="T855" s="22">
        <f>Table1[[#This Row],[Sales]]/Table1[[#This Row],[USD_Spend]]</f>
        <v>108.87440171787819</v>
      </c>
      <c r="U855" s="1" t="str">
        <f>Outlier_Check!C865</f>
        <v>Normal</v>
      </c>
    </row>
    <row r="856" spans="1:21" x14ac:dyDescent="0.35">
      <c r="A856" s="3" t="s">
        <v>77</v>
      </c>
      <c r="B856" s="1" t="s">
        <v>19</v>
      </c>
      <c r="C856" s="1" t="s">
        <v>29</v>
      </c>
      <c r="D856" s="1" t="s">
        <v>37</v>
      </c>
      <c r="E856" s="1" t="s">
        <v>30</v>
      </c>
      <c r="F856" s="1" t="s">
        <v>23</v>
      </c>
      <c r="G856" s="2">
        <v>45692</v>
      </c>
      <c r="H856" s="2">
        <v>45717</v>
      </c>
      <c r="I856" s="1">
        <v>3801.1</v>
      </c>
      <c r="J856" s="1">
        <v>0.70520000000000005</v>
      </c>
      <c r="K856" s="1">
        <v>2680.54</v>
      </c>
      <c r="L856" s="1">
        <v>537276</v>
      </c>
      <c r="M856" s="1">
        <v>34907</v>
      </c>
      <c r="N856" s="1">
        <v>43571.02</v>
      </c>
      <c r="O856" s="1">
        <v>2025</v>
      </c>
      <c r="P856" s="1" t="s">
        <v>39</v>
      </c>
      <c r="Q856" s="1" t="s">
        <v>40</v>
      </c>
      <c r="R856" s="4" t="s">
        <v>61</v>
      </c>
      <c r="S856" s="25">
        <f>Table1[[#This Row],[Clicks]]/Table1[[#This Row],[Impressions]]</f>
        <v>6.4970331822005817E-2</v>
      </c>
      <c r="T856" s="22">
        <f>Table1[[#This Row],[Sales]]/Table1[[#This Row],[USD_Spend]]</f>
        <v>16.254568109410791</v>
      </c>
      <c r="U856" s="1" t="str">
        <f>Outlier_Check!C866</f>
        <v>Normal</v>
      </c>
    </row>
    <row r="857" spans="1:21" x14ac:dyDescent="0.35">
      <c r="A857" s="3" t="s">
        <v>101</v>
      </c>
      <c r="B857" s="1" t="s">
        <v>19</v>
      </c>
      <c r="C857" s="1" t="s">
        <v>58</v>
      </c>
      <c r="D857" s="1" t="s">
        <v>51</v>
      </c>
      <c r="E857" s="1" t="s">
        <v>22</v>
      </c>
      <c r="F857" s="1" t="s">
        <v>52</v>
      </c>
      <c r="G857" s="2">
        <v>45692</v>
      </c>
      <c r="H857" s="2">
        <v>45702</v>
      </c>
      <c r="I857" s="1">
        <v>29457.759999999998</v>
      </c>
      <c r="J857" s="1">
        <v>0.61150000000000004</v>
      </c>
      <c r="K857" s="1">
        <v>18013.419999999998</v>
      </c>
      <c r="L857" s="1">
        <v>678169</v>
      </c>
      <c r="M857" s="1">
        <v>25944</v>
      </c>
      <c r="N857" s="1">
        <v>23333.47</v>
      </c>
      <c r="O857" s="1">
        <v>2025</v>
      </c>
      <c r="P857" s="1" t="s">
        <v>39</v>
      </c>
      <c r="Q857" s="1" t="s">
        <v>40</v>
      </c>
      <c r="R857" s="4" t="s">
        <v>41</v>
      </c>
      <c r="S857" s="25">
        <f>Table1[[#This Row],[Clicks]]/Table1[[#This Row],[Impressions]]</f>
        <v>3.8255950950279352E-2</v>
      </c>
      <c r="T857" s="22">
        <f>Table1[[#This Row],[Sales]]/Table1[[#This Row],[USD_Spend]]</f>
        <v>1.2953381423405441</v>
      </c>
      <c r="U857" s="1" t="str">
        <f>Outlier_Check!C867</f>
        <v>Normal</v>
      </c>
    </row>
    <row r="858" spans="1:21" x14ac:dyDescent="0.35">
      <c r="A858" s="3" t="s">
        <v>94</v>
      </c>
      <c r="B858" s="1" t="s">
        <v>35</v>
      </c>
      <c r="C858" s="1" t="s">
        <v>29</v>
      </c>
      <c r="D858" s="1" t="s">
        <v>37</v>
      </c>
      <c r="E858" s="1" t="s">
        <v>38</v>
      </c>
      <c r="F858" s="1" t="s">
        <v>44</v>
      </c>
      <c r="G858" s="2">
        <v>45692</v>
      </c>
      <c r="H858" s="2">
        <v>45698</v>
      </c>
      <c r="I858" s="1">
        <v>18497.599999999999</v>
      </c>
      <c r="J858" s="1">
        <v>9.0399999999999994E-2</v>
      </c>
      <c r="K858" s="1">
        <v>1672.18</v>
      </c>
      <c r="L858" s="1">
        <v>262838</v>
      </c>
      <c r="M858" s="1">
        <v>48134</v>
      </c>
      <c r="N858" s="1">
        <v>165990.57999999999</v>
      </c>
      <c r="O858" s="1">
        <v>2025</v>
      </c>
      <c r="P858" s="1" t="s">
        <v>39</v>
      </c>
      <c r="Q858" s="1" t="s">
        <v>40</v>
      </c>
      <c r="R858" s="4" t="s">
        <v>41</v>
      </c>
      <c r="S858" s="25">
        <f>Table1[[#This Row],[Clicks]]/Table1[[#This Row],[Impressions]]</f>
        <v>0.18313181503435577</v>
      </c>
      <c r="T858" s="22">
        <f>Table1[[#This Row],[Sales]]/Table1[[#This Row],[USD_Spend]]</f>
        <v>99.26597615089284</v>
      </c>
      <c r="U858" s="1" t="str">
        <f>Outlier_Check!C868</f>
        <v>Normal</v>
      </c>
    </row>
    <row r="859" spans="1:21" x14ac:dyDescent="0.35">
      <c r="A859" s="3" t="s">
        <v>94</v>
      </c>
      <c r="B859" s="1" t="s">
        <v>35</v>
      </c>
      <c r="C859" s="1" t="s">
        <v>69</v>
      </c>
      <c r="D859" s="1" t="s">
        <v>21</v>
      </c>
      <c r="E859" s="1" t="s">
        <v>30</v>
      </c>
      <c r="F859" s="1" t="s">
        <v>44</v>
      </c>
      <c r="G859" s="2">
        <v>45693</v>
      </c>
      <c r="H859" s="2">
        <v>45753</v>
      </c>
      <c r="I859" s="1">
        <v>46375.95</v>
      </c>
      <c r="J859" s="1">
        <v>1.0532999999999999</v>
      </c>
      <c r="K859" s="1">
        <v>48847.79</v>
      </c>
      <c r="L859" s="1">
        <v>19717</v>
      </c>
      <c r="M859" s="1">
        <v>19655</v>
      </c>
      <c r="N859" s="1">
        <v>144150.66</v>
      </c>
      <c r="O859" s="1">
        <v>2025</v>
      </c>
      <c r="P859" s="1" t="s">
        <v>39</v>
      </c>
      <c r="Q859" s="1" t="s">
        <v>40</v>
      </c>
      <c r="R859" s="4" t="s">
        <v>54</v>
      </c>
      <c r="S859" s="25">
        <f>Table1[[#This Row],[Clicks]]/Table1[[#This Row],[Impressions]]</f>
        <v>0.9968555054014302</v>
      </c>
      <c r="T859" s="22">
        <f>Table1[[#This Row],[Sales]]/Table1[[#This Row],[USD_Spend]]</f>
        <v>2.9510170265635356</v>
      </c>
      <c r="U859" s="1" t="str">
        <f>Outlier_Check!C869</f>
        <v>Normal</v>
      </c>
    </row>
    <row r="860" spans="1:21" x14ac:dyDescent="0.35">
      <c r="A860" s="3" t="s">
        <v>120</v>
      </c>
      <c r="B860" s="1" t="s">
        <v>48</v>
      </c>
      <c r="C860" s="1" t="s">
        <v>58</v>
      </c>
      <c r="D860" s="1" t="s">
        <v>37</v>
      </c>
      <c r="E860" s="1" t="s">
        <v>22</v>
      </c>
      <c r="F860" s="1" t="s">
        <v>49</v>
      </c>
      <c r="G860" s="2">
        <v>45694</v>
      </c>
      <c r="H860" s="2">
        <v>45731</v>
      </c>
      <c r="I860" s="1">
        <v>41306.019999999997</v>
      </c>
      <c r="J860" s="1">
        <v>0.68030000000000002</v>
      </c>
      <c r="K860" s="1">
        <v>28100.49</v>
      </c>
      <c r="L860" s="1">
        <v>705350</v>
      </c>
      <c r="M860" s="1">
        <v>38482</v>
      </c>
      <c r="N860" s="1">
        <v>57037.06</v>
      </c>
      <c r="O860" s="1">
        <v>2025</v>
      </c>
      <c r="P860" s="1" t="s">
        <v>39</v>
      </c>
      <c r="Q860" s="1" t="s">
        <v>40</v>
      </c>
      <c r="R860" s="4" t="s">
        <v>26</v>
      </c>
      <c r="S860" s="25">
        <f>Table1[[#This Row],[Clicks]]/Table1[[#This Row],[Impressions]]</f>
        <v>5.4557311972779472E-2</v>
      </c>
      <c r="T860" s="22">
        <f>Table1[[#This Row],[Sales]]/Table1[[#This Row],[USD_Spend]]</f>
        <v>2.0297532178264506</v>
      </c>
      <c r="U860" s="1" t="str">
        <f>Outlier_Check!C870</f>
        <v>Normal</v>
      </c>
    </row>
    <row r="861" spans="1:21" x14ac:dyDescent="0.35">
      <c r="A861" s="3" t="s">
        <v>81</v>
      </c>
      <c r="B861" s="1" t="s">
        <v>28</v>
      </c>
      <c r="C861" s="1" t="s">
        <v>58</v>
      </c>
      <c r="D861" s="1" t="s">
        <v>43</v>
      </c>
      <c r="E861" s="1" t="s">
        <v>22</v>
      </c>
      <c r="F861" s="1" t="s">
        <v>31</v>
      </c>
      <c r="G861" s="2">
        <v>45696</v>
      </c>
      <c r="H861" s="2">
        <v>45725</v>
      </c>
      <c r="I861" s="1">
        <v>9852.9500000000007</v>
      </c>
      <c r="J861" s="1">
        <v>0.96919999999999995</v>
      </c>
      <c r="K861" s="1">
        <v>9549.48</v>
      </c>
      <c r="L861" s="1">
        <v>720737</v>
      </c>
      <c r="M861" s="1">
        <v>34944</v>
      </c>
      <c r="N861" s="1">
        <v>140159.57</v>
      </c>
      <c r="O861" s="1">
        <v>2025</v>
      </c>
      <c r="P861" s="1" t="s">
        <v>39</v>
      </c>
      <c r="Q861" s="1" t="s">
        <v>40</v>
      </c>
      <c r="R861" s="4" t="s">
        <v>26</v>
      </c>
      <c r="S861" s="25">
        <f>Table1[[#This Row],[Clicks]]/Table1[[#This Row],[Impressions]]</f>
        <v>4.848370487431615E-2</v>
      </c>
      <c r="T861" s="22">
        <f>Table1[[#This Row],[Sales]]/Table1[[#This Row],[USD_Spend]]</f>
        <v>14.677193941450216</v>
      </c>
      <c r="U861" s="1" t="str">
        <f>Outlier_Check!C871</f>
        <v>Normal</v>
      </c>
    </row>
    <row r="862" spans="1:21" x14ac:dyDescent="0.35">
      <c r="A862" s="3" t="s">
        <v>67</v>
      </c>
      <c r="B862" s="1" t="s">
        <v>35</v>
      </c>
      <c r="C862" s="1" t="s">
        <v>58</v>
      </c>
      <c r="D862" s="1" t="s">
        <v>37</v>
      </c>
      <c r="E862" s="1" t="s">
        <v>30</v>
      </c>
      <c r="F862" s="1" t="s">
        <v>31</v>
      </c>
      <c r="G862" s="2">
        <v>45696</v>
      </c>
      <c r="H862" s="2">
        <v>45716</v>
      </c>
      <c r="I862" s="1">
        <v>42153.279999999999</v>
      </c>
      <c r="J862" s="1">
        <v>0.34</v>
      </c>
      <c r="K862" s="1">
        <v>14332.12</v>
      </c>
      <c r="L862" s="1">
        <v>825451</v>
      </c>
      <c r="M862" s="1">
        <v>34263</v>
      </c>
      <c r="N862" s="1">
        <v>123726.27</v>
      </c>
      <c r="O862" s="1">
        <v>2025</v>
      </c>
      <c r="P862" s="1" t="s">
        <v>39</v>
      </c>
      <c r="Q862" s="1" t="s">
        <v>40</v>
      </c>
      <c r="R862" s="4" t="s">
        <v>61</v>
      </c>
      <c r="S862" s="25">
        <f>Table1[[#This Row],[Clicks]]/Table1[[#This Row],[Impressions]]</f>
        <v>4.1508217931773055E-2</v>
      </c>
      <c r="T862" s="22">
        <f>Table1[[#This Row],[Sales]]/Table1[[#This Row],[USD_Spend]]</f>
        <v>8.6327961250673315</v>
      </c>
      <c r="U862" s="1" t="str">
        <f>Outlier_Check!C872</f>
        <v>Normal</v>
      </c>
    </row>
    <row r="863" spans="1:21" x14ac:dyDescent="0.35">
      <c r="A863" s="3" t="s">
        <v>92</v>
      </c>
      <c r="B863" s="1" t="s">
        <v>35</v>
      </c>
      <c r="C863" s="1" t="s">
        <v>29</v>
      </c>
      <c r="D863" s="1" t="s">
        <v>51</v>
      </c>
      <c r="E863" s="1" t="s">
        <v>22</v>
      </c>
      <c r="F863" s="1" t="s">
        <v>23</v>
      </c>
      <c r="G863" s="2">
        <v>45697</v>
      </c>
      <c r="H863" s="2">
        <v>45755</v>
      </c>
      <c r="I863" s="1">
        <v>21656.68</v>
      </c>
      <c r="J863" s="1">
        <v>1.0035000000000001</v>
      </c>
      <c r="K863" s="1">
        <v>21732.48</v>
      </c>
      <c r="L863" s="1">
        <v>503152</v>
      </c>
      <c r="M863" s="1">
        <v>1370</v>
      </c>
      <c r="N863" s="1">
        <v>188510.94</v>
      </c>
      <c r="O863" s="1">
        <v>2025</v>
      </c>
      <c r="P863" s="1" t="s">
        <v>39</v>
      </c>
      <c r="Q863" s="1" t="s">
        <v>40</v>
      </c>
      <c r="R863" s="4" t="s">
        <v>26</v>
      </c>
      <c r="S863" s="25">
        <f>Table1[[#This Row],[Clicks]]/Table1[[#This Row],[Impressions]]</f>
        <v>2.7228352466053996E-3</v>
      </c>
      <c r="T863" s="22">
        <f>Table1[[#This Row],[Sales]]/Table1[[#This Row],[USD_Spend]]</f>
        <v>8.6741568380598988</v>
      </c>
      <c r="U863" s="1" t="str">
        <f>Outlier_Check!C873</f>
        <v>Normal</v>
      </c>
    </row>
    <row r="864" spans="1:21" x14ac:dyDescent="0.35">
      <c r="A864" s="3" t="s">
        <v>72</v>
      </c>
      <c r="B864" s="1" t="s">
        <v>48</v>
      </c>
      <c r="C864" s="1" t="s">
        <v>20</v>
      </c>
      <c r="D864" s="1" t="s">
        <v>59</v>
      </c>
      <c r="E864" s="1" t="s">
        <v>38</v>
      </c>
      <c r="F864" s="1" t="s">
        <v>49</v>
      </c>
      <c r="G864" s="2">
        <v>45697</v>
      </c>
      <c r="H864" s="2">
        <v>45752</v>
      </c>
      <c r="I864" s="1">
        <v>29438.799999999999</v>
      </c>
      <c r="J864" s="1">
        <v>0.96799999999999997</v>
      </c>
      <c r="K864" s="1">
        <v>28496.76</v>
      </c>
      <c r="L864" s="1">
        <v>901090</v>
      </c>
      <c r="M864" s="1">
        <v>46603</v>
      </c>
      <c r="N864" s="1">
        <v>79498.13</v>
      </c>
      <c r="O864" s="1">
        <v>2025</v>
      </c>
      <c r="P864" s="1" t="s">
        <v>39</v>
      </c>
      <c r="Q864" s="1" t="s">
        <v>40</v>
      </c>
      <c r="R864" s="4" t="s">
        <v>41</v>
      </c>
      <c r="S864" s="25">
        <f>Table1[[#This Row],[Clicks]]/Table1[[#This Row],[Impressions]]</f>
        <v>5.1718474292246054E-2</v>
      </c>
      <c r="T864" s="22">
        <f>Table1[[#This Row],[Sales]]/Table1[[#This Row],[USD_Spend]]</f>
        <v>2.7897252178844196</v>
      </c>
      <c r="U864" s="1" t="str">
        <f>Outlier_Check!C874</f>
        <v>Normal</v>
      </c>
    </row>
    <row r="865" spans="1:21" x14ac:dyDescent="0.35">
      <c r="A865" s="3" t="s">
        <v>34</v>
      </c>
      <c r="B865" s="1" t="s">
        <v>48</v>
      </c>
      <c r="C865" s="1" t="s">
        <v>20</v>
      </c>
      <c r="D865" s="1" t="s">
        <v>37</v>
      </c>
      <c r="E865" s="1" t="s">
        <v>38</v>
      </c>
      <c r="F865" s="1" t="s">
        <v>44</v>
      </c>
      <c r="G865" s="2">
        <v>45697</v>
      </c>
      <c r="H865" s="2">
        <v>45746</v>
      </c>
      <c r="I865" s="1">
        <v>33705.949999999997</v>
      </c>
      <c r="J865" s="1">
        <v>0.112</v>
      </c>
      <c r="K865" s="1">
        <v>3775.07</v>
      </c>
      <c r="L865" s="1">
        <v>370491</v>
      </c>
      <c r="M865" s="1">
        <v>35584</v>
      </c>
      <c r="N865" s="1">
        <v>106426.73</v>
      </c>
      <c r="O865" s="1">
        <v>2025</v>
      </c>
      <c r="P865" s="1" t="s">
        <v>39</v>
      </c>
      <c r="Q865" s="1" t="s">
        <v>40</v>
      </c>
      <c r="R865" s="4" t="s">
        <v>54</v>
      </c>
      <c r="S865" s="25">
        <f>Table1[[#This Row],[Clicks]]/Table1[[#This Row],[Impressions]]</f>
        <v>9.6045517974795602E-2</v>
      </c>
      <c r="T865" s="22">
        <f>Table1[[#This Row],[Sales]]/Table1[[#This Row],[USD_Spend]]</f>
        <v>28.191988492928605</v>
      </c>
      <c r="U865" s="1" t="str">
        <f>Outlier_Check!C875</f>
        <v>Normal</v>
      </c>
    </row>
    <row r="866" spans="1:21" x14ac:dyDescent="0.35">
      <c r="A866" s="3" t="s">
        <v>87</v>
      </c>
      <c r="B866" s="1" t="s">
        <v>48</v>
      </c>
      <c r="C866" s="1" t="s">
        <v>20</v>
      </c>
      <c r="D866" s="1" t="s">
        <v>21</v>
      </c>
      <c r="E866" s="1" t="s">
        <v>22</v>
      </c>
      <c r="F866" s="1" t="s">
        <v>44</v>
      </c>
      <c r="G866" s="2">
        <v>45698</v>
      </c>
      <c r="H866" s="2">
        <v>45737</v>
      </c>
      <c r="I866" s="1">
        <v>2583.0100000000002</v>
      </c>
      <c r="J866" s="1">
        <v>0.97870000000000001</v>
      </c>
      <c r="K866" s="1">
        <v>2527.9899999999998</v>
      </c>
      <c r="L866" s="1">
        <v>117458</v>
      </c>
      <c r="M866" s="1">
        <v>40477</v>
      </c>
      <c r="N866" s="1">
        <v>217668.67</v>
      </c>
      <c r="O866" s="1">
        <v>2025</v>
      </c>
      <c r="P866" s="1" t="s">
        <v>39</v>
      </c>
      <c r="Q866" s="1" t="s">
        <v>40</v>
      </c>
      <c r="R866" s="4" t="s">
        <v>41</v>
      </c>
      <c r="S866" s="25">
        <f>Table1[[#This Row],[Clicks]]/Table1[[#This Row],[Impressions]]</f>
        <v>0.34460828551482231</v>
      </c>
      <c r="T866" s="22">
        <f>Table1[[#This Row],[Sales]]/Table1[[#This Row],[USD_Spend]]</f>
        <v>86.103453732016362</v>
      </c>
      <c r="U866" s="1" t="str">
        <f>Outlier_Check!C876</f>
        <v>Normal</v>
      </c>
    </row>
    <row r="867" spans="1:21" x14ac:dyDescent="0.35">
      <c r="A867" s="3" t="s">
        <v>107</v>
      </c>
      <c r="B867" s="1" t="s">
        <v>35</v>
      </c>
      <c r="C867" s="1" t="s">
        <v>69</v>
      </c>
      <c r="D867" s="1" t="s">
        <v>59</v>
      </c>
      <c r="E867" s="1" t="s">
        <v>38</v>
      </c>
      <c r="F867" s="1" t="s">
        <v>23</v>
      </c>
      <c r="G867" s="2">
        <v>45699</v>
      </c>
      <c r="H867" s="2">
        <v>45740</v>
      </c>
      <c r="I867" s="1">
        <v>38233.980000000003</v>
      </c>
      <c r="J867" s="1">
        <v>0.54420000000000002</v>
      </c>
      <c r="K867" s="1">
        <v>20806.93</v>
      </c>
      <c r="L867" s="1">
        <v>979045</v>
      </c>
      <c r="M867" s="1">
        <v>37094</v>
      </c>
      <c r="N867" s="1">
        <v>162533</v>
      </c>
      <c r="O867" s="1">
        <v>2025</v>
      </c>
      <c r="P867" s="1" t="s">
        <v>39</v>
      </c>
      <c r="Q867" s="1" t="s">
        <v>40</v>
      </c>
      <c r="R867" s="4" t="s">
        <v>54</v>
      </c>
      <c r="S867" s="25">
        <f>Table1[[#This Row],[Clicks]]/Table1[[#This Row],[Impressions]]</f>
        <v>3.7887941820856037E-2</v>
      </c>
      <c r="T867" s="22">
        <f>Table1[[#This Row],[Sales]]/Table1[[#This Row],[USD_Spend]]</f>
        <v>7.8114839623144787</v>
      </c>
      <c r="U867" s="1" t="str">
        <f>Outlier_Check!C877</f>
        <v>Normal</v>
      </c>
    </row>
    <row r="868" spans="1:21" x14ac:dyDescent="0.35">
      <c r="A868" s="3" t="s">
        <v>84</v>
      </c>
      <c r="B868" s="1" t="s">
        <v>28</v>
      </c>
      <c r="C868" s="1" t="s">
        <v>29</v>
      </c>
      <c r="D868" s="1" t="s">
        <v>51</v>
      </c>
      <c r="E868" s="1" t="s">
        <v>38</v>
      </c>
      <c r="F868" s="1" t="s">
        <v>49</v>
      </c>
      <c r="G868" s="2">
        <v>45700</v>
      </c>
      <c r="H868" s="2">
        <v>45733</v>
      </c>
      <c r="I868" s="1">
        <v>31019.96</v>
      </c>
      <c r="J868" s="1">
        <v>0.8659</v>
      </c>
      <c r="K868" s="1">
        <v>26860.18</v>
      </c>
      <c r="L868" s="1">
        <v>539298</v>
      </c>
      <c r="M868" s="1">
        <v>28066</v>
      </c>
      <c r="N868" s="1">
        <v>208489.45</v>
      </c>
      <c r="O868" s="1">
        <v>2025</v>
      </c>
      <c r="P868" s="1" t="s">
        <v>39</v>
      </c>
      <c r="Q868" s="1" t="s">
        <v>40</v>
      </c>
      <c r="R868" s="4" t="s">
        <v>41</v>
      </c>
      <c r="S868" s="25">
        <f>Table1[[#This Row],[Clicks]]/Table1[[#This Row],[Impressions]]</f>
        <v>5.2041728320891233E-2</v>
      </c>
      <c r="T868" s="22">
        <f>Table1[[#This Row],[Sales]]/Table1[[#This Row],[USD_Spend]]</f>
        <v>7.7620272835103865</v>
      </c>
      <c r="U868" s="1" t="str">
        <f>Outlier_Check!C878</f>
        <v>Normal</v>
      </c>
    </row>
    <row r="869" spans="1:21" x14ac:dyDescent="0.35">
      <c r="A869" s="3" t="s">
        <v>106</v>
      </c>
      <c r="B869" s="1" t="s">
        <v>35</v>
      </c>
      <c r="C869" s="1" t="s">
        <v>36</v>
      </c>
      <c r="D869" s="1" t="s">
        <v>21</v>
      </c>
      <c r="E869" s="1" t="s">
        <v>22</v>
      </c>
      <c r="F869" s="1" t="s">
        <v>49</v>
      </c>
      <c r="G869" s="2">
        <v>45700</v>
      </c>
      <c r="H869" s="2">
        <v>45713</v>
      </c>
      <c r="I869" s="1">
        <v>31145.22</v>
      </c>
      <c r="J869" s="1">
        <v>0.36980000000000002</v>
      </c>
      <c r="K869" s="1">
        <v>11517.5</v>
      </c>
      <c r="L869" s="1">
        <v>264432</v>
      </c>
      <c r="M869" s="1">
        <v>38132</v>
      </c>
      <c r="N869" s="1">
        <v>130490.66</v>
      </c>
      <c r="O869" s="1">
        <v>2025</v>
      </c>
      <c r="P869" s="1" t="s">
        <v>39</v>
      </c>
      <c r="Q869" s="1" t="s">
        <v>40</v>
      </c>
      <c r="R869" s="4" t="s">
        <v>26</v>
      </c>
      <c r="S869" s="25">
        <f>Table1[[#This Row],[Clicks]]/Table1[[#This Row],[Impressions]]</f>
        <v>0.14420342469897743</v>
      </c>
      <c r="T869" s="22">
        <f>Table1[[#This Row],[Sales]]/Table1[[#This Row],[USD_Spend]]</f>
        <v>11.329772954200131</v>
      </c>
      <c r="U869" s="1" t="str">
        <f>Outlier_Check!C879</f>
        <v>Normal</v>
      </c>
    </row>
    <row r="870" spans="1:21" x14ac:dyDescent="0.35">
      <c r="A870" s="3" t="s">
        <v>108</v>
      </c>
      <c r="B870" s="1" t="s">
        <v>28</v>
      </c>
      <c r="C870" s="1" t="s">
        <v>58</v>
      </c>
      <c r="D870" s="1" t="s">
        <v>51</v>
      </c>
      <c r="E870" s="1" t="s">
        <v>30</v>
      </c>
      <c r="F870" s="1" t="s">
        <v>44</v>
      </c>
      <c r="G870" s="2">
        <v>45702</v>
      </c>
      <c r="H870" s="2">
        <v>45733</v>
      </c>
      <c r="I870" s="1">
        <v>3278.52</v>
      </c>
      <c r="J870" s="1">
        <v>0.76359999999999995</v>
      </c>
      <c r="K870" s="1">
        <v>2503.48</v>
      </c>
      <c r="L870" s="1">
        <v>714791</v>
      </c>
      <c r="M870" s="1">
        <v>38688</v>
      </c>
      <c r="N870" s="1">
        <v>35188.699999999997</v>
      </c>
      <c r="O870" s="1">
        <v>2025</v>
      </c>
      <c r="P870" s="1" t="s">
        <v>39</v>
      </c>
      <c r="Q870" s="1" t="s">
        <v>40</v>
      </c>
      <c r="R870" s="4" t="s">
        <v>61</v>
      </c>
      <c r="S870" s="25">
        <f>Table1[[#This Row],[Clicks]]/Table1[[#This Row],[Impressions]]</f>
        <v>5.4124912037224866E-2</v>
      </c>
      <c r="T870" s="22">
        <f>Table1[[#This Row],[Sales]]/Table1[[#This Row],[USD_Spend]]</f>
        <v>14.055914167478868</v>
      </c>
      <c r="U870" s="1" t="str">
        <f>Outlier_Check!C880</f>
        <v>Normal</v>
      </c>
    </row>
    <row r="871" spans="1:21" x14ac:dyDescent="0.35">
      <c r="A871" s="3" t="s">
        <v>90</v>
      </c>
      <c r="B871" s="1" t="s">
        <v>19</v>
      </c>
      <c r="C871" s="1" t="s">
        <v>29</v>
      </c>
      <c r="D871" s="1" t="s">
        <v>37</v>
      </c>
      <c r="E871" s="1" t="s">
        <v>30</v>
      </c>
      <c r="F871" s="1" t="s">
        <v>44</v>
      </c>
      <c r="G871" s="2">
        <v>45702</v>
      </c>
      <c r="H871" s="2">
        <v>45733</v>
      </c>
      <c r="I871" s="1">
        <v>9234.49</v>
      </c>
      <c r="J871" s="1">
        <v>0.45019999999999999</v>
      </c>
      <c r="K871" s="1">
        <v>4157.37</v>
      </c>
      <c r="L871" s="1">
        <v>183021</v>
      </c>
      <c r="M871" s="1">
        <v>28848</v>
      </c>
      <c r="N871" s="1">
        <v>64692.93</v>
      </c>
      <c r="O871" s="1">
        <v>2025</v>
      </c>
      <c r="P871" s="1" t="s">
        <v>39</v>
      </c>
      <c r="Q871" s="1" t="s">
        <v>40</v>
      </c>
      <c r="R871" s="4" t="s">
        <v>54</v>
      </c>
      <c r="S871" s="25">
        <f>Table1[[#This Row],[Clicks]]/Table1[[#This Row],[Impressions]]</f>
        <v>0.15762125657711409</v>
      </c>
      <c r="T871" s="22">
        <f>Table1[[#This Row],[Sales]]/Table1[[#This Row],[USD_Spend]]</f>
        <v>15.561022954415893</v>
      </c>
      <c r="U871" s="1" t="str">
        <f>Outlier_Check!C881</f>
        <v>Normal</v>
      </c>
    </row>
    <row r="872" spans="1:21" x14ac:dyDescent="0.35">
      <c r="A872" s="3" t="s">
        <v>117</v>
      </c>
      <c r="B872" s="1" t="s">
        <v>19</v>
      </c>
      <c r="C872" s="1" t="s">
        <v>69</v>
      </c>
      <c r="D872" s="1" t="s">
        <v>37</v>
      </c>
      <c r="E872" s="1" t="s">
        <v>38</v>
      </c>
      <c r="F872" s="1" t="s">
        <v>52</v>
      </c>
      <c r="G872" s="2">
        <v>45702</v>
      </c>
      <c r="H872" s="2">
        <v>45728</v>
      </c>
      <c r="I872" s="1">
        <v>48100.7</v>
      </c>
      <c r="J872" s="1">
        <v>0.55600000000000005</v>
      </c>
      <c r="K872" s="1">
        <v>26743.99</v>
      </c>
      <c r="L872" s="1">
        <v>493100</v>
      </c>
      <c r="M872" s="1">
        <v>38558</v>
      </c>
      <c r="N872" s="1">
        <v>216195.7</v>
      </c>
      <c r="O872" s="1">
        <v>2025</v>
      </c>
      <c r="P872" s="1" t="s">
        <v>39</v>
      </c>
      <c r="Q872" s="1" t="s">
        <v>40</v>
      </c>
      <c r="R872" s="4" t="s">
        <v>61</v>
      </c>
      <c r="S872" s="25">
        <f>Table1[[#This Row],[Clicks]]/Table1[[#This Row],[Impressions]]</f>
        <v>7.8195092273372541E-2</v>
      </c>
      <c r="T872" s="22">
        <f>Table1[[#This Row],[Sales]]/Table1[[#This Row],[USD_Spend]]</f>
        <v>8.0838984758818704</v>
      </c>
      <c r="U872" s="1" t="str">
        <f>Outlier_Check!C882</f>
        <v>Normal</v>
      </c>
    </row>
    <row r="873" spans="1:21" x14ac:dyDescent="0.35">
      <c r="A873" s="3" t="s">
        <v>66</v>
      </c>
      <c r="B873" s="1" t="s">
        <v>28</v>
      </c>
      <c r="C873" s="1" t="s">
        <v>29</v>
      </c>
      <c r="D873" s="1" t="s">
        <v>51</v>
      </c>
      <c r="E873" s="1" t="s">
        <v>22</v>
      </c>
      <c r="F873" s="1" t="s">
        <v>52</v>
      </c>
      <c r="G873" s="2">
        <v>45702</v>
      </c>
      <c r="H873" s="2">
        <v>45722</v>
      </c>
      <c r="I873" s="1">
        <v>31368.55</v>
      </c>
      <c r="J873" s="1">
        <v>8.1299999999999997E-2</v>
      </c>
      <c r="K873" s="1">
        <v>2550.2600000000002</v>
      </c>
      <c r="L873" s="1">
        <v>402716</v>
      </c>
      <c r="M873" s="1">
        <v>32784</v>
      </c>
      <c r="N873" s="1">
        <v>77670.61</v>
      </c>
      <c r="O873" s="1">
        <v>2025</v>
      </c>
      <c r="P873" s="1" t="s">
        <v>39</v>
      </c>
      <c r="Q873" s="1" t="s">
        <v>40</v>
      </c>
      <c r="R873" s="4" t="s">
        <v>54</v>
      </c>
      <c r="S873" s="25">
        <f>Table1[[#This Row],[Clicks]]/Table1[[#This Row],[Impressions]]</f>
        <v>8.1407244807755338E-2</v>
      </c>
      <c r="T873" s="22">
        <f>Table1[[#This Row],[Sales]]/Table1[[#This Row],[USD_Spend]]</f>
        <v>30.455957431791266</v>
      </c>
      <c r="U873" s="1" t="str">
        <f>Outlier_Check!C883</f>
        <v>Normal</v>
      </c>
    </row>
    <row r="874" spans="1:21" x14ac:dyDescent="0.35">
      <c r="A874" s="3" t="s">
        <v>34</v>
      </c>
      <c r="B874" s="1" t="s">
        <v>35</v>
      </c>
      <c r="C874" s="1" t="s">
        <v>36</v>
      </c>
      <c r="D874" s="1" t="s">
        <v>37</v>
      </c>
      <c r="E874" s="1" t="s">
        <v>38</v>
      </c>
      <c r="F874" s="1" t="s">
        <v>23</v>
      </c>
      <c r="G874" s="2">
        <v>45704</v>
      </c>
      <c r="H874" s="2">
        <v>45760</v>
      </c>
      <c r="I874" s="1">
        <v>8823.31</v>
      </c>
      <c r="J874" s="1">
        <v>0.51290000000000002</v>
      </c>
      <c r="K874" s="1">
        <v>4525.4799999999996</v>
      </c>
      <c r="L874" s="1">
        <v>301369</v>
      </c>
      <c r="M874" s="1">
        <v>10289</v>
      </c>
      <c r="N874" s="1">
        <v>57751.87</v>
      </c>
      <c r="O874" s="1">
        <v>2025</v>
      </c>
      <c r="P874" s="1" t="s">
        <v>39</v>
      </c>
      <c r="Q874" s="1" t="s">
        <v>40</v>
      </c>
      <c r="R874" s="4" t="s">
        <v>41</v>
      </c>
      <c r="S874" s="25">
        <f>Table1[[#This Row],[Clicks]]/Table1[[#This Row],[Impressions]]</f>
        <v>3.4140870494310964E-2</v>
      </c>
      <c r="T874" s="22">
        <f>Table1[[#This Row],[Sales]]/Table1[[#This Row],[USD_Spend]]</f>
        <v>12.761490493826072</v>
      </c>
      <c r="U874" s="1" t="str">
        <f>Outlier_Check!C884</f>
        <v>Normal</v>
      </c>
    </row>
    <row r="875" spans="1:21" x14ac:dyDescent="0.35">
      <c r="A875" s="3" t="s">
        <v>97</v>
      </c>
      <c r="B875" s="1" t="s">
        <v>35</v>
      </c>
      <c r="C875" s="1" t="s">
        <v>36</v>
      </c>
      <c r="D875" s="1" t="s">
        <v>37</v>
      </c>
      <c r="E875" s="1" t="s">
        <v>22</v>
      </c>
      <c r="F875" s="1" t="s">
        <v>49</v>
      </c>
      <c r="G875" s="2">
        <v>45704</v>
      </c>
      <c r="H875" s="2">
        <v>45751</v>
      </c>
      <c r="I875" s="1">
        <v>11865.61</v>
      </c>
      <c r="J875" s="1">
        <v>0.41620000000000001</v>
      </c>
      <c r="K875" s="1">
        <v>4938.47</v>
      </c>
      <c r="L875" s="1">
        <v>880196</v>
      </c>
      <c r="M875" s="1">
        <v>41627</v>
      </c>
      <c r="N875" s="1">
        <v>241286.25</v>
      </c>
      <c r="O875" s="1">
        <v>2025</v>
      </c>
      <c r="P875" s="1" t="s">
        <v>39</v>
      </c>
      <c r="Q875" s="1" t="s">
        <v>40</v>
      </c>
      <c r="R875" s="4" t="s">
        <v>61</v>
      </c>
      <c r="S875" s="25">
        <f>Table1[[#This Row],[Clicks]]/Table1[[#This Row],[Impressions]]</f>
        <v>4.7292875677689972E-2</v>
      </c>
      <c r="T875" s="22">
        <f>Table1[[#This Row],[Sales]]/Table1[[#This Row],[USD_Spend]]</f>
        <v>48.858502734652632</v>
      </c>
      <c r="U875" s="1" t="str">
        <f>Outlier_Check!C885</f>
        <v>Normal</v>
      </c>
    </row>
    <row r="876" spans="1:21" x14ac:dyDescent="0.35">
      <c r="A876" s="3" t="s">
        <v>82</v>
      </c>
      <c r="B876" s="1" t="s">
        <v>48</v>
      </c>
      <c r="C876" s="1" t="s">
        <v>69</v>
      </c>
      <c r="D876" s="1" t="s">
        <v>51</v>
      </c>
      <c r="E876" s="1" t="s">
        <v>38</v>
      </c>
      <c r="F876" s="1" t="s">
        <v>23</v>
      </c>
      <c r="G876" s="2">
        <v>45705</v>
      </c>
      <c r="H876" s="2">
        <v>45759</v>
      </c>
      <c r="I876" s="1">
        <v>15207.97</v>
      </c>
      <c r="J876" s="1">
        <v>0.25169999999999998</v>
      </c>
      <c r="K876" s="1">
        <v>3827.85</v>
      </c>
      <c r="L876" s="1">
        <v>591409</v>
      </c>
      <c r="M876" s="1">
        <v>2677</v>
      </c>
      <c r="N876" s="1">
        <v>242040.68</v>
      </c>
      <c r="O876" s="1">
        <v>2025</v>
      </c>
      <c r="P876" s="1" t="s">
        <v>39</v>
      </c>
      <c r="Q876" s="1" t="s">
        <v>40</v>
      </c>
      <c r="R876" s="4" t="s">
        <v>41</v>
      </c>
      <c r="S876" s="25">
        <f>Table1[[#This Row],[Clicks]]/Table1[[#This Row],[Impressions]]</f>
        <v>4.5264782916729371E-3</v>
      </c>
      <c r="T876" s="22">
        <f>Table1[[#This Row],[Sales]]/Table1[[#This Row],[USD_Spend]]</f>
        <v>63.231495487022741</v>
      </c>
      <c r="U876" s="1" t="str">
        <f>Outlier_Check!C886</f>
        <v>Normal</v>
      </c>
    </row>
    <row r="877" spans="1:21" x14ac:dyDescent="0.35">
      <c r="A877" s="3" t="s">
        <v>68</v>
      </c>
      <c r="B877" s="1" t="s">
        <v>28</v>
      </c>
      <c r="C877" s="1" t="s">
        <v>58</v>
      </c>
      <c r="D877" s="1" t="s">
        <v>21</v>
      </c>
      <c r="E877" s="1" t="s">
        <v>38</v>
      </c>
      <c r="F877" s="1" t="s">
        <v>49</v>
      </c>
      <c r="G877" s="2">
        <v>45706</v>
      </c>
      <c r="H877" s="2">
        <v>45760</v>
      </c>
      <c r="I877" s="1">
        <v>9261.68</v>
      </c>
      <c r="J877" s="1">
        <v>0.91969999999999996</v>
      </c>
      <c r="K877" s="1">
        <v>8517.9699999999993</v>
      </c>
      <c r="L877" s="1">
        <v>523358</v>
      </c>
      <c r="M877" s="1">
        <v>5869</v>
      </c>
      <c r="N877" s="1">
        <v>36704.46</v>
      </c>
      <c r="O877" s="1">
        <v>2025</v>
      </c>
      <c r="P877" s="1" t="s">
        <v>39</v>
      </c>
      <c r="Q877" s="1" t="s">
        <v>40</v>
      </c>
      <c r="R877" s="4" t="s">
        <v>26</v>
      </c>
      <c r="S877" s="25">
        <f>Table1[[#This Row],[Clicks]]/Table1[[#This Row],[Impressions]]</f>
        <v>1.1214121117858139E-2</v>
      </c>
      <c r="T877" s="22">
        <f>Table1[[#This Row],[Sales]]/Table1[[#This Row],[USD_Spend]]</f>
        <v>4.3090619008989233</v>
      </c>
      <c r="U877" s="1" t="str">
        <f>Outlier_Check!C887</f>
        <v>Normal</v>
      </c>
    </row>
    <row r="878" spans="1:21" x14ac:dyDescent="0.35">
      <c r="A878" s="3" t="s">
        <v>18</v>
      </c>
      <c r="B878" s="1" t="s">
        <v>35</v>
      </c>
      <c r="C878" s="1" t="s">
        <v>58</v>
      </c>
      <c r="D878" s="1" t="s">
        <v>37</v>
      </c>
      <c r="E878" s="1" t="s">
        <v>30</v>
      </c>
      <c r="F878" s="1" t="s">
        <v>23</v>
      </c>
      <c r="G878" s="2">
        <v>45706</v>
      </c>
      <c r="H878" s="2">
        <v>45733</v>
      </c>
      <c r="I878" s="1">
        <v>28551.73</v>
      </c>
      <c r="J878" s="1">
        <v>0.70350000000000001</v>
      </c>
      <c r="K878" s="1">
        <v>20086.14</v>
      </c>
      <c r="L878" s="1">
        <v>998464</v>
      </c>
      <c r="M878" s="1">
        <v>43822</v>
      </c>
      <c r="N878" s="1">
        <v>178980.29</v>
      </c>
      <c r="O878" s="1">
        <v>2025</v>
      </c>
      <c r="P878" s="1" t="s">
        <v>39</v>
      </c>
      <c r="Q878" s="1" t="s">
        <v>40</v>
      </c>
      <c r="R878" s="4" t="s">
        <v>26</v>
      </c>
      <c r="S878" s="25">
        <f>Table1[[#This Row],[Clicks]]/Table1[[#This Row],[Impressions]]</f>
        <v>4.3889414140119223E-2</v>
      </c>
      <c r="T878" s="22">
        <f>Table1[[#This Row],[Sales]]/Table1[[#This Row],[USD_Spend]]</f>
        <v>8.9106363890722662</v>
      </c>
      <c r="U878" s="1" t="str">
        <f>Outlier_Check!C888</f>
        <v>Normal</v>
      </c>
    </row>
    <row r="879" spans="1:21" x14ac:dyDescent="0.35">
      <c r="A879" s="3" t="s">
        <v>109</v>
      </c>
      <c r="B879" s="1" t="s">
        <v>35</v>
      </c>
      <c r="C879" s="1" t="s">
        <v>20</v>
      </c>
      <c r="D879" s="1" t="s">
        <v>51</v>
      </c>
      <c r="E879" s="1" t="s">
        <v>22</v>
      </c>
      <c r="F879" s="1" t="s">
        <v>23</v>
      </c>
      <c r="G879" s="2">
        <v>45706</v>
      </c>
      <c r="H879" s="2">
        <v>45731</v>
      </c>
      <c r="I879" s="1">
        <v>7057.15</v>
      </c>
      <c r="J879" s="1">
        <v>0.14130000000000001</v>
      </c>
      <c r="K879" s="1">
        <v>997.18</v>
      </c>
      <c r="L879" s="1">
        <v>152514</v>
      </c>
      <c r="M879" s="1">
        <v>32593</v>
      </c>
      <c r="N879" s="1">
        <v>191757.05</v>
      </c>
      <c r="O879" s="1">
        <v>2025</v>
      </c>
      <c r="P879" s="1" t="s">
        <v>39</v>
      </c>
      <c r="Q879" s="1" t="s">
        <v>40</v>
      </c>
      <c r="R879" s="4" t="s">
        <v>41</v>
      </c>
      <c r="S879" s="25">
        <f>Table1[[#This Row],[Clicks]]/Table1[[#This Row],[Impressions]]</f>
        <v>0.21370497134689276</v>
      </c>
      <c r="T879" s="22">
        <f>Table1[[#This Row],[Sales]]/Table1[[#This Row],[USD_Spend]]</f>
        <v>192.29933412222468</v>
      </c>
      <c r="U879" s="1" t="str">
        <f>Outlier_Check!C889</f>
        <v>Normal</v>
      </c>
    </row>
    <row r="880" spans="1:21" x14ac:dyDescent="0.35">
      <c r="A880" s="3" t="s">
        <v>77</v>
      </c>
      <c r="B880" s="1" t="s">
        <v>28</v>
      </c>
      <c r="C880" s="1" t="s">
        <v>36</v>
      </c>
      <c r="D880" s="1" t="s">
        <v>37</v>
      </c>
      <c r="E880" s="1" t="s">
        <v>22</v>
      </c>
      <c r="F880" s="1" t="s">
        <v>31</v>
      </c>
      <c r="G880" s="2">
        <v>45706</v>
      </c>
      <c r="H880" s="2">
        <v>45728</v>
      </c>
      <c r="I880" s="1">
        <v>6009.34</v>
      </c>
      <c r="J880" s="1">
        <v>0.1139</v>
      </c>
      <c r="K880" s="1">
        <v>684.46</v>
      </c>
      <c r="L880" s="1">
        <v>461914</v>
      </c>
      <c r="M880" s="1">
        <v>29515</v>
      </c>
      <c r="N880" s="1">
        <v>141461.32999999999</v>
      </c>
      <c r="O880" s="1">
        <v>2025</v>
      </c>
      <c r="P880" s="1" t="s">
        <v>39</v>
      </c>
      <c r="Q880" s="1" t="s">
        <v>40</v>
      </c>
      <c r="R880" s="4" t="s">
        <v>26</v>
      </c>
      <c r="S880" s="25">
        <f>Table1[[#This Row],[Clicks]]/Table1[[#This Row],[Impressions]]</f>
        <v>6.3897175664734129E-2</v>
      </c>
      <c r="T880" s="22">
        <f>Table1[[#This Row],[Sales]]/Table1[[#This Row],[USD_Spend]]</f>
        <v>206.67581743272066</v>
      </c>
      <c r="U880" s="1" t="str">
        <f>Outlier_Check!C890</f>
        <v>Normal</v>
      </c>
    </row>
    <row r="881" spans="1:21" x14ac:dyDescent="0.35">
      <c r="A881" s="3" t="s">
        <v>104</v>
      </c>
      <c r="B881" s="1" t="s">
        <v>35</v>
      </c>
      <c r="C881" s="1" t="s">
        <v>36</v>
      </c>
      <c r="D881" s="1" t="s">
        <v>43</v>
      </c>
      <c r="E881" s="1" t="s">
        <v>22</v>
      </c>
      <c r="F881" s="1" t="s">
        <v>23</v>
      </c>
      <c r="G881" s="2">
        <v>45707</v>
      </c>
      <c r="H881" s="2">
        <v>45727</v>
      </c>
      <c r="I881" s="1">
        <v>34336.75</v>
      </c>
      <c r="J881" s="1">
        <v>0.71899999999999997</v>
      </c>
      <c r="K881" s="1">
        <v>24688.12</v>
      </c>
      <c r="L881" s="1">
        <v>835618</v>
      </c>
      <c r="M881" s="1">
        <v>5465</v>
      </c>
      <c r="N881" s="1">
        <v>133749.13</v>
      </c>
      <c r="O881" s="1">
        <v>2025</v>
      </c>
      <c r="P881" s="1" t="s">
        <v>39</v>
      </c>
      <c r="Q881" s="1" t="s">
        <v>40</v>
      </c>
      <c r="R881" s="4" t="s">
        <v>61</v>
      </c>
      <c r="S881" s="25">
        <f>Table1[[#This Row],[Clicks]]/Table1[[#This Row],[Impressions]]</f>
        <v>6.5400697447876898E-3</v>
      </c>
      <c r="T881" s="22">
        <f>Table1[[#This Row],[Sales]]/Table1[[#This Row],[USD_Spend]]</f>
        <v>5.4175502225361836</v>
      </c>
      <c r="U881" s="1" t="str">
        <f>Outlier_Check!C891</f>
        <v>Normal</v>
      </c>
    </row>
    <row r="882" spans="1:21" x14ac:dyDescent="0.35">
      <c r="A882" s="3" t="s">
        <v>57</v>
      </c>
      <c r="B882" s="1" t="s">
        <v>35</v>
      </c>
      <c r="C882" s="1" t="s">
        <v>58</v>
      </c>
      <c r="D882" s="1" t="s">
        <v>59</v>
      </c>
      <c r="E882" s="1" t="s">
        <v>30</v>
      </c>
      <c r="F882" s="1" t="s">
        <v>31</v>
      </c>
      <c r="G882" s="2">
        <v>45709</v>
      </c>
      <c r="H882" s="2">
        <v>45768</v>
      </c>
      <c r="I882" s="1">
        <v>27532.22</v>
      </c>
      <c r="J882" s="1">
        <v>6.0299999999999999E-2</v>
      </c>
      <c r="K882" s="1">
        <v>1660.19</v>
      </c>
      <c r="L882" s="1">
        <v>515719</v>
      </c>
      <c r="M882" s="1">
        <v>24426</v>
      </c>
      <c r="N882" s="1">
        <v>157063.53</v>
      </c>
      <c r="O882" s="1">
        <v>2025</v>
      </c>
      <c r="P882" s="1" t="s">
        <v>39</v>
      </c>
      <c r="Q882" s="1" t="s">
        <v>40</v>
      </c>
      <c r="R882" s="4" t="s">
        <v>54</v>
      </c>
      <c r="S882" s="25">
        <f>Table1[[#This Row],[Clicks]]/Table1[[#This Row],[Impressions]]</f>
        <v>4.7363001944857569E-2</v>
      </c>
      <c r="T882" s="22">
        <f>Table1[[#This Row],[Sales]]/Table1[[#This Row],[USD_Spend]]</f>
        <v>94.605755967690442</v>
      </c>
      <c r="U882" s="1" t="str">
        <f>Outlier_Check!C892</f>
        <v>Normal</v>
      </c>
    </row>
    <row r="883" spans="1:21" x14ac:dyDescent="0.35">
      <c r="A883" s="3" t="s">
        <v>94</v>
      </c>
      <c r="B883" s="1" t="s">
        <v>48</v>
      </c>
      <c r="C883" s="1" t="s">
        <v>29</v>
      </c>
      <c r="D883" s="1" t="s">
        <v>43</v>
      </c>
      <c r="E883" s="1" t="s">
        <v>38</v>
      </c>
      <c r="F883" s="1" t="s">
        <v>44</v>
      </c>
      <c r="G883" s="2">
        <v>45711</v>
      </c>
      <c r="H883" s="2">
        <v>45756</v>
      </c>
      <c r="I883" s="1">
        <v>29251.62</v>
      </c>
      <c r="J883" s="1">
        <v>0.81259999999999999</v>
      </c>
      <c r="K883" s="1">
        <v>23769.87</v>
      </c>
      <c r="L883" s="1">
        <v>746677</v>
      </c>
      <c r="M883" s="1">
        <v>43697</v>
      </c>
      <c r="N883" s="1">
        <v>109633.37</v>
      </c>
      <c r="O883" s="1">
        <v>2025</v>
      </c>
      <c r="P883" s="1" t="s">
        <v>39</v>
      </c>
      <c r="Q883" s="1" t="s">
        <v>40</v>
      </c>
      <c r="R883" s="4" t="s">
        <v>41</v>
      </c>
      <c r="S883" s="25">
        <f>Table1[[#This Row],[Clicks]]/Table1[[#This Row],[Impressions]]</f>
        <v>5.852195795504616E-2</v>
      </c>
      <c r="T883" s="22">
        <f>Table1[[#This Row],[Sales]]/Table1[[#This Row],[USD_Spend]]</f>
        <v>4.612283113033433</v>
      </c>
      <c r="U883" s="1" t="str">
        <f>Outlier_Check!C893</f>
        <v>Normal</v>
      </c>
    </row>
    <row r="884" spans="1:21" x14ac:dyDescent="0.35">
      <c r="A884" s="3" t="s">
        <v>114</v>
      </c>
      <c r="B884" s="1" t="s">
        <v>48</v>
      </c>
      <c r="C884" s="1" t="s">
        <v>20</v>
      </c>
      <c r="D884" s="1" t="s">
        <v>21</v>
      </c>
      <c r="E884" s="1" t="s">
        <v>30</v>
      </c>
      <c r="F884" s="1" t="s">
        <v>52</v>
      </c>
      <c r="G884" s="2">
        <v>45712</v>
      </c>
      <c r="H884" s="2">
        <v>45766</v>
      </c>
      <c r="I884" s="1">
        <v>28091.82</v>
      </c>
      <c r="J884" s="1">
        <v>0.78939999999999999</v>
      </c>
      <c r="K884" s="1">
        <v>22175.68</v>
      </c>
      <c r="L884" s="1">
        <v>553842</v>
      </c>
      <c r="M884" s="1">
        <v>13892</v>
      </c>
      <c r="N884" s="1">
        <v>93713.95</v>
      </c>
      <c r="O884" s="1">
        <v>2025</v>
      </c>
      <c r="P884" s="1" t="s">
        <v>39</v>
      </c>
      <c r="Q884" s="1" t="s">
        <v>40</v>
      </c>
      <c r="R884" s="4" t="s">
        <v>41</v>
      </c>
      <c r="S884" s="25">
        <f>Table1[[#This Row],[Clicks]]/Table1[[#This Row],[Impressions]]</f>
        <v>2.5082965900022028E-2</v>
      </c>
      <c r="T884" s="22">
        <f>Table1[[#This Row],[Sales]]/Table1[[#This Row],[USD_Spend]]</f>
        <v>4.2259786396629098</v>
      </c>
      <c r="U884" s="1" t="str">
        <f>Outlier_Check!C894</f>
        <v>Normal</v>
      </c>
    </row>
    <row r="885" spans="1:21" x14ac:dyDescent="0.35">
      <c r="A885" s="3" t="s">
        <v>85</v>
      </c>
      <c r="B885" s="1" t="s">
        <v>19</v>
      </c>
      <c r="C885" s="1" t="s">
        <v>29</v>
      </c>
      <c r="D885" s="1" t="s">
        <v>43</v>
      </c>
      <c r="E885" s="1" t="s">
        <v>38</v>
      </c>
      <c r="F885" s="1" t="s">
        <v>31</v>
      </c>
      <c r="G885" s="2">
        <v>45712</v>
      </c>
      <c r="H885" s="2">
        <v>45754</v>
      </c>
      <c r="I885" s="1">
        <v>49980.68</v>
      </c>
      <c r="J885" s="1">
        <v>1.169</v>
      </c>
      <c r="K885" s="1">
        <v>58427.41</v>
      </c>
      <c r="L885" s="1">
        <v>114998</v>
      </c>
      <c r="M885" s="1">
        <v>16343</v>
      </c>
      <c r="N885" s="1">
        <v>165931.78</v>
      </c>
      <c r="O885" s="1">
        <v>2025</v>
      </c>
      <c r="P885" s="1" t="s">
        <v>39</v>
      </c>
      <c r="Q885" s="1" t="s">
        <v>40</v>
      </c>
      <c r="R885" s="4" t="s">
        <v>61</v>
      </c>
      <c r="S885" s="25">
        <f>Table1[[#This Row],[Clicks]]/Table1[[#This Row],[Impressions]]</f>
        <v>0.14211551505243569</v>
      </c>
      <c r="T885" s="22">
        <f>Table1[[#This Row],[Sales]]/Table1[[#This Row],[USD_Spend]]</f>
        <v>2.8399646672683247</v>
      </c>
      <c r="U885" s="1" t="str">
        <f>Outlier_Check!C895</f>
        <v>Outlier</v>
      </c>
    </row>
    <row r="886" spans="1:21" x14ac:dyDescent="0.35">
      <c r="A886" s="3" t="s">
        <v>89</v>
      </c>
      <c r="B886" s="1" t="s">
        <v>28</v>
      </c>
      <c r="C886" s="1" t="s">
        <v>36</v>
      </c>
      <c r="D886" s="1" t="s">
        <v>63</v>
      </c>
      <c r="E886" s="1" t="s">
        <v>30</v>
      </c>
      <c r="F886" s="1" t="s">
        <v>52</v>
      </c>
      <c r="G886" s="2">
        <v>45712</v>
      </c>
      <c r="H886" s="2">
        <v>45748</v>
      </c>
      <c r="I886" s="1">
        <v>13349.17</v>
      </c>
      <c r="J886" s="1">
        <v>0.38059999999999999</v>
      </c>
      <c r="K886" s="1">
        <v>5080.6899999999996</v>
      </c>
      <c r="L886" s="1">
        <v>364280</v>
      </c>
      <c r="M886" s="1">
        <v>9970</v>
      </c>
      <c r="N886" s="1">
        <v>13944.88</v>
      </c>
      <c r="O886" s="1">
        <v>2025</v>
      </c>
      <c r="P886" s="1" t="s">
        <v>39</v>
      </c>
      <c r="Q886" s="1" t="s">
        <v>40</v>
      </c>
      <c r="R886" s="4" t="s">
        <v>54</v>
      </c>
      <c r="S886" s="25">
        <f>Table1[[#This Row],[Clicks]]/Table1[[#This Row],[Impressions]]</f>
        <v>2.7369056769517952E-2</v>
      </c>
      <c r="T886" s="22">
        <f>Table1[[#This Row],[Sales]]/Table1[[#This Row],[USD_Spend]]</f>
        <v>2.7446823167719345</v>
      </c>
      <c r="U886" s="1" t="str">
        <f>Outlier_Check!C896</f>
        <v>Normal</v>
      </c>
    </row>
    <row r="887" spans="1:21" x14ac:dyDescent="0.35">
      <c r="A887" s="3" t="s">
        <v>86</v>
      </c>
      <c r="B887" s="1" t="s">
        <v>48</v>
      </c>
      <c r="C887" s="1" t="s">
        <v>29</v>
      </c>
      <c r="D887" s="1" t="s">
        <v>63</v>
      </c>
      <c r="E887" s="1" t="s">
        <v>38</v>
      </c>
      <c r="F887" s="1" t="s">
        <v>49</v>
      </c>
      <c r="G887" s="2">
        <v>45712</v>
      </c>
      <c r="H887" s="2">
        <v>45717</v>
      </c>
      <c r="I887" s="1">
        <v>6578</v>
      </c>
      <c r="J887" s="1">
        <v>0.40660000000000002</v>
      </c>
      <c r="K887" s="1">
        <v>2674.61</v>
      </c>
      <c r="L887" s="1">
        <v>425287</v>
      </c>
      <c r="M887" s="1">
        <v>47574</v>
      </c>
      <c r="N887" s="1">
        <v>144385.78</v>
      </c>
      <c r="O887" s="1">
        <v>2025</v>
      </c>
      <c r="P887" s="1" t="s">
        <v>39</v>
      </c>
      <c r="Q887" s="1" t="s">
        <v>40</v>
      </c>
      <c r="R887" s="4" t="s">
        <v>54</v>
      </c>
      <c r="S887" s="25">
        <f>Table1[[#This Row],[Clicks]]/Table1[[#This Row],[Impressions]]</f>
        <v>0.11186328291248028</v>
      </c>
      <c r="T887" s="22">
        <f>Table1[[#This Row],[Sales]]/Table1[[#This Row],[USD_Spend]]</f>
        <v>53.983863067886531</v>
      </c>
      <c r="U887" s="1" t="str">
        <f>Outlier_Check!C897</f>
        <v>Normal</v>
      </c>
    </row>
    <row r="888" spans="1:21" x14ac:dyDescent="0.35">
      <c r="A888" s="3" t="s">
        <v>70</v>
      </c>
      <c r="B888" s="1" t="s">
        <v>48</v>
      </c>
      <c r="C888" s="1" t="s">
        <v>58</v>
      </c>
      <c r="D888" s="1" t="s">
        <v>51</v>
      </c>
      <c r="E888" s="1" t="s">
        <v>22</v>
      </c>
      <c r="F888" s="1" t="s">
        <v>44</v>
      </c>
      <c r="G888" s="2">
        <v>45713</v>
      </c>
      <c r="H888" s="2">
        <v>45763</v>
      </c>
      <c r="I888" s="1">
        <v>13199.16</v>
      </c>
      <c r="J888" s="1">
        <v>0.92779999999999996</v>
      </c>
      <c r="K888" s="1">
        <v>12246.18</v>
      </c>
      <c r="L888" s="1">
        <v>474478</v>
      </c>
      <c r="M888" s="1">
        <v>16298</v>
      </c>
      <c r="N888" s="1">
        <v>185716.66</v>
      </c>
      <c r="O888" s="1">
        <v>2025</v>
      </c>
      <c r="P888" s="1" t="s">
        <v>39</v>
      </c>
      <c r="Q888" s="1" t="s">
        <v>40</v>
      </c>
      <c r="R888" s="4" t="s">
        <v>61</v>
      </c>
      <c r="S888" s="25">
        <f>Table1[[#This Row],[Clicks]]/Table1[[#This Row],[Impressions]]</f>
        <v>3.4349327049936984E-2</v>
      </c>
      <c r="T888" s="22">
        <f>Table1[[#This Row],[Sales]]/Table1[[#This Row],[USD_Spend]]</f>
        <v>15.165272762608421</v>
      </c>
      <c r="U888" s="1" t="str">
        <f>Outlier_Check!C898</f>
        <v>Normal</v>
      </c>
    </row>
    <row r="889" spans="1:21" x14ac:dyDescent="0.35">
      <c r="A889" s="3" t="s">
        <v>79</v>
      </c>
      <c r="B889" s="1" t="s">
        <v>48</v>
      </c>
      <c r="C889" s="1" t="s">
        <v>29</v>
      </c>
      <c r="D889" s="1" t="s">
        <v>63</v>
      </c>
      <c r="E889" s="1" t="s">
        <v>30</v>
      </c>
      <c r="F889" s="1" t="s">
        <v>52</v>
      </c>
      <c r="G889" s="2">
        <v>45713</v>
      </c>
      <c r="H889" s="2">
        <v>45726</v>
      </c>
      <c r="I889" s="1">
        <v>22198.3</v>
      </c>
      <c r="J889" s="1">
        <v>1.0936999999999999</v>
      </c>
      <c r="K889" s="1">
        <v>24278.28</v>
      </c>
      <c r="L889" s="1">
        <v>68104</v>
      </c>
      <c r="M889" s="1">
        <v>8237</v>
      </c>
      <c r="N889" s="1">
        <v>131935.01999999999</v>
      </c>
      <c r="O889" s="1">
        <v>2025</v>
      </c>
      <c r="P889" s="1" t="s">
        <v>39</v>
      </c>
      <c r="Q889" s="1" t="s">
        <v>40</v>
      </c>
      <c r="R889" s="4" t="s">
        <v>41</v>
      </c>
      <c r="S889" s="25">
        <f>Table1[[#This Row],[Clicks]]/Table1[[#This Row],[Impressions]]</f>
        <v>0.12094737460354751</v>
      </c>
      <c r="T889" s="22">
        <f>Table1[[#This Row],[Sales]]/Table1[[#This Row],[USD_Spend]]</f>
        <v>5.4342820002075927</v>
      </c>
      <c r="U889" s="1" t="str">
        <f>Outlier_Check!C899</f>
        <v>Normal</v>
      </c>
    </row>
    <row r="890" spans="1:21" x14ac:dyDescent="0.35">
      <c r="A890" s="3" t="s">
        <v>91</v>
      </c>
      <c r="B890" s="1" t="s">
        <v>35</v>
      </c>
      <c r="C890" s="1" t="s">
        <v>29</v>
      </c>
      <c r="D890" s="1" t="s">
        <v>43</v>
      </c>
      <c r="E890" s="1" t="s">
        <v>30</v>
      </c>
      <c r="F890" s="1" t="s">
        <v>44</v>
      </c>
      <c r="G890" s="2">
        <v>45714</v>
      </c>
      <c r="H890" s="2">
        <v>45745</v>
      </c>
      <c r="I890" s="1">
        <v>41343.629999999997</v>
      </c>
      <c r="J890" s="1">
        <v>9.7799999999999998E-2</v>
      </c>
      <c r="K890" s="1">
        <v>4043.41</v>
      </c>
      <c r="L890" s="1">
        <v>342427</v>
      </c>
      <c r="M890" s="1">
        <v>42196</v>
      </c>
      <c r="N890" s="1">
        <v>23170.43</v>
      </c>
      <c r="O890" s="1">
        <v>2025</v>
      </c>
      <c r="P890" s="1" t="s">
        <v>39</v>
      </c>
      <c r="Q890" s="1" t="s">
        <v>40</v>
      </c>
      <c r="R890" s="4" t="s">
        <v>61</v>
      </c>
      <c r="S890" s="25">
        <f>Table1[[#This Row],[Clicks]]/Table1[[#This Row],[Impressions]]</f>
        <v>0.12322626428406638</v>
      </c>
      <c r="T890" s="22">
        <f>Table1[[#This Row],[Sales]]/Table1[[#This Row],[USD_Spend]]</f>
        <v>5.730418137166402</v>
      </c>
      <c r="U890" s="1" t="str">
        <f>Outlier_Check!C900</f>
        <v>Normal</v>
      </c>
    </row>
    <row r="891" spans="1:21" x14ac:dyDescent="0.35">
      <c r="A891" s="3" t="s">
        <v>75</v>
      </c>
      <c r="B891" s="1" t="s">
        <v>35</v>
      </c>
      <c r="C891" s="1" t="s">
        <v>29</v>
      </c>
      <c r="D891" s="1" t="s">
        <v>37</v>
      </c>
      <c r="E891" s="1" t="s">
        <v>38</v>
      </c>
      <c r="F891" s="1" t="s">
        <v>49</v>
      </c>
      <c r="G891" s="2">
        <v>45716</v>
      </c>
      <c r="H891" s="2">
        <v>45776</v>
      </c>
      <c r="I891" s="1">
        <v>20546.95</v>
      </c>
      <c r="J891" s="1">
        <v>3.44E-2</v>
      </c>
      <c r="K891" s="1">
        <v>706.82</v>
      </c>
      <c r="L891" s="1">
        <v>228337</v>
      </c>
      <c r="M891" s="1">
        <v>10778</v>
      </c>
      <c r="N891" s="1">
        <v>100183.21</v>
      </c>
      <c r="O891" s="1">
        <v>2025</v>
      </c>
      <c r="P891" s="1" t="s">
        <v>39</v>
      </c>
      <c r="Q891" s="1" t="s">
        <v>40</v>
      </c>
      <c r="R891" s="4" t="s">
        <v>54</v>
      </c>
      <c r="S891" s="25">
        <f>Table1[[#This Row],[Clicks]]/Table1[[#This Row],[Impressions]]</f>
        <v>4.7202161717111113E-2</v>
      </c>
      <c r="T891" s="22">
        <f>Table1[[#This Row],[Sales]]/Table1[[#This Row],[USD_Spend]]</f>
        <v>141.73793893777764</v>
      </c>
      <c r="U891" s="1" t="str">
        <f>Outlier_Check!C901</f>
        <v>Normal</v>
      </c>
    </row>
    <row r="892" spans="1:21" x14ac:dyDescent="0.35">
      <c r="A892" s="3" t="s">
        <v>89</v>
      </c>
      <c r="B892" s="1" t="s">
        <v>19</v>
      </c>
      <c r="C892" s="1" t="s">
        <v>58</v>
      </c>
      <c r="D892" s="1" t="s">
        <v>21</v>
      </c>
      <c r="E892" s="1" t="s">
        <v>30</v>
      </c>
      <c r="F892" s="1" t="s">
        <v>52</v>
      </c>
      <c r="G892" s="2">
        <v>45716</v>
      </c>
      <c r="H892" s="2">
        <v>45769</v>
      </c>
      <c r="I892" s="1">
        <v>36390.019999999997</v>
      </c>
      <c r="J892" s="1">
        <v>0.61639999999999995</v>
      </c>
      <c r="K892" s="1">
        <v>22430.81</v>
      </c>
      <c r="L892" s="1">
        <v>522357</v>
      </c>
      <c r="M892" s="1">
        <v>41714</v>
      </c>
      <c r="N892" s="1">
        <v>173679.9</v>
      </c>
      <c r="O892" s="1">
        <v>2025</v>
      </c>
      <c r="P892" s="1" t="s">
        <v>39</v>
      </c>
      <c r="Q892" s="1" t="s">
        <v>40</v>
      </c>
      <c r="R892" s="4" t="s">
        <v>61</v>
      </c>
      <c r="S892" s="25">
        <f>Table1[[#This Row],[Clicks]]/Table1[[#This Row],[Impressions]]</f>
        <v>7.9857262370371218E-2</v>
      </c>
      <c r="T892" s="22">
        <f>Table1[[#This Row],[Sales]]/Table1[[#This Row],[USD_Spend]]</f>
        <v>7.7429169967558007</v>
      </c>
      <c r="U892" s="1" t="str">
        <f>Outlier_Check!C902</f>
        <v>Normal</v>
      </c>
    </row>
    <row r="893" spans="1:21" x14ac:dyDescent="0.35">
      <c r="A893" s="3" t="s">
        <v>105</v>
      </c>
      <c r="B893" s="1" t="s">
        <v>28</v>
      </c>
      <c r="C893" s="1" t="s">
        <v>36</v>
      </c>
      <c r="D893" s="1" t="s">
        <v>37</v>
      </c>
      <c r="E893" s="1" t="s">
        <v>30</v>
      </c>
      <c r="F893" s="1" t="s">
        <v>31</v>
      </c>
      <c r="G893" s="2">
        <v>45717</v>
      </c>
      <c r="H893" s="2">
        <v>45773</v>
      </c>
      <c r="I893" s="1">
        <v>45946.15</v>
      </c>
      <c r="J893" s="1">
        <v>0.95679999999999998</v>
      </c>
      <c r="K893" s="1">
        <v>43961.279999999999</v>
      </c>
      <c r="L893" s="1">
        <v>120553</v>
      </c>
      <c r="M893" s="1">
        <v>11503</v>
      </c>
      <c r="N893" s="1">
        <v>183399.97</v>
      </c>
      <c r="O893" s="1">
        <v>2025</v>
      </c>
      <c r="P893" s="1" t="s">
        <v>60</v>
      </c>
      <c r="Q893" s="1" t="s">
        <v>40</v>
      </c>
      <c r="R893" s="4" t="s">
        <v>26</v>
      </c>
      <c r="S893" s="25">
        <f>Table1[[#This Row],[Clicks]]/Table1[[#This Row],[Impressions]]</f>
        <v>9.5418612560450589E-2</v>
      </c>
      <c r="T893" s="22">
        <f>Table1[[#This Row],[Sales]]/Table1[[#This Row],[USD_Spend]]</f>
        <v>4.1718523664461094</v>
      </c>
      <c r="U893" s="1" t="str">
        <f>Outlier_Check!C903</f>
        <v>Normal</v>
      </c>
    </row>
    <row r="894" spans="1:21" x14ac:dyDescent="0.35">
      <c r="A894" s="3" t="s">
        <v>82</v>
      </c>
      <c r="B894" s="1" t="s">
        <v>28</v>
      </c>
      <c r="C894" s="1" t="s">
        <v>20</v>
      </c>
      <c r="D894" s="1" t="s">
        <v>37</v>
      </c>
      <c r="E894" s="1" t="s">
        <v>38</v>
      </c>
      <c r="F894" s="1" t="s">
        <v>31</v>
      </c>
      <c r="G894" s="2">
        <v>45719</v>
      </c>
      <c r="H894" s="2">
        <v>45731</v>
      </c>
      <c r="I894" s="1">
        <v>42477.56</v>
      </c>
      <c r="J894" s="1">
        <v>1.0342</v>
      </c>
      <c r="K894" s="1">
        <v>43930.29</v>
      </c>
      <c r="L894" s="1">
        <v>86054</v>
      </c>
      <c r="M894" s="1">
        <v>24583</v>
      </c>
      <c r="N894" s="1">
        <v>177611.81</v>
      </c>
      <c r="O894" s="1">
        <v>2025</v>
      </c>
      <c r="P894" s="1" t="s">
        <v>60</v>
      </c>
      <c r="Q894" s="1" t="s">
        <v>40</v>
      </c>
      <c r="R894" s="4" t="s">
        <v>41</v>
      </c>
      <c r="S894" s="25">
        <f>Table1[[#This Row],[Clicks]]/Table1[[#This Row],[Impressions]]</f>
        <v>0.2856694633602157</v>
      </c>
      <c r="T894" s="22">
        <f>Table1[[#This Row],[Sales]]/Table1[[#This Row],[USD_Spend]]</f>
        <v>4.0430375032807655</v>
      </c>
      <c r="U894" s="1" t="str">
        <f>Outlier_Check!C904</f>
        <v>Normal</v>
      </c>
    </row>
    <row r="895" spans="1:21" x14ac:dyDescent="0.35">
      <c r="A895" s="3" t="s">
        <v>68</v>
      </c>
      <c r="B895" s="1" t="s">
        <v>48</v>
      </c>
      <c r="C895" s="1" t="s">
        <v>58</v>
      </c>
      <c r="D895" s="1" t="s">
        <v>21</v>
      </c>
      <c r="E895" s="1" t="s">
        <v>38</v>
      </c>
      <c r="F895" s="1" t="s">
        <v>44</v>
      </c>
      <c r="G895" s="2">
        <v>45720</v>
      </c>
      <c r="H895" s="2">
        <v>45768</v>
      </c>
      <c r="I895" s="1">
        <v>32812.36</v>
      </c>
      <c r="J895" s="1">
        <v>0.63119999999999998</v>
      </c>
      <c r="K895" s="1">
        <v>20711.16</v>
      </c>
      <c r="L895" s="1">
        <v>398368</v>
      </c>
      <c r="M895" s="1">
        <v>2946</v>
      </c>
      <c r="N895" s="1">
        <v>175922.49</v>
      </c>
      <c r="O895" s="1">
        <v>2025</v>
      </c>
      <c r="P895" s="1" t="s">
        <v>60</v>
      </c>
      <c r="Q895" s="1" t="s">
        <v>40</v>
      </c>
      <c r="R895" s="4" t="s">
        <v>26</v>
      </c>
      <c r="S895" s="25">
        <f>Table1[[#This Row],[Clicks]]/Table1[[#This Row],[Impressions]]</f>
        <v>7.3951723029962247E-3</v>
      </c>
      <c r="T895" s="22">
        <f>Table1[[#This Row],[Sales]]/Table1[[#This Row],[USD_Spend]]</f>
        <v>8.4940915912001067</v>
      </c>
      <c r="U895" s="1" t="str">
        <f>Outlier_Check!C905</f>
        <v>Normal</v>
      </c>
    </row>
    <row r="896" spans="1:21" x14ac:dyDescent="0.35">
      <c r="A896" s="3" t="s">
        <v>77</v>
      </c>
      <c r="B896" s="1" t="s">
        <v>19</v>
      </c>
      <c r="C896" s="1" t="s">
        <v>58</v>
      </c>
      <c r="D896" s="1" t="s">
        <v>37</v>
      </c>
      <c r="E896" s="1" t="s">
        <v>38</v>
      </c>
      <c r="F896" s="1" t="s">
        <v>23</v>
      </c>
      <c r="G896" s="2">
        <v>45720</v>
      </c>
      <c r="H896" s="2">
        <v>45755</v>
      </c>
      <c r="I896" s="1">
        <v>38109.370000000003</v>
      </c>
      <c r="J896" s="1">
        <v>6.0600000000000001E-2</v>
      </c>
      <c r="K896" s="1">
        <v>2309.4299999999998</v>
      </c>
      <c r="L896" s="1">
        <v>123054</v>
      </c>
      <c r="M896" s="1">
        <v>2249</v>
      </c>
      <c r="N896" s="1">
        <v>199298.52</v>
      </c>
      <c r="O896" s="1">
        <v>2025</v>
      </c>
      <c r="P896" s="1" t="s">
        <v>60</v>
      </c>
      <c r="Q896" s="1" t="s">
        <v>40</v>
      </c>
      <c r="R896" s="4" t="s">
        <v>26</v>
      </c>
      <c r="S896" s="25">
        <f>Table1[[#This Row],[Clicks]]/Table1[[#This Row],[Impressions]]</f>
        <v>1.8276529003526908E-2</v>
      </c>
      <c r="T896" s="22">
        <f>Table1[[#This Row],[Sales]]/Table1[[#This Row],[USD_Spend]]</f>
        <v>86.297709824502149</v>
      </c>
      <c r="U896" s="1" t="str">
        <f>Outlier_Check!C906</f>
        <v>Normal</v>
      </c>
    </row>
    <row r="897" spans="1:21" x14ac:dyDescent="0.35">
      <c r="A897" s="3" t="s">
        <v>70</v>
      </c>
      <c r="B897" s="1" t="s">
        <v>28</v>
      </c>
      <c r="C897" s="1" t="s">
        <v>69</v>
      </c>
      <c r="D897" s="1" t="s">
        <v>59</v>
      </c>
      <c r="E897" s="1" t="s">
        <v>30</v>
      </c>
      <c r="F897" s="1" t="s">
        <v>31</v>
      </c>
      <c r="G897" s="2">
        <v>45722</v>
      </c>
      <c r="H897" s="2">
        <v>45755</v>
      </c>
      <c r="I897" s="1">
        <v>1919.47</v>
      </c>
      <c r="J897" s="1">
        <v>0.60229999999999995</v>
      </c>
      <c r="K897" s="1">
        <v>1156.0999999999999</v>
      </c>
      <c r="L897" s="1">
        <v>694578</v>
      </c>
      <c r="M897" s="1">
        <v>42065</v>
      </c>
      <c r="N897" s="1">
        <v>5212.57</v>
      </c>
      <c r="O897" s="1">
        <v>2025</v>
      </c>
      <c r="P897" s="1" t="s">
        <v>60</v>
      </c>
      <c r="Q897" s="1" t="s">
        <v>40</v>
      </c>
      <c r="R897" s="4" t="s">
        <v>54</v>
      </c>
      <c r="S897" s="25">
        <f>Table1[[#This Row],[Clicks]]/Table1[[#This Row],[Impressions]]</f>
        <v>6.0561952725251882E-2</v>
      </c>
      <c r="T897" s="22">
        <f>Table1[[#This Row],[Sales]]/Table1[[#This Row],[USD_Spend]]</f>
        <v>4.5087535680304471</v>
      </c>
      <c r="U897" s="1" t="str">
        <f>Outlier_Check!C907</f>
        <v>Normal</v>
      </c>
    </row>
    <row r="898" spans="1:21" x14ac:dyDescent="0.35">
      <c r="A898" s="3" t="s">
        <v>102</v>
      </c>
      <c r="B898" s="1" t="s">
        <v>35</v>
      </c>
      <c r="C898" s="1" t="s">
        <v>36</v>
      </c>
      <c r="D898" s="1" t="s">
        <v>37</v>
      </c>
      <c r="E898" s="1" t="s">
        <v>38</v>
      </c>
      <c r="F898" s="1" t="s">
        <v>49</v>
      </c>
      <c r="G898" s="2">
        <v>45722</v>
      </c>
      <c r="H898" s="2">
        <v>45753</v>
      </c>
      <c r="I898" s="1">
        <v>34031.15</v>
      </c>
      <c r="J898" s="1">
        <v>0.8024</v>
      </c>
      <c r="K898" s="1">
        <v>27306.59</v>
      </c>
      <c r="L898" s="1">
        <v>644960</v>
      </c>
      <c r="M898" s="1">
        <v>17157</v>
      </c>
      <c r="N898" s="1">
        <v>199984.71</v>
      </c>
      <c r="O898" s="1">
        <v>2025</v>
      </c>
      <c r="P898" s="1" t="s">
        <v>60</v>
      </c>
      <c r="Q898" s="1" t="s">
        <v>40</v>
      </c>
      <c r="R898" s="4" t="s">
        <v>61</v>
      </c>
      <c r="S898" s="25">
        <f>Table1[[#This Row],[Clicks]]/Table1[[#This Row],[Impressions]]</f>
        <v>2.660164971471099E-2</v>
      </c>
      <c r="T898" s="22">
        <f>Table1[[#This Row],[Sales]]/Table1[[#This Row],[USD_Spend]]</f>
        <v>7.3236793755646525</v>
      </c>
      <c r="U898" s="1" t="str">
        <f>Outlier_Check!C908</f>
        <v>Normal</v>
      </c>
    </row>
    <row r="899" spans="1:21" x14ac:dyDescent="0.35">
      <c r="A899" s="3" t="s">
        <v>62</v>
      </c>
      <c r="B899" s="1" t="s">
        <v>28</v>
      </c>
      <c r="C899" s="1" t="s">
        <v>36</v>
      </c>
      <c r="D899" s="1" t="s">
        <v>37</v>
      </c>
      <c r="E899" s="1" t="s">
        <v>22</v>
      </c>
      <c r="F899" s="1" t="s">
        <v>44</v>
      </c>
      <c r="G899" s="2">
        <v>45723</v>
      </c>
      <c r="H899" s="2">
        <v>45745</v>
      </c>
      <c r="I899" s="1">
        <v>8170.15</v>
      </c>
      <c r="J899" s="1">
        <v>0.9597</v>
      </c>
      <c r="K899" s="1">
        <v>7840.89</v>
      </c>
      <c r="L899" s="1">
        <v>296939</v>
      </c>
      <c r="M899" s="1">
        <v>746</v>
      </c>
      <c r="N899" s="1">
        <v>28996.98</v>
      </c>
      <c r="O899" s="1">
        <v>2025</v>
      </c>
      <c r="P899" s="1" t="s">
        <v>60</v>
      </c>
      <c r="Q899" s="1" t="s">
        <v>40</v>
      </c>
      <c r="R899" s="4" t="s">
        <v>41</v>
      </c>
      <c r="S899" s="25">
        <f>Table1[[#This Row],[Clicks]]/Table1[[#This Row],[Impressions]]</f>
        <v>2.5123005061645659E-3</v>
      </c>
      <c r="T899" s="22">
        <f>Table1[[#This Row],[Sales]]/Table1[[#This Row],[USD_Spend]]</f>
        <v>3.6981745694685166</v>
      </c>
      <c r="U899" s="1" t="str">
        <f>Outlier_Check!C909</f>
        <v>Normal</v>
      </c>
    </row>
    <row r="900" spans="1:21" x14ac:dyDescent="0.35">
      <c r="A900" s="3" t="s">
        <v>78</v>
      </c>
      <c r="B900" s="1" t="s">
        <v>35</v>
      </c>
      <c r="C900" s="1" t="s">
        <v>58</v>
      </c>
      <c r="D900" s="1" t="s">
        <v>51</v>
      </c>
      <c r="E900" s="1" t="s">
        <v>38</v>
      </c>
      <c r="F900" s="1" t="s">
        <v>52</v>
      </c>
      <c r="G900" s="2">
        <v>45723</v>
      </c>
      <c r="H900" s="2">
        <v>45738</v>
      </c>
      <c r="I900" s="1">
        <v>1765.89</v>
      </c>
      <c r="J900" s="1">
        <v>0.58950000000000002</v>
      </c>
      <c r="K900" s="1">
        <v>1040.99</v>
      </c>
      <c r="L900" s="1">
        <v>16658</v>
      </c>
      <c r="M900" s="1">
        <v>573</v>
      </c>
      <c r="N900" s="1">
        <v>48956.15</v>
      </c>
      <c r="O900" s="1">
        <v>2025</v>
      </c>
      <c r="P900" s="1" t="s">
        <v>60</v>
      </c>
      <c r="Q900" s="1" t="s">
        <v>40</v>
      </c>
      <c r="R900" s="4" t="s">
        <v>61</v>
      </c>
      <c r="S900" s="25">
        <f>Table1[[#This Row],[Clicks]]/Table1[[#This Row],[Impressions]]</f>
        <v>3.4397886901188619E-2</v>
      </c>
      <c r="T900" s="22">
        <f>Table1[[#This Row],[Sales]]/Table1[[#This Row],[USD_Spend]]</f>
        <v>47.028453683512808</v>
      </c>
      <c r="U900" s="1" t="str">
        <f>Outlier_Check!C910</f>
        <v>Normal</v>
      </c>
    </row>
    <row r="901" spans="1:21" x14ac:dyDescent="0.35">
      <c r="A901" s="3" t="s">
        <v>84</v>
      </c>
      <c r="B901" s="1" t="s">
        <v>48</v>
      </c>
      <c r="C901" s="1" t="s">
        <v>36</v>
      </c>
      <c r="D901" s="1" t="s">
        <v>21</v>
      </c>
      <c r="E901" s="1" t="s">
        <v>22</v>
      </c>
      <c r="F901" s="1" t="s">
        <v>49</v>
      </c>
      <c r="G901" s="2">
        <v>45724</v>
      </c>
      <c r="H901" s="2">
        <v>45756</v>
      </c>
      <c r="I901" s="1">
        <v>11723.22</v>
      </c>
      <c r="J901" s="1">
        <v>0.96689999999999998</v>
      </c>
      <c r="K901" s="1">
        <v>11335.18</v>
      </c>
      <c r="L901" s="1">
        <v>739716</v>
      </c>
      <c r="M901" s="1">
        <v>34044</v>
      </c>
      <c r="N901" s="1">
        <v>118814.72</v>
      </c>
      <c r="O901" s="1">
        <v>2025</v>
      </c>
      <c r="P901" s="1" t="s">
        <v>60</v>
      </c>
      <c r="Q901" s="1" t="s">
        <v>40</v>
      </c>
      <c r="R901" s="4" t="s">
        <v>41</v>
      </c>
      <c r="S901" s="25">
        <f>Table1[[#This Row],[Clicks]]/Table1[[#This Row],[Impressions]]</f>
        <v>4.6023068312703794E-2</v>
      </c>
      <c r="T901" s="22">
        <f>Table1[[#This Row],[Sales]]/Table1[[#This Row],[USD_Spend]]</f>
        <v>10.481943824447429</v>
      </c>
      <c r="U901" s="1" t="str">
        <f>Outlier_Check!C911</f>
        <v>Normal</v>
      </c>
    </row>
    <row r="902" spans="1:21" x14ac:dyDescent="0.35">
      <c r="A902" s="3" t="s">
        <v>50</v>
      </c>
      <c r="B902" s="1" t="s">
        <v>48</v>
      </c>
      <c r="C902" s="1" t="s">
        <v>20</v>
      </c>
      <c r="D902" s="1" t="s">
        <v>59</v>
      </c>
      <c r="E902" s="1" t="s">
        <v>22</v>
      </c>
      <c r="F902" s="1" t="s">
        <v>23</v>
      </c>
      <c r="G902" s="2">
        <v>45724</v>
      </c>
      <c r="H902" s="2">
        <v>45741</v>
      </c>
      <c r="I902" s="1">
        <v>6231.8</v>
      </c>
      <c r="J902" s="1">
        <v>0.2298</v>
      </c>
      <c r="K902" s="1">
        <v>1432.07</v>
      </c>
      <c r="L902" s="1">
        <v>809484</v>
      </c>
      <c r="M902" s="1">
        <v>40206</v>
      </c>
      <c r="N902" s="1">
        <v>156151.89000000001</v>
      </c>
      <c r="O902" s="1">
        <v>2025</v>
      </c>
      <c r="P902" s="1" t="s">
        <v>60</v>
      </c>
      <c r="Q902" s="1" t="s">
        <v>40</v>
      </c>
      <c r="R902" s="4" t="s">
        <v>41</v>
      </c>
      <c r="S902" s="25">
        <f>Table1[[#This Row],[Clicks]]/Table1[[#This Row],[Impressions]]</f>
        <v>4.9668677824391834E-2</v>
      </c>
      <c r="T902" s="22">
        <f>Table1[[#This Row],[Sales]]/Table1[[#This Row],[USD_Spend]]</f>
        <v>109.03928578910251</v>
      </c>
      <c r="U902" s="1" t="str">
        <f>Outlier_Check!C912</f>
        <v>Normal</v>
      </c>
    </row>
    <row r="903" spans="1:21" x14ac:dyDescent="0.35">
      <c r="A903" s="3" t="s">
        <v>27</v>
      </c>
      <c r="B903" s="1" t="s">
        <v>19</v>
      </c>
      <c r="C903" s="1" t="s">
        <v>36</v>
      </c>
      <c r="D903" s="1" t="s">
        <v>63</v>
      </c>
      <c r="E903" s="1" t="s">
        <v>38</v>
      </c>
      <c r="F903" s="1" t="s">
        <v>44</v>
      </c>
      <c r="G903" s="2">
        <v>45725</v>
      </c>
      <c r="H903" s="2">
        <v>45765</v>
      </c>
      <c r="I903" s="1">
        <v>15341.49</v>
      </c>
      <c r="J903" s="1">
        <v>0.78779999999999994</v>
      </c>
      <c r="K903" s="1">
        <v>12086.03</v>
      </c>
      <c r="L903" s="1">
        <v>562436</v>
      </c>
      <c r="M903" s="1">
        <v>17633</v>
      </c>
      <c r="N903" s="1">
        <v>83120.44</v>
      </c>
      <c r="O903" s="1">
        <v>2025</v>
      </c>
      <c r="P903" s="1" t="s">
        <v>60</v>
      </c>
      <c r="Q903" s="1" t="s">
        <v>40</v>
      </c>
      <c r="R903" s="4" t="s">
        <v>54</v>
      </c>
      <c r="S903" s="25">
        <f>Table1[[#This Row],[Clicks]]/Table1[[#This Row],[Impressions]]</f>
        <v>3.135112261661771E-2</v>
      </c>
      <c r="T903" s="22">
        <f>Table1[[#This Row],[Sales]]/Table1[[#This Row],[USD_Spend]]</f>
        <v>6.8773981199781895</v>
      </c>
      <c r="U903" s="1" t="str">
        <f>Outlier_Check!C913</f>
        <v>Normal</v>
      </c>
    </row>
    <row r="904" spans="1:21" x14ac:dyDescent="0.35">
      <c r="A904" s="3" t="s">
        <v>78</v>
      </c>
      <c r="B904" s="1" t="s">
        <v>28</v>
      </c>
      <c r="C904" s="1" t="s">
        <v>20</v>
      </c>
      <c r="D904" s="1" t="s">
        <v>63</v>
      </c>
      <c r="E904" s="1" t="s">
        <v>38</v>
      </c>
      <c r="F904" s="1" t="s">
        <v>52</v>
      </c>
      <c r="G904" s="2">
        <v>45726</v>
      </c>
      <c r="H904" s="2">
        <v>45749</v>
      </c>
      <c r="I904" s="1">
        <v>18400.34</v>
      </c>
      <c r="J904" s="1">
        <v>0.81110000000000004</v>
      </c>
      <c r="K904" s="1">
        <v>14924.52</v>
      </c>
      <c r="L904" s="1">
        <v>521174</v>
      </c>
      <c r="M904" s="1">
        <v>48368</v>
      </c>
      <c r="N904" s="1">
        <v>114497.88</v>
      </c>
      <c r="O904" s="1">
        <v>2025</v>
      </c>
      <c r="P904" s="1" t="s">
        <v>60</v>
      </c>
      <c r="Q904" s="1" t="s">
        <v>40</v>
      </c>
      <c r="R904" s="4" t="s">
        <v>61</v>
      </c>
      <c r="S904" s="25">
        <f>Table1[[#This Row],[Clicks]]/Table1[[#This Row],[Impressions]]</f>
        <v>9.2805857544697168E-2</v>
      </c>
      <c r="T904" s="22">
        <f>Table1[[#This Row],[Sales]]/Table1[[#This Row],[USD_Spend]]</f>
        <v>7.6717964798867904</v>
      </c>
      <c r="U904" s="1" t="str">
        <f>Outlier_Check!C914</f>
        <v>Normal</v>
      </c>
    </row>
    <row r="905" spans="1:21" x14ac:dyDescent="0.35">
      <c r="A905" s="3" t="s">
        <v>70</v>
      </c>
      <c r="B905" s="1" t="s">
        <v>48</v>
      </c>
      <c r="C905" s="1" t="s">
        <v>20</v>
      </c>
      <c r="D905" s="1" t="s">
        <v>59</v>
      </c>
      <c r="E905" s="1" t="s">
        <v>22</v>
      </c>
      <c r="F905" s="1" t="s">
        <v>49</v>
      </c>
      <c r="G905" s="2">
        <v>45727</v>
      </c>
      <c r="H905" s="2">
        <v>45773</v>
      </c>
      <c r="I905" s="1">
        <v>35067.1</v>
      </c>
      <c r="J905" s="1">
        <v>0.3513</v>
      </c>
      <c r="K905" s="1">
        <v>12319.07</v>
      </c>
      <c r="L905" s="1">
        <v>173459</v>
      </c>
      <c r="M905" s="1">
        <v>4032</v>
      </c>
      <c r="N905" s="1">
        <v>220883.5</v>
      </c>
      <c r="O905" s="1">
        <v>2025</v>
      </c>
      <c r="P905" s="1" t="s">
        <v>60</v>
      </c>
      <c r="Q905" s="1" t="s">
        <v>40</v>
      </c>
      <c r="R905" s="4" t="s">
        <v>54</v>
      </c>
      <c r="S905" s="25">
        <f>Table1[[#This Row],[Clicks]]/Table1[[#This Row],[Impressions]]</f>
        <v>2.324468606414196E-2</v>
      </c>
      <c r="T905" s="22">
        <f>Table1[[#This Row],[Sales]]/Table1[[#This Row],[USD_Spend]]</f>
        <v>17.930209017401477</v>
      </c>
      <c r="U905" s="1" t="str">
        <f>Outlier_Check!C915</f>
        <v>Normal</v>
      </c>
    </row>
    <row r="906" spans="1:21" x14ac:dyDescent="0.35">
      <c r="A906" s="3" t="s">
        <v>57</v>
      </c>
      <c r="B906" s="1" t="s">
        <v>48</v>
      </c>
      <c r="C906" s="1" t="s">
        <v>29</v>
      </c>
      <c r="D906" s="1" t="s">
        <v>63</v>
      </c>
      <c r="E906" s="1" t="s">
        <v>22</v>
      </c>
      <c r="F906" s="1" t="s">
        <v>23</v>
      </c>
      <c r="G906" s="2">
        <v>45729</v>
      </c>
      <c r="H906" s="2">
        <v>45784</v>
      </c>
      <c r="I906" s="1">
        <v>23295.41</v>
      </c>
      <c r="J906" s="1">
        <v>0.51339999999999997</v>
      </c>
      <c r="K906" s="1">
        <v>11959.86</v>
      </c>
      <c r="L906" s="1">
        <v>775990</v>
      </c>
      <c r="M906" s="1">
        <v>36522</v>
      </c>
      <c r="N906" s="1">
        <v>167158.47</v>
      </c>
      <c r="O906" s="1">
        <v>2025</v>
      </c>
      <c r="P906" s="1" t="s">
        <v>60</v>
      </c>
      <c r="Q906" s="1" t="s">
        <v>40</v>
      </c>
      <c r="R906" s="4" t="s">
        <v>26</v>
      </c>
      <c r="S906" s="25">
        <f>Table1[[#This Row],[Clicks]]/Table1[[#This Row],[Impressions]]</f>
        <v>4.7065039497931671E-2</v>
      </c>
      <c r="T906" s="22">
        <f>Table1[[#This Row],[Sales]]/Table1[[#This Row],[USD_Spend]]</f>
        <v>13.976624308311301</v>
      </c>
      <c r="U906" s="1" t="str">
        <f>Outlier_Check!C916</f>
        <v>Normal</v>
      </c>
    </row>
    <row r="907" spans="1:21" x14ac:dyDescent="0.35">
      <c r="A907" s="3" t="s">
        <v>77</v>
      </c>
      <c r="B907" s="1" t="s">
        <v>48</v>
      </c>
      <c r="C907" s="1" t="s">
        <v>58</v>
      </c>
      <c r="D907" s="1" t="s">
        <v>43</v>
      </c>
      <c r="E907" s="1" t="s">
        <v>30</v>
      </c>
      <c r="F907" s="1" t="s">
        <v>49</v>
      </c>
      <c r="G907" s="2">
        <v>45729</v>
      </c>
      <c r="H907" s="2">
        <v>45779</v>
      </c>
      <c r="I907" s="1">
        <v>16575.09</v>
      </c>
      <c r="J907" s="1">
        <v>0.27179999999999999</v>
      </c>
      <c r="K907" s="1">
        <v>4505.1099999999997</v>
      </c>
      <c r="L907" s="1">
        <v>202800</v>
      </c>
      <c r="M907" s="1">
        <v>34218</v>
      </c>
      <c r="N907" s="1">
        <v>21703.23</v>
      </c>
      <c r="O907" s="1">
        <v>2025</v>
      </c>
      <c r="P907" s="1" t="s">
        <v>60</v>
      </c>
      <c r="Q907" s="1" t="s">
        <v>40</v>
      </c>
      <c r="R907" s="4" t="s">
        <v>26</v>
      </c>
      <c r="S907" s="25">
        <f>Table1[[#This Row],[Clicks]]/Table1[[#This Row],[Impressions]]</f>
        <v>0.16872781065088757</v>
      </c>
      <c r="T907" s="22">
        <f>Table1[[#This Row],[Sales]]/Table1[[#This Row],[USD_Spend]]</f>
        <v>4.8174694957503812</v>
      </c>
      <c r="U907" s="1" t="str">
        <f>Outlier_Check!C917</f>
        <v>Normal</v>
      </c>
    </row>
    <row r="908" spans="1:21" x14ac:dyDescent="0.35">
      <c r="A908" s="3" t="s">
        <v>82</v>
      </c>
      <c r="B908" s="1" t="s">
        <v>19</v>
      </c>
      <c r="C908" s="1" t="s">
        <v>20</v>
      </c>
      <c r="D908" s="1" t="s">
        <v>21</v>
      </c>
      <c r="E908" s="1" t="s">
        <v>22</v>
      </c>
      <c r="F908" s="1" t="s">
        <v>44</v>
      </c>
      <c r="G908" s="2">
        <v>45730</v>
      </c>
      <c r="H908" s="2">
        <v>45762</v>
      </c>
      <c r="I908" s="1">
        <v>28793.35</v>
      </c>
      <c r="J908" s="1">
        <v>0.41720000000000002</v>
      </c>
      <c r="K908" s="1">
        <v>12012.59</v>
      </c>
      <c r="L908" s="1">
        <v>737851</v>
      </c>
      <c r="M908" s="1">
        <v>15576</v>
      </c>
      <c r="N908" s="1">
        <v>47405.94</v>
      </c>
      <c r="O908" s="1">
        <v>2025</v>
      </c>
      <c r="P908" s="1" t="s">
        <v>60</v>
      </c>
      <c r="Q908" s="1" t="s">
        <v>40</v>
      </c>
      <c r="R908" s="4" t="s">
        <v>54</v>
      </c>
      <c r="S908" s="25">
        <f>Table1[[#This Row],[Clicks]]/Table1[[#This Row],[Impressions]]</f>
        <v>2.1109953093510749E-2</v>
      </c>
      <c r="T908" s="22">
        <f>Table1[[#This Row],[Sales]]/Table1[[#This Row],[USD_Spend]]</f>
        <v>3.9463546162817513</v>
      </c>
      <c r="U908" s="1" t="str">
        <f>Outlier_Check!C918</f>
        <v>Normal</v>
      </c>
    </row>
    <row r="909" spans="1:21" x14ac:dyDescent="0.35">
      <c r="A909" s="3" t="s">
        <v>34</v>
      </c>
      <c r="B909" s="1" t="s">
        <v>28</v>
      </c>
      <c r="C909" s="1" t="s">
        <v>29</v>
      </c>
      <c r="D909" s="1" t="s">
        <v>59</v>
      </c>
      <c r="E909" s="1" t="s">
        <v>38</v>
      </c>
      <c r="F909" s="1" t="s">
        <v>52</v>
      </c>
      <c r="G909" s="2">
        <v>45731</v>
      </c>
      <c r="H909" s="2">
        <v>45769</v>
      </c>
      <c r="I909" s="1">
        <v>16617.990000000002</v>
      </c>
      <c r="J909" s="1">
        <v>0.50539999999999996</v>
      </c>
      <c r="K909" s="1">
        <v>8398.73</v>
      </c>
      <c r="L909" s="1">
        <v>166466</v>
      </c>
      <c r="M909" s="1">
        <v>19753</v>
      </c>
      <c r="N909" s="1">
        <v>97232.75</v>
      </c>
      <c r="O909" s="1">
        <v>2025</v>
      </c>
      <c r="P909" s="1" t="s">
        <v>60</v>
      </c>
      <c r="Q909" s="1" t="s">
        <v>40</v>
      </c>
      <c r="R909" s="4" t="s">
        <v>54</v>
      </c>
      <c r="S909" s="25">
        <f>Table1[[#This Row],[Clicks]]/Table1[[#This Row],[Impressions]]</f>
        <v>0.11866086768469238</v>
      </c>
      <c r="T909" s="22">
        <f>Table1[[#This Row],[Sales]]/Table1[[#This Row],[USD_Spend]]</f>
        <v>11.577077724846495</v>
      </c>
      <c r="U909" s="1" t="str">
        <f>Outlier_Check!C919</f>
        <v>Normal</v>
      </c>
    </row>
    <row r="910" spans="1:21" x14ac:dyDescent="0.35">
      <c r="A910" s="3" t="s">
        <v>114</v>
      </c>
      <c r="B910" s="1" t="s">
        <v>35</v>
      </c>
      <c r="C910" s="1" t="s">
        <v>29</v>
      </c>
      <c r="D910" s="1" t="s">
        <v>51</v>
      </c>
      <c r="E910" s="1" t="s">
        <v>38</v>
      </c>
      <c r="F910" s="1" t="s">
        <v>31</v>
      </c>
      <c r="G910" s="2">
        <v>45731</v>
      </c>
      <c r="H910" s="2">
        <v>45753</v>
      </c>
      <c r="I910" s="1">
        <v>46403.69</v>
      </c>
      <c r="J910" s="1">
        <v>0.12709999999999999</v>
      </c>
      <c r="K910" s="1">
        <v>5897.91</v>
      </c>
      <c r="L910" s="1">
        <v>84814</v>
      </c>
      <c r="M910" s="1">
        <v>23708</v>
      </c>
      <c r="N910" s="1">
        <v>14378.94</v>
      </c>
      <c r="O910" s="1">
        <v>2025</v>
      </c>
      <c r="P910" s="1" t="s">
        <v>60</v>
      </c>
      <c r="Q910" s="1" t="s">
        <v>40</v>
      </c>
      <c r="R910" s="4" t="s">
        <v>41</v>
      </c>
      <c r="S910" s="25">
        <f>Table1[[#This Row],[Clicks]]/Table1[[#This Row],[Impressions]]</f>
        <v>0.27952932298912914</v>
      </c>
      <c r="T910" s="22">
        <f>Table1[[#This Row],[Sales]]/Table1[[#This Row],[USD_Spend]]</f>
        <v>2.4379720951998252</v>
      </c>
      <c r="U910" s="1" t="str">
        <f>Outlier_Check!C920</f>
        <v>Normal</v>
      </c>
    </row>
    <row r="911" spans="1:21" x14ac:dyDescent="0.35">
      <c r="A911" s="3" t="s">
        <v>97</v>
      </c>
      <c r="B911" s="1" t="s">
        <v>35</v>
      </c>
      <c r="C911" s="1" t="s">
        <v>20</v>
      </c>
      <c r="D911" s="1" t="s">
        <v>59</v>
      </c>
      <c r="E911" s="1" t="s">
        <v>38</v>
      </c>
      <c r="F911" s="1" t="s">
        <v>23</v>
      </c>
      <c r="G911" s="2">
        <v>45735</v>
      </c>
      <c r="H911" s="2">
        <v>45780</v>
      </c>
      <c r="I911" s="1">
        <v>32717.96</v>
      </c>
      <c r="J911" s="1">
        <v>8.8400000000000006E-2</v>
      </c>
      <c r="K911" s="1">
        <v>2892.27</v>
      </c>
      <c r="L911" s="1">
        <v>109096</v>
      </c>
      <c r="M911" s="1">
        <v>36666</v>
      </c>
      <c r="N911" s="1">
        <v>171202.94</v>
      </c>
      <c r="O911" s="1">
        <v>2025</v>
      </c>
      <c r="P911" s="1" t="s">
        <v>60</v>
      </c>
      <c r="Q911" s="1" t="s">
        <v>40</v>
      </c>
      <c r="R911" s="4" t="s">
        <v>61</v>
      </c>
      <c r="S911" s="25">
        <f>Table1[[#This Row],[Clicks]]/Table1[[#This Row],[Impressions]]</f>
        <v>0.33608931583192786</v>
      </c>
      <c r="T911" s="22">
        <f>Table1[[#This Row],[Sales]]/Table1[[#This Row],[USD_Spend]]</f>
        <v>59.193277252815264</v>
      </c>
      <c r="U911" s="1" t="str">
        <f>Outlier_Check!C921</f>
        <v>Normal</v>
      </c>
    </row>
    <row r="912" spans="1:21" x14ac:dyDescent="0.35">
      <c r="A912" s="3" t="s">
        <v>50</v>
      </c>
      <c r="B912" s="1" t="s">
        <v>48</v>
      </c>
      <c r="C912" s="1" t="s">
        <v>69</v>
      </c>
      <c r="D912" s="1" t="s">
        <v>37</v>
      </c>
      <c r="E912" s="1" t="s">
        <v>22</v>
      </c>
      <c r="F912" s="1" t="s">
        <v>52</v>
      </c>
      <c r="G912" s="2">
        <v>45735</v>
      </c>
      <c r="H912" s="2">
        <v>45755</v>
      </c>
      <c r="I912" s="1">
        <v>1437.56</v>
      </c>
      <c r="J912" s="1">
        <v>0.06</v>
      </c>
      <c r="K912" s="1">
        <v>86.25</v>
      </c>
      <c r="L912" s="1">
        <v>831533</v>
      </c>
      <c r="M912" s="1">
        <v>45369</v>
      </c>
      <c r="N912" s="1">
        <v>121441.32</v>
      </c>
      <c r="O912" s="1">
        <v>2025</v>
      </c>
      <c r="P912" s="1" t="s">
        <v>60</v>
      </c>
      <c r="Q912" s="1" t="s">
        <v>40</v>
      </c>
      <c r="R912" s="4" t="s">
        <v>54</v>
      </c>
      <c r="S912" s="25">
        <f>Table1[[#This Row],[Clicks]]/Table1[[#This Row],[Impressions]]</f>
        <v>5.456067287768495E-2</v>
      </c>
      <c r="T912" s="22">
        <f>Table1[[#This Row],[Sales]]/Table1[[#This Row],[USD_Spend]]</f>
        <v>1408.0153043478263</v>
      </c>
      <c r="U912" s="1" t="str">
        <f>Outlier_Check!C922</f>
        <v>Normal</v>
      </c>
    </row>
    <row r="913" spans="1:21" x14ac:dyDescent="0.35">
      <c r="A913" s="3" t="s">
        <v>108</v>
      </c>
      <c r="B913" s="1" t="s">
        <v>28</v>
      </c>
      <c r="C913" s="1" t="s">
        <v>58</v>
      </c>
      <c r="D913" s="1" t="s">
        <v>43</v>
      </c>
      <c r="E913" s="1" t="s">
        <v>38</v>
      </c>
      <c r="F913" s="1" t="s">
        <v>23</v>
      </c>
      <c r="G913" s="2">
        <v>45736</v>
      </c>
      <c r="H913" s="2">
        <v>45759</v>
      </c>
      <c r="I913" s="1">
        <v>28821.279999999999</v>
      </c>
      <c r="J913" s="1">
        <v>0.91120000000000001</v>
      </c>
      <c r="K913" s="1">
        <v>26261.95</v>
      </c>
      <c r="L913" s="1">
        <v>194019</v>
      </c>
      <c r="M913" s="1">
        <v>40139</v>
      </c>
      <c r="N913" s="1">
        <v>214755.89</v>
      </c>
      <c r="O913" s="1">
        <v>2025</v>
      </c>
      <c r="P913" s="1" t="s">
        <v>60</v>
      </c>
      <c r="Q913" s="1" t="s">
        <v>40</v>
      </c>
      <c r="R913" s="4" t="s">
        <v>54</v>
      </c>
      <c r="S913" s="25">
        <f>Table1[[#This Row],[Clicks]]/Table1[[#This Row],[Impressions]]</f>
        <v>0.20688180023605934</v>
      </c>
      <c r="T913" s="22">
        <f>Table1[[#This Row],[Sales]]/Table1[[#This Row],[USD_Spend]]</f>
        <v>8.1774540732885406</v>
      </c>
      <c r="U913" s="1" t="str">
        <f>Outlier_Check!C923</f>
        <v>Normal</v>
      </c>
    </row>
    <row r="914" spans="1:21" x14ac:dyDescent="0.35">
      <c r="A914" s="3" t="s">
        <v>89</v>
      </c>
      <c r="B914" s="1" t="s">
        <v>48</v>
      </c>
      <c r="C914" s="1" t="s">
        <v>36</v>
      </c>
      <c r="D914" s="1" t="s">
        <v>63</v>
      </c>
      <c r="E914" s="1" t="s">
        <v>30</v>
      </c>
      <c r="F914" s="1" t="s">
        <v>23</v>
      </c>
      <c r="G914" s="2">
        <v>45737</v>
      </c>
      <c r="H914" s="2">
        <v>45773</v>
      </c>
      <c r="I914" s="1">
        <v>3071.97</v>
      </c>
      <c r="J914" s="1">
        <v>0.34689999999999999</v>
      </c>
      <c r="K914" s="1">
        <v>1065.67</v>
      </c>
      <c r="L914" s="1">
        <v>35422</v>
      </c>
      <c r="M914" s="1">
        <v>15173</v>
      </c>
      <c r="N914" s="1">
        <v>159731.1</v>
      </c>
      <c r="O914" s="1">
        <v>2025</v>
      </c>
      <c r="P914" s="1" t="s">
        <v>60</v>
      </c>
      <c r="Q914" s="1" t="s">
        <v>40</v>
      </c>
      <c r="R914" s="4" t="s">
        <v>54</v>
      </c>
      <c r="S914" s="25">
        <f>Table1[[#This Row],[Clicks]]/Table1[[#This Row],[Impressions]]</f>
        <v>0.42834961323471288</v>
      </c>
      <c r="T914" s="22">
        <f>Table1[[#This Row],[Sales]]/Table1[[#This Row],[USD_Spend]]</f>
        <v>149.88795781057925</v>
      </c>
      <c r="U914" s="1" t="str">
        <f>Outlier_Check!C924</f>
        <v>Normal</v>
      </c>
    </row>
    <row r="915" spans="1:21" x14ac:dyDescent="0.35">
      <c r="A915" s="3" t="s">
        <v>62</v>
      </c>
      <c r="B915" s="1" t="s">
        <v>19</v>
      </c>
      <c r="C915" s="1" t="s">
        <v>20</v>
      </c>
      <c r="D915" s="1" t="s">
        <v>51</v>
      </c>
      <c r="E915" s="1" t="s">
        <v>38</v>
      </c>
      <c r="F915" s="1" t="s">
        <v>52</v>
      </c>
      <c r="G915" s="2">
        <v>45738</v>
      </c>
      <c r="H915" s="2">
        <v>45773</v>
      </c>
      <c r="I915" s="1">
        <v>44471.43</v>
      </c>
      <c r="J915" s="1">
        <v>1.7899999999999999E-2</v>
      </c>
      <c r="K915" s="1">
        <v>796.04</v>
      </c>
      <c r="L915" s="1">
        <v>934879</v>
      </c>
      <c r="M915" s="1">
        <v>9207</v>
      </c>
      <c r="N915" s="1">
        <v>112775.18</v>
      </c>
      <c r="O915" s="1">
        <v>2025</v>
      </c>
      <c r="P915" s="1" t="s">
        <v>60</v>
      </c>
      <c r="Q915" s="1" t="s">
        <v>40</v>
      </c>
      <c r="R915" s="4" t="s">
        <v>61</v>
      </c>
      <c r="S915" s="25">
        <f>Table1[[#This Row],[Clicks]]/Table1[[#This Row],[Impressions]]</f>
        <v>9.8483333137229529E-3</v>
      </c>
      <c r="T915" s="22">
        <f>Table1[[#This Row],[Sales]]/Table1[[#This Row],[USD_Spend]]</f>
        <v>141.67024270137179</v>
      </c>
      <c r="U915" s="1" t="str">
        <f>Outlier_Check!C925</f>
        <v>Normal</v>
      </c>
    </row>
    <row r="916" spans="1:21" x14ac:dyDescent="0.35">
      <c r="A916" s="3" t="s">
        <v>55</v>
      </c>
      <c r="B916" s="1" t="s">
        <v>35</v>
      </c>
      <c r="C916" s="1" t="s">
        <v>36</v>
      </c>
      <c r="D916" s="1" t="s">
        <v>59</v>
      </c>
      <c r="E916" s="1" t="s">
        <v>30</v>
      </c>
      <c r="F916" s="1" t="s">
        <v>23</v>
      </c>
      <c r="G916" s="2">
        <v>45740</v>
      </c>
      <c r="H916" s="2">
        <v>45790</v>
      </c>
      <c r="I916" s="1">
        <v>3856.7</v>
      </c>
      <c r="J916" s="1">
        <v>0.74419999999999997</v>
      </c>
      <c r="K916" s="1">
        <v>2870.16</v>
      </c>
      <c r="L916" s="1">
        <v>564718</v>
      </c>
      <c r="M916" s="1">
        <v>2764</v>
      </c>
      <c r="N916" s="1">
        <v>184903.58</v>
      </c>
      <c r="O916" s="1">
        <v>2025</v>
      </c>
      <c r="P916" s="1" t="s">
        <v>60</v>
      </c>
      <c r="Q916" s="1" t="s">
        <v>40</v>
      </c>
      <c r="R916" s="4" t="s">
        <v>26</v>
      </c>
      <c r="S916" s="25">
        <f>Table1[[#This Row],[Clicks]]/Table1[[#This Row],[Impressions]]</f>
        <v>4.8944783059863507E-3</v>
      </c>
      <c r="T916" s="22">
        <f>Table1[[#This Row],[Sales]]/Table1[[#This Row],[USD_Spend]]</f>
        <v>64.422742982969595</v>
      </c>
      <c r="U916" s="1" t="str">
        <f>Outlier_Check!C926</f>
        <v>Normal</v>
      </c>
    </row>
    <row r="917" spans="1:21" x14ac:dyDescent="0.35">
      <c r="A917" s="3" t="s">
        <v>81</v>
      </c>
      <c r="B917" s="1" t="s">
        <v>35</v>
      </c>
      <c r="C917" s="1" t="s">
        <v>36</v>
      </c>
      <c r="D917" s="1" t="s">
        <v>43</v>
      </c>
      <c r="E917" s="1" t="s">
        <v>30</v>
      </c>
      <c r="F917" s="1" t="s">
        <v>52</v>
      </c>
      <c r="G917" s="2">
        <v>45742</v>
      </c>
      <c r="H917" s="2">
        <v>45798</v>
      </c>
      <c r="I917" s="1">
        <v>42623.9</v>
      </c>
      <c r="J917" s="1">
        <v>0.36099999999999999</v>
      </c>
      <c r="K917" s="1">
        <v>15387.23</v>
      </c>
      <c r="L917" s="1">
        <v>674845</v>
      </c>
      <c r="M917" s="1">
        <v>9542</v>
      </c>
      <c r="N917" s="1">
        <v>78023.839999999997</v>
      </c>
      <c r="O917" s="1">
        <v>2025</v>
      </c>
      <c r="P917" s="1" t="s">
        <v>60</v>
      </c>
      <c r="Q917" s="1" t="s">
        <v>40</v>
      </c>
      <c r="R917" s="4" t="s">
        <v>26</v>
      </c>
      <c r="S917" s="25">
        <f>Table1[[#This Row],[Clicks]]/Table1[[#This Row],[Impressions]]</f>
        <v>1.4139543154353963E-2</v>
      </c>
      <c r="T917" s="22">
        <f>Table1[[#This Row],[Sales]]/Table1[[#This Row],[USD_Spend]]</f>
        <v>5.0706878366021693</v>
      </c>
      <c r="U917" s="1" t="str">
        <f>Outlier_Check!C927</f>
        <v>Normal</v>
      </c>
    </row>
    <row r="918" spans="1:21" x14ac:dyDescent="0.35">
      <c r="A918" s="3" t="s">
        <v>87</v>
      </c>
      <c r="B918" s="1" t="s">
        <v>48</v>
      </c>
      <c r="C918" s="1" t="s">
        <v>58</v>
      </c>
      <c r="D918" s="1" t="s">
        <v>43</v>
      </c>
      <c r="E918" s="1" t="s">
        <v>38</v>
      </c>
      <c r="F918" s="1" t="s">
        <v>49</v>
      </c>
      <c r="G918" s="2">
        <v>45743</v>
      </c>
      <c r="H918" s="2">
        <v>45773</v>
      </c>
      <c r="I918" s="1">
        <v>31858.26</v>
      </c>
      <c r="J918" s="1">
        <v>0.23180000000000001</v>
      </c>
      <c r="K918" s="1">
        <v>7384.74</v>
      </c>
      <c r="L918" s="1">
        <v>699237</v>
      </c>
      <c r="M918" s="1">
        <v>28420</v>
      </c>
      <c r="N918" s="1">
        <v>101917.68</v>
      </c>
      <c r="O918" s="1">
        <v>2025</v>
      </c>
      <c r="P918" s="1" t="s">
        <v>60</v>
      </c>
      <c r="Q918" s="1" t="s">
        <v>40</v>
      </c>
      <c r="R918" s="4" t="s">
        <v>26</v>
      </c>
      <c r="S918" s="25">
        <f>Table1[[#This Row],[Clicks]]/Table1[[#This Row],[Impressions]]</f>
        <v>4.0644302289495553E-2</v>
      </c>
      <c r="T918" s="22">
        <f>Table1[[#This Row],[Sales]]/Table1[[#This Row],[USD_Spend]]</f>
        <v>13.801119606106646</v>
      </c>
      <c r="U918" s="1" t="str">
        <f>Outlier_Check!C928</f>
        <v>Normal</v>
      </c>
    </row>
    <row r="919" spans="1:21" x14ac:dyDescent="0.35">
      <c r="A919" s="3" t="s">
        <v>27</v>
      </c>
      <c r="B919" s="1" t="s">
        <v>35</v>
      </c>
      <c r="C919" s="1" t="s">
        <v>58</v>
      </c>
      <c r="D919" s="1" t="s">
        <v>21</v>
      </c>
      <c r="E919" s="1" t="s">
        <v>30</v>
      </c>
      <c r="F919" s="1" t="s">
        <v>23</v>
      </c>
      <c r="G919" s="2">
        <v>45743</v>
      </c>
      <c r="H919" s="2">
        <v>45750</v>
      </c>
      <c r="I919" s="1">
        <v>32636.959999999999</v>
      </c>
      <c r="J919" s="1">
        <v>0.58299999999999996</v>
      </c>
      <c r="K919" s="1">
        <v>19027.349999999999</v>
      </c>
      <c r="L919" s="1">
        <v>667667</v>
      </c>
      <c r="M919" s="1">
        <v>30287</v>
      </c>
      <c r="N919" s="1">
        <v>223554.29</v>
      </c>
      <c r="O919" s="1">
        <v>2025</v>
      </c>
      <c r="P919" s="1" t="s">
        <v>60</v>
      </c>
      <c r="Q919" s="1" t="s">
        <v>40</v>
      </c>
      <c r="R919" s="4" t="s">
        <v>41</v>
      </c>
      <c r="S919" s="25">
        <f>Table1[[#This Row],[Clicks]]/Table1[[#This Row],[Impressions]]</f>
        <v>4.5362433668280744E-2</v>
      </c>
      <c r="T919" s="22">
        <f>Table1[[#This Row],[Sales]]/Table1[[#This Row],[USD_Spend]]</f>
        <v>11.749102738952089</v>
      </c>
      <c r="U919" s="1" t="str">
        <f>Outlier_Check!C929</f>
        <v>Normal</v>
      </c>
    </row>
    <row r="920" spans="1:21" x14ac:dyDescent="0.35">
      <c r="A920" s="3" t="s">
        <v>81</v>
      </c>
      <c r="B920" s="1" t="s">
        <v>28</v>
      </c>
      <c r="C920" s="1" t="s">
        <v>58</v>
      </c>
      <c r="D920" s="1" t="s">
        <v>59</v>
      </c>
      <c r="E920" s="1" t="s">
        <v>22</v>
      </c>
      <c r="F920" s="1" t="s">
        <v>49</v>
      </c>
      <c r="G920" s="2">
        <v>45744</v>
      </c>
      <c r="H920" s="2">
        <v>45767</v>
      </c>
      <c r="I920" s="1">
        <v>30253.18</v>
      </c>
      <c r="J920" s="1">
        <v>0.95820000000000005</v>
      </c>
      <c r="K920" s="1">
        <v>28988.6</v>
      </c>
      <c r="L920" s="1">
        <v>584842</v>
      </c>
      <c r="M920" s="1">
        <v>24587</v>
      </c>
      <c r="N920" s="1">
        <v>51199.89</v>
      </c>
      <c r="O920" s="1">
        <v>2025</v>
      </c>
      <c r="P920" s="1" t="s">
        <v>60</v>
      </c>
      <c r="Q920" s="1" t="s">
        <v>40</v>
      </c>
      <c r="R920" s="4" t="s">
        <v>54</v>
      </c>
      <c r="S920" s="25">
        <f>Table1[[#This Row],[Clicks]]/Table1[[#This Row],[Impressions]]</f>
        <v>4.2040414334127849E-2</v>
      </c>
      <c r="T920" s="22">
        <f>Table1[[#This Row],[Sales]]/Table1[[#This Row],[USD_Spend]]</f>
        <v>1.7662077506330076</v>
      </c>
      <c r="U920" s="1" t="str">
        <f>Outlier_Check!C930</f>
        <v>Normal</v>
      </c>
    </row>
    <row r="921" spans="1:21" x14ac:dyDescent="0.35">
      <c r="A921" s="3" t="s">
        <v>115</v>
      </c>
      <c r="B921" s="1" t="s">
        <v>35</v>
      </c>
      <c r="C921" s="1" t="s">
        <v>36</v>
      </c>
      <c r="D921" s="1" t="s">
        <v>51</v>
      </c>
      <c r="E921" s="1" t="s">
        <v>38</v>
      </c>
      <c r="F921" s="1" t="s">
        <v>44</v>
      </c>
      <c r="G921" s="2">
        <v>45744</v>
      </c>
      <c r="H921" s="2">
        <v>45767</v>
      </c>
      <c r="I921" s="1">
        <v>15171.21</v>
      </c>
      <c r="J921" s="1">
        <v>5.1999999999999998E-2</v>
      </c>
      <c r="K921" s="1">
        <v>788.9</v>
      </c>
      <c r="L921" s="1">
        <v>977693</v>
      </c>
      <c r="M921" s="1">
        <v>39266</v>
      </c>
      <c r="N921" s="1">
        <v>188609.19</v>
      </c>
      <c r="O921" s="1">
        <v>2025</v>
      </c>
      <c r="P921" s="1" t="s">
        <v>60</v>
      </c>
      <c r="Q921" s="1" t="s">
        <v>40</v>
      </c>
      <c r="R921" s="4" t="s">
        <v>61</v>
      </c>
      <c r="S921" s="25">
        <f>Table1[[#This Row],[Clicks]]/Table1[[#This Row],[Impressions]]</f>
        <v>4.0161891309439673E-2</v>
      </c>
      <c r="T921" s="22">
        <f>Table1[[#This Row],[Sales]]/Table1[[#This Row],[USD_Spend]]</f>
        <v>239.07870452528837</v>
      </c>
      <c r="U921" s="1" t="str">
        <f>Outlier_Check!C931</f>
        <v>Normal</v>
      </c>
    </row>
    <row r="922" spans="1:21" x14ac:dyDescent="0.35">
      <c r="A922" s="3" t="s">
        <v>71</v>
      </c>
      <c r="B922" s="1" t="s">
        <v>48</v>
      </c>
      <c r="C922" s="1" t="s">
        <v>20</v>
      </c>
      <c r="D922" s="1" t="s">
        <v>63</v>
      </c>
      <c r="E922" s="1" t="s">
        <v>22</v>
      </c>
      <c r="F922" s="1" t="s">
        <v>52</v>
      </c>
      <c r="G922" s="2">
        <v>45744</v>
      </c>
      <c r="H922" s="2">
        <v>45760</v>
      </c>
      <c r="I922" s="1">
        <v>6386.39</v>
      </c>
      <c r="J922" s="1">
        <v>1.0410999999999999</v>
      </c>
      <c r="K922" s="1">
        <v>6648.87</v>
      </c>
      <c r="L922" s="1">
        <v>148205</v>
      </c>
      <c r="M922" s="1">
        <v>1073</v>
      </c>
      <c r="N922" s="1">
        <v>92769.36</v>
      </c>
      <c r="O922" s="1">
        <v>2025</v>
      </c>
      <c r="P922" s="1" t="s">
        <v>60</v>
      </c>
      <c r="Q922" s="1" t="s">
        <v>40</v>
      </c>
      <c r="R922" s="4" t="s">
        <v>41</v>
      </c>
      <c r="S922" s="25">
        <f>Table1[[#This Row],[Clicks]]/Table1[[#This Row],[Impressions]]</f>
        <v>7.2399716608751389E-3</v>
      </c>
      <c r="T922" s="22">
        <f>Table1[[#This Row],[Sales]]/Table1[[#This Row],[USD_Spend]]</f>
        <v>13.95265060077878</v>
      </c>
      <c r="U922" s="1" t="str">
        <f>Outlier_Check!C932</f>
        <v>Normal</v>
      </c>
    </row>
    <row r="923" spans="1:21" x14ac:dyDescent="0.35">
      <c r="A923" s="3" t="s">
        <v>83</v>
      </c>
      <c r="B923" s="1" t="s">
        <v>48</v>
      </c>
      <c r="C923" s="1" t="s">
        <v>69</v>
      </c>
      <c r="D923" s="1" t="s">
        <v>37</v>
      </c>
      <c r="E923" s="1" t="s">
        <v>38</v>
      </c>
      <c r="F923" s="1" t="s">
        <v>31</v>
      </c>
      <c r="G923" s="2">
        <v>45746</v>
      </c>
      <c r="H923" s="2">
        <v>45771</v>
      </c>
      <c r="I923" s="1">
        <v>21208.87</v>
      </c>
      <c r="J923" s="1">
        <v>0.43020000000000003</v>
      </c>
      <c r="K923" s="1">
        <v>9124.06</v>
      </c>
      <c r="L923" s="1">
        <v>571671</v>
      </c>
      <c r="M923" s="1">
        <v>737</v>
      </c>
      <c r="N923" s="1">
        <v>176700.55</v>
      </c>
      <c r="O923" s="1">
        <v>2025</v>
      </c>
      <c r="P923" s="1" t="s">
        <v>60</v>
      </c>
      <c r="Q923" s="1" t="s">
        <v>40</v>
      </c>
      <c r="R923" s="4" t="s">
        <v>26</v>
      </c>
      <c r="S923" s="25">
        <f>Table1[[#This Row],[Clicks]]/Table1[[#This Row],[Impressions]]</f>
        <v>1.2892030556036602E-3</v>
      </c>
      <c r="T923" s="22">
        <f>Table1[[#This Row],[Sales]]/Table1[[#This Row],[USD_Spend]]</f>
        <v>19.366438844111066</v>
      </c>
      <c r="U923" s="1" t="str">
        <f>Outlier_Check!C933</f>
        <v>Normal</v>
      </c>
    </row>
    <row r="924" spans="1:21" x14ac:dyDescent="0.35">
      <c r="A924" s="3" t="s">
        <v>120</v>
      </c>
      <c r="B924" s="1" t="s">
        <v>19</v>
      </c>
      <c r="C924" s="1" t="s">
        <v>36</v>
      </c>
      <c r="D924" s="1" t="s">
        <v>43</v>
      </c>
      <c r="E924" s="1" t="s">
        <v>22</v>
      </c>
      <c r="F924" s="1" t="s">
        <v>44</v>
      </c>
      <c r="G924" s="2">
        <v>45747</v>
      </c>
      <c r="H924" s="2">
        <v>45762</v>
      </c>
      <c r="I924" s="1">
        <v>45622.04</v>
      </c>
      <c r="J924" s="1">
        <v>0.40450000000000003</v>
      </c>
      <c r="K924" s="1">
        <v>18454.12</v>
      </c>
      <c r="L924" s="1">
        <v>236088</v>
      </c>
      <c r="M924" s="1">
        <v>36338</v>
      </c>
      <c r="N924" s="1">
        <v>184666.92</v>
      </c>
      <c r="O924" s="1">
        <v>2025</v>
      </c>
      <c r="P924" s="1" t="s">
        <v>60</v>
      </c>
      <c r="Q924" s="1" t="s">
        <v>40</v>
      </c>
      <c r="R924" s="4" t="s">
        <v>54</v>
      </c>
      <c r="S924" s="25">
        <f>Table1[[#This Row],[Clicks]]/Table1[[#This Row],[Impressions]]</f>
        <v>0.15391718342313035</v>
      </c>
      <c r="T924" s="22">
        <f>Table1[[#This Row],[Sales]]/Table1[[#This Row],[USD_Spend]]</f>
        <v>10.006812570851388</v>
      </c>
      <c r="U924" s="1" t="str">
        <f>Outlier_Check!C934</f>
        <v>Normal</v>
      </c>
    </row>
    <row r="925" spans="1:21" x14ac:dyDescent="0.35">
      <c r="A925" s="3" t="s">
        <v>89</v>
      </c>
      <c r="B925" s="1" t="s">
        <v>48</v>
      </c>
      <c r="C925" s="1" t="s">
        <v>36</v>
      </c>
      <c r="D925" s="1" t="s">
        <v>59</v>
      </c>
      <c r="E925" s="1" t="s">
        <v>38</v>
      </c>
      <c r="F925" s="1" t="s">
        <v>52</v>
      </c>
      <c r="G925" s="2">
        <v>45750</v>
      </c>
      <c r="H925" s="2">
        <v>45774</v>
      </c>
      <c r="I925" s="1">
        <v>5294.12</v>
      </c>
      <c r="J925" s="1">
        <v>0.17080000000000001</v>
      </c>
      <c r="K925" s="1">
        <v>904.24</v>
      </c>
      <c r="L925" s="1">
        <v>210070</v>
      </c>
      <c r="M925" s="1">
        <v>7434</v>
      </c>
      <c r="N925" s="1">
        <v>204912.21</v>
      </c>
      <c r="O925" s="1">
        <v>2025</v>
      </c>
      <c r="P925" s="1" t="s">
        <v>76</v>
      </c>
      <c r="Q925" s="1" t="s">
        <v>46</v>
      </c>
      <c r="R925" s="4" t="s">
        <v>61</v>
      </c>
      <c r="S925" s="25">
        <f>Table1[[#This Row],[Clicks]]/Table1[[#This Row],[Impressions]]</f>
        <v>3.538820393202266E-2</v>
      </c>
      <c r="T925" s="22">
        <f>Table1[[#This Row],[Sales]]/Table1[[#This Row],[USD_Spend]]</f>
        <v>226.61263602583384</v>
      </c>
      <c r="U925" s="1" t="str">
        <f>Outlier_Check!C935</f>
        <v>Normal</v>
      </c>
    </row>
    <row r="926" spans="1:21" x14ac:dyDescent="0.35">
      <c r="A926" s="3" t="s">
        <v>55</v>
      </c>
      <c r="B926" s="1" t="s">
        <v>35</v>
      </c>
      <c r="C926" s="1" t="s">
        <v>20</v>
      </c>
      <c r="D926" s="1" t="s">
        <v>51</v>
      </c>
      <c r="E926" s="1" t="s">
        <v>22</v>
      </c>
      <c r="F926" s="1" t="s">
        <v>52</v>
      </c>
      <c r="G926" s="2">
        <v>45751</v>
      </c>
      <c r="H926" s="2">
        <v>45764</v>
      </c>
      <c r="I926" s="1">
        <v>7770.82</v>
      </c>
      <c r="J926" s="1">
        <v>0.72699999999999998</v>
      </c>
      <c r="K926" s="1">
        <v>5649.39</v>
      </c>
      <c r="L926" s="1">
        <v>939496</v>
      </c>
      <c r="M926" s="1">
        <v>49148</v>
      </c>
      <c r="N926" s="1">
        <v>130512.18</v>
      </c>
      <c r="O926" s="1">
        <v>2025</v>
      </c>
      <c r="P926" s="1" t="s">
        <v>76</v>
      </c>
      <c r="Q926" s="1" t="s">
        <v>46</v>
      </c>
      <c r="R926" s="4" t="s">
        <v>61</v>
      </c>
      <c r="S926" s="25">
        <f>Table1[[#This Row],[Clicks]]/Table1[[#This Row],[Impressions]]</f>
        <v>5.2313155138499788E-2</v>
      </c>
      <c r="T926" s="22">
        <f>Table1[[#This Row],[Sales]]/Table1[[#This Row],[USD_Spend]]</f>
        <v>23.101995082654938</v>
      </c>
      <c r="U926" s="1" t="str">
        <f>Outlier_Check!C936</f>
        <v>Normal</v>
      </c>
    </row>
    <row r="927" spans="1:21" x14ac:dyDescent="0.35">
      <c r="A927" s="3" t="s">
        <v>87</v>
      </c>
      <c r="B927" s="1" t="s">
        <v>19</v>
      </c>
      <c r="C927" s="1" t="s">
        <v>58</v>
      </c>
      <c r="D927" s="1" t="s">
        <v>43</v>
      </c>
      <c r="E927" s="1" t="s">
        <v>30</v>
      </c>
      <c r="F927" s="1" t="s">
        <v>23</v>
      </c>
      <c r="G927" s="2">
        <v>45752</v>
      </c>
      <c r="H927" s="2">
        <v>45810</v>
      </c>
      <c r="I927" s="1">
        <v>6086.79</v>
      </c>
      <c r="J927" s="1">
        <v>0.78310000000000002</v>
      </c>
      <c r="K927" s="1">
        <v>4766.57</v>
      </c>
      <c r="L927" s="1">
        <v>656195</v>
      </c>
      <c r="M927" s="1">
        <v>27053</v>
      </c>
      <c r="N927" s="1">
        <v>30400.45</v>
      </c>
      <c r="O927" s="1">
        <v>2025</v>
      </c>
      <c r="P927" s="1" t="s">
        <v>76</v>
      </c>
      <c r="Q927" s="1" t="s">
        <v>46</v>
      </c>
      <c r="R927" s="4" t="s">
        <v>41</v>
      </c>
      <c r="S927" s="25">
        <f>Table1[[#This Row],[Clicks]]/Table1[[#This Row],[Impressions]]</f>
        <v>4.12270742690816E-2</v>
      </c>
      <c r="T927" s="22">
        <f>Table1[[#This Row],[Sales]]/Table1[[#This Row],[USD_Spend]]</f>
        <v>6.3778461241521684</v>
      </c>
      <c r="U927" s="1" t="str">
        <f>Outlier_Check!C937</f>
        <v>Normal</v>
      </c>
    </row>
    <row r="928" spans="1:21" x14ac:dyDescent="0.35">
      <c r="A928" s="3" t="s">
        <v>104</v>
      </c>
      <c r="B928" s="1" t="s">
        <v>35</v>
      </c>
      <c r="C928" s="1" t="s">
        <v>69</v>
      </c>
      <c r="D928" s="1" t="s">
        <v>63</v>
      </c>
      <c r="E928" s="1" t="s">
        <v>38</v>
      </c>
      <c r="F928" s="1" t="s">
        <v>23</v>
      </c>
      <c r="G928" s="2">
        <v>45752</v>
      </c>
      <c r="H928" s="2">
        <v>45768</v>
      </c>
      <c r="I928" s="1">
        <v>6243.81</v>
      </c>
      <c r="J928" s="1">
        <v>0.1246</v>
      </c>
      <c r="K928" s="1">
        <v>777.98</v>
      </c>
      <c r="L928" s="1">
        <v>166130</v>
      </c>
      <c r="M928" s="1">
        <v>15892</v>
      </c>
      <c r="N928" s="1">
        <v>52023.35</v>
      </c>
      <c r="O928" s="1">
        <v>2025</v>
      </c>
      <c r="P928" s="1" t="s">
        <v>76</v>
      </c>
      <c r="Q928" s="1" t="s">
        <v>46</v>
      </c>
      <c r="R928" s="4" t="s">
        <v>41</v>
      </c>
      <c r="S928" s="25">
        <f>Table1[[#This Row],[Clicks]]/Table1[[#This Row],[Impressions]]</f>
        <v>9.566002528140613E-2</v>
      </c>
      <c r="T928" s="22">
        <f>Table1[[#This Row],[Sales]]/Table1[[#This Row],[USD_Spend]]</f>
        <v>66.869778143396999</v>
      </c>
      <c r="U928" s="1" t="str">
        <f>Outlier_Check!C938</f>
        <v>Normal</v>
      </c>
    </row>
    <row r="929" spans="1:21" x14ac:dyDescent="0.35">
      <c r="A929" s="3" t="s">
        <v>57</v>
      </c>
      <c r="B929" s="1" t="s">
        <v>28</v>
      </c>
      <c r="C929" s="1" t="s">
        <v>20</v>
      </c>
      <c r="D929" s="1" t="s">
        <v>63</v>
      </c>
      <c r="E929" s="1" t="s">
        <v>22</v>
      </c>
      <c r="F929" s="1" t="s">
        <v>49</v>
      </c>
      <c r="G929" s="2">
        <v>45753</v>
      </c>
      <c r="H929" s="2">
        <v>45785</v>
      </c>
      <c r="I929" s="1">
        <v>14327.05</v>
      </c>
      <c r="J929" s="1">
        <v>8.5999999999999993E-2</v>
      </c>
      <c r="K929" s="1">
        <v>1232.1300000000001</v>
      </c>
      <c r="L929" s="1">
        <v>756925</v>
      </c>
      <c r="M929" s="1">
        <v>37891</v>
      </c>
      <c r="N929" s="1">
        <v>158745.54</v>
      </c>
      <c r="O929" s="1">
        <v>2025</v>
      </c>
      <c r="P929" s="1" t="s">
        <v>76</v>
      </c>
      <c r="Q929" s="1" t="s">
        <v>46</v>
      </c>
      <c r="R929" s="4" t="s">
        <v>61</v>
      </c>
      <c r="S929" s="25">
        <f>Table1[[#This Row],[Clicks]]/Table1[[#This Row],[Impressions]]</f>
        <v>5.0059120784754101E-2</v>
      </c>
      <c r="T929" s="22">
        <f>Table1[[#This Row],[Sales]]/Table1[[#This Row],[USD_Spend]]</f>
        <v>128.83830439969807</v>
      </c>
      <c r="U929" s="1" t="str">
        <f>Outlier_Check!C939</f>
        <v>Normal</v>
      </c>
    </row>
    <row r="930" spans="1:21" x14ac:dyDescent="0.35">
      <c r="A930" s="3" t="s">
        <v>109</v>
      </c>
      <c r="B930" s="1" t="s">
        <v>28</v>
      </c>
      <c r="C930" s="1" t="s">
        <v>69</v>
      </c>
      <c r="D930" s="1" t="s">
        <v>63</v>
      </c>
      <c r="E930" s="1" t="s">
        <v>22</v>
      </c>
      <c r="F930" s="1" t="s">
        <v>31</v>
      </c>
      <c r="G930" s="2">
        <v>45754</v>
      </c>
      <c r="H930" s="2">
        <v>45779</v>
      </c>
      <c r="I930" s="1">
        <v>47974.29</v>
      </c>
      <c r="J930" s="1">
        <v>0.2107</v>
      </c>
      <c r="K930" s="1">
        <v>10108.18</v>
      </c>
      <c r="L930" s="1">
        <v>338429</v>
      </c>
      <c r="M930" s="1">
        <v>16233</v>
      </c>
      <c r="N930" s="1">
        <v>197486.73</v>
      </c>
      <c r="O930" s="1">
        <v>2025</v>
      </c>
      <c r="P930" s="1" t="s">
        <v>76</v>
      </c>
      <c r="Q930" s="1" t="s">
        <v>46</v>
      </c>
      <c r="R930" s="4" t="s">
        <v>54</v>
      </c>
      <c r="S930" s="25">
        <f>Table1[[#This Row],[Clicks]]/Table1[[#This Row],[Impressions]]</f>
        <v>4.7965747616191282E-2</v>
      </c>
      <c r="T930" s="22">
        <f>Table1[[#This Row],[Sales]]/Table1[[#This Row],[USD_Spend]]</f>
        <v>19.537318290730873</v>
      </c>
      <c r="U930" s="1" t="str">
        <f>Outlier_Check!C940</f>
        <v>Normal</v>
      </c>
    </row>
    <row r="931" spans="1:21" x14ac:dyDescent="0.35">
      <c r="A931" s="3" t="s">
        <v>86</v>
      </c>
      <c r="B931" s="1" t="s">
        <v>28</v>
      </c>
      <c r="C931" s="1" t="s">
        <v>36</v>
      </c>
      <c r="D931" s="1" t="s">
        <v>51</v>
      </c>
      <c r="E931" s="1" t="s">
        <v>22</v>
      </c>
      <c r="F931" s="1" t="s">
        <v>44</v>
      </c>
      <c r="G931" s="2">
        <v>45754</v>
      </c>
      <c r="H931" s="2">
        <v>45770</v>
      </c>
      <c r="I931" s="1">
        <v>44299.519999999997</v>
      </c>
      <c r="J931" s="1">
        <v>0.28689999999999999</v>
      </c>
      <c r="K931" s="1">
        <v>12709.53</v>
      </c>
      <c r="L931" s="1">
        <v>314598</v>
      </c>
      <c r="M931" s="1">
        <v>12784</v>
      </c>
      <c r="N931" s="1">
        <v>5387.32</v>
      </c>
      <c r="O931" s="1">
        <v>2025</v>
      </c>
      <c r="P931" s="1" t="s">
        <v>76</v>
      </c>
      <c r="Q931" s="1" t="s">
        <v>46</v>
      </c>
      <c r="R931" s="4" t="s">
        <v>54</v>
      </c>
      <c r="S931" s="25">
        <f>Table1[[#This Row],[Clicks]]/Table1[[#This Row],[Impressions]]</f>
        <v>4.0635986242760602E-2</v>
      </c>
      <c r="T931" s="22">
        <f>Table1[[#This Row],[Sales]]/Table1[[#This Row],[USD_Spend]]</f>
        <v>0.42388034805378322</v>
      </c>
      <c r="U931" s="1" t="str">
        <f>Outlier_Check!C941</f>
        <v>Normal</v>
      </c>
    </row>
    <row r="932" spans="1:21" x14ac:dyDescent="0.35">
      <c r="A932" s="3" t="s">
        <v>87</v>
      </c>
      <c r="B932" s="1" t="s">
        <v>19</v>
      </c>
      <c r="C932" s="1" t="s">
        <v>29</v>
      </c>
      <c r="D932" s="1" t="s">
        <v>63</v>
      </c>
      <c r="E932" s="1" t="s">
        <v>38</v>
      </c>
      <c r="F932" s="1" t="s">
        <v>52</v>
      </c>
      <c r="G932" s="2">
        <v>45755</v>
      </c>
      <c r="H932" s="2">
        <v>45799</v>
      </c>
      <c r="I932" s="1">
        <v>11823.87</v>
      </c>
      <c r="J932" s="1">
        <v>0.68300000000000005</v>
      </c>
      <c r="K932" s="1">
        <v>8075.7</v>
      </c>
      <c r="L932" s="1">
        <v>992188</v>
      </c>
      <c r="M932" s="1">
        <v>32617</v>
      </c>
      <c r="N932" s="1">
        <v>39457.629999999997</v>
      </c>
      <c r="O932" s="1">
        <v>2025</v>
      </c>
      <c r="P932" s="1" t="s">
        <v>76</v>
      </c>
      <c r="Q932" s="1" t="s">
        <v>46</v>
      </c>
      <c r="R932" s="4" t="s">
        <v>26</v>
      </c>
      <c r="S932" s="25">
        <f>Table1[[#This Row],[Clicks]]/Table1[[#This Row],[Impressions]]</f>
        <v>3.287381020532399E-2</v>
      </c>
      <c r="T932" s="22">
        <f>Table1[[#This Row],[Sales]]/Table1[[#This Row],[USD_Spend]]</f>
        <v>4.8859702564483571</v>
      </c>
      <c r="U932" s="1" t="str">
        <f>Outlier_Check!C942</f>
        <v>Normal</v>
      </c>
    </row>
    <row r="933" spans="1:21" x14ac:dyDescent="0.35">
      <c r="A933" s="3" t="s">
        <v>62</v>
      </c>
      <c r="B933" s="1" t="s">
        <v>35</v>
      </c>
      <c r="C933" s="1" t="s">
        <v>36</v>
      </c>
      <c r="D933" s="1" t="s">
        <v>63</v>
      </c>
      <c r="E933" s="1" t="s">
        <v>38</v>
      </c>
      <c r="F933" s="1" t="s">
        <v>49</v>
      </c>
      <c r="G933" s="2">
        <v>45755</v>
      </c>
      <c r="H933" s="2">
        <v>45788</v>
      </c>
      <c r="I933" s="1">
        <v>21834.76</v>
      </c>
      <c r="J933" s="1">
        <v>0.32019999999999998</v>
      </c>
      <c r="K933" s="1">
        <v>6991.49</v>
      </c>
      <c r="L933" s="1">
        <v>67287</v>
      </c>
      <c r="M933" s="1">
        <v>17684</v>
      </c>
      <c r="N933" s="1">
        <v>123948.82</v>
      </c>
      <c r="O933" s="1">
        <v>2025</v>
      </c>
      <c r="P933" s="1" t="s">
        <v>76</v>
      </c>
      <c r="Q933" s="1" t="s">
        <v>46</v>
      </c>
      <c r="R933" s="4" t="s">
        <v>61</v>
      </c>
      <c r="S933" s="25">
        <f>Table1[[#This Row],[Clicks]]/Table1[[#This Row],[Impressions]]</f>
        <v>0.26281451097537412</v>
      </c>
      <c r="T933" s="22">
        <f>Table1[[#This Row],[Sales]]/Table1[[#This Row],[USD_Spend]]</f>
        <v>17.728527109385841</v>
      </c>
      <c r="U933" s="1" t="str">
        <f>Outlier_Check!C943</f>
        <v>Normal</v>
      </c>
    </row>
    <row r="934" spans="1:21" x14ac:dyDescent="0.35">
      <c r="A934" s="3" t="s">
        <v>106</v>
      </c>
      <c r="B934" s="1" t="s">
        <v>19</v>
      </c>
      <c r="C934" s="1" t="s">
        <v>69</v>
      </c>
      <c r="D934" s="1" t="s">
        <v>37</v>
      </c>
      <c r="E934" s="1" t="s">
        <v>22</v>
      </c>
      <c r="F934" s="1" t="s">
        <v>49</v>
      </c>
      <c r="G934" s="2">
        <v>45759</v>
      </c>
      <c r="H934" s="2">
        <v>45768</v>
      </c>
      <c r="I934" s="1">
        <v>2068.21</v>
      </c>
      <c r="J934" s="1">
        <v>8.6699999999999999E-2</v>
      </c>
      <c r="K934" s="1">
        <v>179.31</v>
      </c>
      <c r="L934" s="1">
        <v>956335</v>
      </c>
      <c r="M934" s="1">
        <v>42435</v>
      </c>
      <c r="N934" s="1">
        <v>113640.67</v>
      </c>
      <c r="O934" s="1">
        <v>2025</v>
      </c>
      <c r="P934" s="1" t="s">
        <v>76</v>
      </c>
      <c r="Q934" s="1" t="s">
        <v>46</v>
      </c>
      <c r="R934" s="4" t="s">
        <v>26</v>
      </c>
      <c r="S934" s="25">
        <f>Table1[[#This Row],[Clicks]]/Table1[[#This Row],[Impressions]]</f>
        <v>4.4372526363669632E-2</v>
      </c>
      <c r="T934" s="22">
        <f>Table1[[#This Row],[Sales]]/Table1[[#This Row],[USD_Spend]]</f>
        <v>633.76649378171874</v>
      </c>
      <c r="U934" s="1" t="str">
        <f>Outlier_Check!C944</f>
        <v>Normal</v>
      </c>
    </row>
    <row r="935" spans="1:21" x14ac:dyDescent="0.35">
      <c r="A935" s="3" t="s">
        <v>110</v>
      </c>
      <c r="B935" s="1" t="s">
        <v>48</v>
      </c>
      <c r="C935" s="1" t="s">
        <v>36</v>
      </c>
      <c r="D935" s="1" t="s">
        <v>51</v>
      </c>
      <c r="E935" s="1" t="s">
        <v>38</v>
      </c>
      <c r="F935" s="1" t="s">
        <v>23</v>
      </c>
      <c r="G935" s="2">
        <v>45760</v>
      </c>
      <c r="H935" s="2">
        <v>45806</v>
      </c>
      <c r="I935" s="1">
        <v>9579.3700000000008</v>
      </c>
      <c r="J935" s="1">
        <v>0.93720000000000003</v>
      </c>
      <c r="K935" s="1">
        <v>8977.7900000000009</v>
      </c>
      <c r="L935" s="1">
        <v>497192</v>
      </c>
      <c r="M935" s="1">
        <v>45673</v>
      </c>
      <c r="N935" s="1">
        <v>122240.14</v>
      </c>
      <c r="O935" s="1">
        <v>2025</v>
      </c>
      <c r="P935" s="1" t="s">
        <v>76</v>
      </c>
      <c r="Q935" s="1" t="s">
        <v>46</v>
      </c>
      <c r="R935" s="4" t="s">
        <v>41</v>
      </c>
      <c r="S935" s="25">
        <f>Table1[[#This Row],[Clicks]]/Table1[[#This Row],[Impressions]]</f>
        <v>9.186189641023991E-2</v>
      </c>
      <c r="T935" s="22">
        <f>Table1[[#This Row],[Sales]]/Table1[[#This Row],[USD_Spend]]</f>
        <v>13.615838641803828</v>
      </c>
      <c r="U935" s="1" t="str">
        <f>Outlier_Check!C945</f>
        <v>Normal</v>
      </c>
    </row>
    <row r="936" spans="1:21" x14ac:dyDescent="0.35">
      <c r="A936" s="3" t="s">
        <v>75</v>
      </c>
      <c r="B936" s="1" t="s">
        <v>48</v>
      </c>
      <c r="C936" s="1" t="s">
        <v>36</v>
      </c>
      <c r="D936" s="1" t="s">
        <v>51</v>
      </c>
      <c r="E936" s="1" t="s">
        <v>38</v>
      </c>
      <c r="F936" s="1" t="s">
        <v>44</v>
      </c>
      <c r="G936" s="2">
        <v>45761</v>
      </c>
      <c r="H936" s="2">
        <v>45767</v>
      </c>
      <c r="I936" s="1">
        <v>47262.7</v>
      </c>
      <c r="J936" s="1">
        <v>1.1394</v>
      </c>
      <c r="K936" s="1">
        <v>53851.12</v>
      </c>
      <c r="L936" s="1">
        <v>246540</v>
      </c>
      <c r="M936" s="1">
        <v>10042</v>
      </c>
      <c r="N936" s="1">
        <v>88737.61</v>
      </c>
      <c r="O936" s="1">
        <v>2025</v>
      </c>
      <c r="P936" s="1" t="s">
        <v>76</v>
      </c>
      <c r="Q936" s="1" t="s">
        <v>46</v>
      </c>
      <c r="R936" s="4" t="s">
        <v>61</v>
      </c>
      <c r="S936" s="25">
        <f>Table1[[#This Row],[Clicks]]/Table1[[#This Row],[Impressions]]</f>
        <v>4.0731727103106997E-2</v>
      </c>
      <c r="T936" s="22">
        <f>Table1[[#This Row],[Sales]]/Table1[[#This Row],[USD_Spend]]</f>
        <v>1.6478322085037413</v>
      </c>
      <c r="U936" s="1" t="str">
        <f>Outlier_Check!C946</f>
        <v>Outlier</v>
      </c>
    </row>
    <row r="937" spans="1:21" x14ac:dyDescent="0.35">
      <c r="A937" s="3" t="s">
        <v>85</v>
      </c>
      <c r="B937" s="1" t="s">
        <v>19</v>
      </c>
      <c r="C937" s="1" t="s">
        <v>36</v>
      </c>
      <c r="D937" s="1" t="s">
        <v>37</v>
      </c>
      <c r="E937" s="1" t="s">
        <v>22</v>
      </c>
      <c r="F937" s="1" t="s">
        <v>44</v>
      </c>
      <c r="G937" s="2">
        <v>45762</v>
      </c>
      <c r="H937" s="2">
        <v>45777</v>
      </c>
      <c r="I937" s="1">
        <v>16061.86</v>
      </c>
      <c r="J937" s="1">
        <v>0.57989999999999997</v>
      </c>
      <c r="K937" s="1">
        <v>9314.27</v>
      </c>
      <c r="L937" s="1">
        <v>265652</v>
      </c>
      <c r="M937" s="1">
        <v>3761</v>
      </c>
      <c r="N937" s="1">
        <v>138163.98000000001</v>
      </c>
      <c r="O937" s="1">
        <v>2025</v>
      </c>
      <c r="P937" s="1" t="s">
        <v>76</v>
      </c>
      <c r="Q937" s="1" t="s">
        <v>46</v>
      </c>
      <c r="R937" s="4" t="s">
        <v>41</v>
      </c>
      <c r="S937" s="25">
        <f>Table1[[#This Row],[Clicks]]/Table1[[#This Row],[Impressions]]</f>
        <v>1.4157619743122581E-2</v>
      </c>
      <c r="T937" s="22">
        <f>Table1[[#This Row],[Sales]]/Table1[[#This Row],[USD_Spend]]</f>
        <v>14.833581160949812</v>
      </c>
      <c r="U937" s="1" t="str">
        <f>Outlier_Check!C947</f>
        <v>Normal</v>
      </c>
    </row>
    <row r="938" spans="1:21" x14ac:dyDescent="0.35">
      <c r="A938" s="3" t="s">
        <v>34</v>
      </c>
      <c r="B938" s="1" t="s">
        <v>28</v>
      </c>
      <c r="C938" s="1" t="s">
        <v>29</v>
      </c>
      <c r="D938" s="1" t="s">
        <v>21</v>
      </c>
      <c r="E938" s="1" t="s">
        <v>22</v>
      </c>
      <c r="F938" s="1" t="s">
        <v>49</v>
      </c>
      <c r="G938" s="2">
        <v>45763</v>
      </c>
      <c r="H938" s="2">
        <v>45796</v>
      </c>
      <c r="I938" s="1">
        <v>11811.31</v>
      </c>
      <c r="J938" s="1">
        <v>0.32990000000000003</v>
      </c>
      <c r="K938" s="1">
        <v>3896.55</v>
      </c>
      <c r="L938" s="1">
        <v>619918</v>
      </c>
      <c r="M938" s="1">
        <v>41374</v>
      </c>
      <c r="N938" s="1">
        <v>202894.58</v>
      </c>
      <c r="O938" s="1">
        <v>2025</v>
      </c>
      <c r="P938" s="1" t="s">
        <v>76</v>
      </c>
      <c r="Q938" s="1" t="s">
        <v>46</v>
      </c>
      <c r="R938" s="4" t="s">
        <v>41</v>
      </c>
      <c r="S938" s="25">
        <f>Table1[[#This Row],[Clicks]]/Table1[[#This Row],[Impressions]]</f>
        <v>6.6741085111256648E-2</v>
      </c>
      <c r="T938" s="22">
        <f>Table1[[#This Row],[Sales]]/Table1[[#This Row],[USD_Spend]]</f>
        <v>52.070313482439587</v>
      </c>
      <c r="U938" s="1" t="str">
        <f>Outlier_Check!C948</f>
        <v>Normal</v>
      </c>
    </row>
    <row r="939" spans="1:21" x14ac:dyDescent="0.35">
      <c r="A939" s="3" t="s">
        <v>57</v>
      </c>
      <c r="B939" s="1" t="s">
        <v>28</v>
      </c>
      <c r="C939" s="1" t="s">
        <v>69</v>
      </c>
      <c r="D939" s="1" t="s">
        <v>37</v>
      </c>
      <c r="E939" s="1" t="s">
        <v>38</v>
      </c>
      <c r="F939" s="1" t="s">
        <v>23</v>
      </c>
      <c r="G939" s="2">
        <v>45763</v>
      </c>
      <c r="H939" s="2">
        <v>45783</v>
      </c>
      <c r="I939" s="1">
        <v>4862.7</v>
      </c>
      <c r="J939" s="1">
        <v>0.53859999999999997</v>
      </c>
      <c r="K939" s="1">
        <v>2619.0500000000002</v>
      </c>
      <c r="L939" s="1">
        <v>610870</v>
      </c>
      <c r="M939" s="1">
        <v>29466</v>
      </c>
      <c r="N939" s="1">
        <v>26564.87</v>
      </c>
      <c r="O939" s="1">
        <v>2025</v>
      </c>
      <c r="P939" s="1" t="s">
        <v>76</v>
      </c>
      <c r="Q939" s="1" t="s">
        <v>46</v>
      </c>
      <c r="R939" s="4" t="s">
        <v>26</v>
      </c>
      <c r="S939" s="25">
        <f>Table1[[#This Row],[Clicks]]/Table1[[#This Row],[Impressions]]</f>
        <v>4.8236122251870281E-2</v>
      </c>
      <c r="T939" s="22">
        <f>Table1[[#This Row],[Sales]]/Table1[[#This Row],[USD_Spend]]</f>
        <v>10.142941142780778</v>
      </c>
      <c r="U939" s="1" t="str">
        <f>Outlier_Check!C949</f>
        <v>Normal</v>
      </c>
    </row>
    <row r="940" spans="1:21" x14ac:dyDescent="0.35">
      <c r="A940" s="3" t="s">
        <v>118</v>
      </c>
      <c r="B940" s="1" t="s">
        <v>48</v>
      </c>
      <c r="C940" s="1" t="s">
        <v>58</v>
      </c>
      <c r="D940" s="1" t="s">
        <v>63</v>
      </c>
      <c r="E940" s="1" t="s">
        <v>30</v>
      </c>
      <c r="F940" s="1" t="s">
        <v>49</v>
      </c>
      <c r="G940" s="2">
        <v>45764</v>
      </c>
      <c r="H940" s="2">
        <v>45821</v>
      </c>
      <c r="I940" s="1">
        <v>6210.23</v>
      </c>
      <c r="J940" s="1">
        <v>0.60160000000000002</v>
      </c>
      <c r="K940" s="1">
        <v>3736.07</v>
      </c>
      <c r="L940" s="1">
        <v>847995</v>
      </c>
      <c r="M940" s="1">
        <v>40445</v>
      </c>
      <c r="N940" s="1">
        <v>59040.27</v>
      </c>
      <c r="O940" s="1">
        <v>2025</v>
      </c>
      <c r="P940" s="1" t="s">
        <v>76</v>
      </c>
      <c r="Q940" s="1" t="s">
        <v>46</v>
      </c>
      <c r="R940" s="4" t="s">
        <v>41</v>
      </c>
      <c r="S940" s="25">
        <f>Table1[[#This Row],[Clicks]]/Table1[[#This Row],[Impressions]]</f>
        <v>4.7694856691372002E-2</v>
      </c>
      <c r="T940" s="22">
        <f>Table1[[#This Row],[Sales]]/Table1[[#This Row],[USD_Spend]]</f>
        <v>15.802774037959672</v>
      </c>
      <c r="U940" s="1" t="str">
        <f>Outlier_Check!C950</f>
        <v>Normal</v>
      </c>
    </row>
    <row r="941" spans="1:21" x14ac:dyDescent="0.35">
      <c r="A941" s="3" t="s">
        <v>91</v>
      </c>
      <c r="B941" s="1" t="s">
        <v>28</v>
      </c>
      <c r="C941" s="1" t="s">
        <v>36</v>
      </c>
      <c r="D941" s="1" t="s">
        <v>51</v>
      </c>
      <c r="E941" s="1" t="s">
        <v>30</v>
      </c>
      <c r="F941" s="1" t="s">
        <v>52</v>
      </c>
      <c r="G941" s="2">
        <v>45764</v>
      </c>
      <c r="H941" s="2">
        <v>45794</v>
      </c>
      <c r="I941" s="1">
        <v>34680.97</v>
      </c>
      <c r="J941" s="1">
        <v>0.23350000000000001</v>
      </c>
      <c r="K941" s="1">
        <v>8098.01</v>
      </c>
      <c r="L941" s="1">
        <v>160494</v>
      </c>
      <c r="M941" s="1">
        <v>4821</v>
      </c>
      <c r="N941" s="1">
        <v>109466.78</v>
      </c>
      <c r="O941" s="1">
        <v>2025</v>
      </c>
      <c r="P941" s="1" t="s">
        <v>76</v>
      </c>
      <c r="Q941" s="1" t="s">
        <v>46</v>
      </c>
      <c r="R941" s="4" t="s">
        <v>26</v>
      </c>
      <c r="S941" s="25">
        <f>Table1[[#This Row],[Clicks]]/Table1[[#This Row],[Impressions]]</f>
        <v>3.0038506112378034E-2</v>
      </c>
      <c r="T941" s="22">
        <f>Table1[[#This Row],[Sales]]/Table1[[#This Row],[USD_Spend]]</f>
        <v>13.517738308547408</v>
      </c>
      <c r="U941" s="1" t="str">
        <f>Outlier_Check!C951</f>
        <v>Normal</v>
      </c>
    </row>
    <row r="942" spans="1:21" x14ac:dyDescent="0.35">
      <c r="A942" s="3" t="s">
        <v>118</v>
      </c>
      <c r="B942" s="1" t="s">
        <v>28</v>
      </c>
      <c r="C942" s="1" t="s">
        <v>69</v>
      </c>
      <c r="D942" s="1" t="s">
        <v>63</v>
      </c>
      <c r="E942" s="1" t="s">
        <v>30</v>
      </c>
      <c r="F942" s="1" t="s">
        <v>52</v>
      </c>
      <c r="G942" s="2">
        <v>45765</v>
      </c>
      <c r="H942" s="2">
        <v>45778</v>
      </c>
      <c r="I942" s="1">
        <v>7026.19</v>
      </c>
      <c r="J942" s="1">
        <v>0.25019999999999998</v>
      </c>
      <c r="K942" s="1">
        <v>1757.95</v>
      </c>
      <c r="L942" s="1">
        <v>445945</v>
      </c>
      <c r="M942" s="1">
        <v>531</v>
      </c>
      <c r="N942" s="1">
        <v>65102.44</v>
      </c>
      <c r="O942" s="1">
        <v>2025</v>
      </c>
      <c r="P942" s="1" t="s">
        <v>76</v>
      </c>
      <c r="Q942" s="1" t="s">
        <v>46</v>
      </c>
      <c r="R942" s="4" t="s">
        <v>26</v>
      </c>
      <c r="S942" s="25">
        <f>Table1[[#This Row],[Clicks]]/Table1[[#This Row],[Impressions]]</f>
        <v>1.1907297985177545E-3</v>
      </c>
      <c r="T942" s="22">
        <f>Table1[[#This Row],[Sales]]/Table1[[#This Row],[USD_Spend]]</f>
        <v>37.033157939645612</v>
      </c>
      <c r="U942" s="1" t="str">
        <f>Outlier_Check!C952</f>
        <v>Normal</v>
      </c>
    </row>
    <row r="943" spans="1:21" x14ac:dyDescent="0.35">
      <c r="A943" s="3" t="s">
        <v>57</v>
      </c>
      <c r="B943" s="1" t="s">
        <v>48</v>
      </c>
      <c r="C943" s="1" t="s">
        <v>58</v>
      </c>
      <c r="D943" s="1" t="s">
        <v>43</v>
      </c>
      <c r="E943" s="1" t="s">
        <v>38</v>
      </c>
      <c r="F943" s="1" t="s">
        <v>31</v>
      </c>
      <c r="G943" s="2">
        <v>45767</v>
      </c>
      <c r="H943" s="2">
        <v>45772</v>
      </c>
      <c r="I943" s="1">
        <v>14859.11</v>
      </c>
      <c r="J943" s="1">
        <v>0.36530000000000001</v>
      </c>
      <c r="K943" s="1">
        <v>5428.03</v>
      </c>
      <c r="L943" s="1">
        <v>625448</v>
      </c>
      <c r="M943" s="1">
        <v>38105</v>
      </c>
      <c r="N943" s="1">
        <v>249731.07</v>
      </c>
      <c r="O943" s="1">
        <v>2025</v>
      </c>
      <c r="P943" s="1" t="s">
        <v>76</v>
      </c>
      <c r="Q943" s="1" t="s">
        <v>46</v>
      </c>
      <c r="R943" s="4" t="s">
        <v>41</v>
      </c>
      <c r="S943" s="25">
        <f>Table1[[#This Row],[Clicks]]/Table1[[#This Row],[Impressions]]</f>
        <v>6.0924329440656934E-2</v>
      </c>
      <c r="T943" s="22">
        <f>Table1[[#This Row],[Sales]]/Table1[[#This Row],[USD_Spend]]</f>
        <v>46.00768050287121</v>
      </c>
      <c r="U943" s="1" t="str">
        <f>Outlier_Check!C953</f>
        <v>Normal</v>
      </c>
    </row>
    <row r="944" spans="1:21" x14ac:dyDescent="0.35">
      <c r="A944" s="3" t="s">
        <v>116</v>
      </c>
      <c r="B944" s="1" t="s">
        <v>48</v>
      </c>
      <c r="C944" s="1" t="s">
        <v>36</v>
      </c>
      <c r="D944" s="1" t="s">
        <v>63</v>
      </c>
      <c r="E944" s="1" t="s">
        <v>38</v>
      </c>
      <c r="F944" s="1" t="s">
        <v>23</v>
      </c>
      <c r="G944" s="2">
        <v>45768</v>
      </c>
      <c r="H944" s="2">
        <v>45818</v>
      </c>
      <c r="I944" s="1">
        <v>33831.199999999997</v>
      </c>
      <c r="J944" s="1">
        <v>0.87790000000000001</v>
      </c>
      <c r="K944" s="1">
        <v>29700.41</v>
      </c>
      <c r="L944" s="1">
        <v>362058</v>
      </c>
      <c r="M944" s="1">
        <v>29370</v>
      </c>
      <c r="N944" s="1">
        <v>7791.93</v>
      </c>
      <c r="O944" s="1">
        <v>2025</v>
      </c>
      <c r="P944" s="1" t="s">
        <v>76</v>
      </c>
      <c r="Q944" s="1" t="s">
        <v>46</v>
      </c>
      <c r="R944" s="4" t="s">
        <v>26</v>
      </c>
      <c r="S944" s="25">
        <f>Table1[[#This Row],[Clicks]]/Table1[[#This Row],[Impressions]]</f>
        <v>8.1119599622159991E-2</v>
      </c>
      <c r="T944" s="22">
        <f>Table1[[#This Row],[Sales]]/Table1[[#This Row],[USD_Spend]]</f>
        <v>0.26235092377512637</v>
      </c>
      <c r="U944" s="1" t="str">
        <f>Outlier_Check!C954</f>
        <v>Normal</v>
      </c>
    </row>
    <row r="945" spans="1:21" x14ac:dyDescent="0.35">
      <c r="A945" s="3" t="s">
        <v>93</v>
      </c>
      <c r="B945" s="1" t="s">
        <v>28</v>
      </c>
      <c r="C945" s="1" t="s">
        <v>29</v>
      </c>
      <c r="D945" s="1" t="s">
        <v>21</v>
      </c>
      <c r="E945" s="1" t="s">
        <v>22</v>
      </c>
      <c r="F945" s="1" t="s">
        <v>31</v>
      </c>
      <c r="G945" s="2">
        <v>45768</v>
      </c>
      <c r="H945" s="2">
        <v>45818</v>
      </c>
      <c r="I945" s="1">
        <v>37383.03</v>
      </c>
      <c r="J945" s="1">
        <v>0.497</v>
      </c>
      <c r="K945" s="1">
        <v>18579.37</v>
      </c>
      <c r="L945" s="1">
        <v>276641</v>
      </c>
      <c r="M945" s="1">
        <v>40132</v>
      </c>
      <c r="N945" s="1">
        <v>53000.76</v>
      </c>
      <c r="O945" s="1">
        <v>2025</v>
      </c>
      <c r="P945" s="1" t="s">
        <v>76</v>
      </c>
      <c r="Q945" s="1" t="s">
        <v>46</v>
      </c>
      <c r="R945" s="4" t="s">
        <v>26</v>
      </c>
      <c r="S945" s="25">
        <f>Table1[[#This Row],[Clicks]]/Table1[[#This Row],[Impressions]]</f>
        <v>0.14506887988403744</v>
      </c>
      <c r="T945" s="22">
        <f>Table1[[#This Row],[Sales]]/Table1[[#This Row],[USD_Spend]]</f>
        <v>2.8526672325272604</v>
      </c>
      <c r="U945" s="1" t="str">
        <f>Outlier_Check!C955</f>
        <v>Normal</v>
      </c>
    </row>
    <row r="946" spans="1:21" x14ac:dyDescent="0.35">
      <c r="A946" s="3" t="s">
        <v>109</v>
      </c>
      <c r="B946" s="1" t="s">
        <v>19</v>
      </c>
      <c r="C946" s="1" t="s">
        <v>36</v>
      </c>
      <c r="D946" s="1" t="s">
        <v>63</v>
      </c>
      <c r="E946" s="1" t="s">
        <v>22</v>
      </c>
      <c r="F946" s="1" t="s">
        <v>44</v>
      </c>
      <c r="G946" s="2">
        <v>45768</v>
      </c>
      <c r="H946" s="2">
        <v>45806</v>
      </c>
      <c r="I946" s="1">
        <v>34159.15</v>
      </c>
      <c r="J946" s="1">
        <v>0.16789999999999999</v>
      </c>
      <c r="K946" s="1">
        <v>5735.32</v>
      </c>
      <c r="L946" s="1">
        <v>769767</v>
      </c>
      <c r="M946" s="1">
        <v>2495</v>
      </c>
      <c r="N946" s="1">
        <v>117545.26</v>
      </c>
      <c r="O946" s="1">
        <v>2025</v>
      </c>
      <c r="P946" s="1" t="s">
        <v>76</v>
      </c>
      <c r="Q946" s="1" t="s">
        <v>46</v>
      </c>
      <c r="R946" s="4" t="s">
        <v>26</v>
      </c>
      <c r="S946" s="25">
        <f>Table1[[#This Row],[Clicks]]/Table1[[#This Row],[Impressions]]</f>
        <v>3.2412405312256826E-3</v>
      </c>
      <c r="T946" s="22">
        <f>Table1[[#This Row],[Sales]]/Table1[[#This Row],[USD_Spend]]</f>
        <v>20.49497848419966</v>
      </c>
      <c r="U946" s="1" t="str">
        <f>Outlier_Check!C956</f>
        <v>Normal</v>
      </c>
    </row>
    <row r="947" spans="1:21" x14ac:dyDescent="0.35">
      <c r="A947" s="3" t="s">
        <v>98</v>
      </c>
      <c r="B947" s="1" t="s">
        <v>19</v>
      </c>
      <c r="C947" s="1" t="s">
        <v>58</v>
      </c>
      <c r="D947" s="1" t="s">
        <v>43</v>
      </c>
      <c r="E947" s="1" t="s">
        <v>38</v>
      </c>
      <c r="F947" s="1" t="s">
        <v>44</v>
      </c>
      <c r="G947" s="2">
        <v>45769</v>
      </c>
      <c r="H947" s="2">
        <v>45814</v>
      </c>
      <c r="I947" s="1">
        <v>8246.0300000000007</v>
      </c>
      <c r="J947" s="1">
        <v>0.71809999999999996</v>
      </c>
      <c r="K947" s="1">
        <v>5921.47</v>
      </c>
      <c r="L947" s="1">
        <v>345281</v>
      </c>
      <c r="M947" s="1">
        <v>47751</v>
      </c>
      <c r="N947" s="1">
        <v>228972.61</v>
      </c>
      <c r="O947" s="1">
        <v>2025</v>
      </c>
      <c r="P947" s="1" t="s">
        <v>76</v>
      </c>
      <c r="Q947" s="1" t="s">
        <v>46</v>
      </c>
      <c r="R947" s="4" t="s">
        <v>41</v>
      </c>
      <c r="S947" s="25">
        <f>Table1[[#This Row],[Clicks]]/Table1[[#This Row],[Impressions]]</f>
        <v>0.13829605451791441</v>
      </c>
      <c r="T947" s="22">
        <f>Table1[[#This Row],[Sales]]/Table1[[#This Row],[USD_Spend]]</f>
        <v>38.668204010152877</v>
      </c>
      <c r="U947" s="1" t="str">
        <f>Outlier_Check!C957</f>
        <v>Normal</v>
      </c>
    </row>
    <row r="948" spans="1:21" x14ac:dyDescent="0.35">
      <c r="A948" s="3" t="s">
        <v>90</v>
      </c>
      <c r="B948" s="1" t="s">
        <v>48</v>
      </c>
      <c r="C948" s="1" t="s">
        <v>69</v>
      </c>
      <c r="D948" s="1" t="s">
        <v>51</v>
      </c>
      <c r="E948" s="1" t="s">
        <v>30</v>
      </c>
      <c r="F948" s="1" t="s">
        <v>31</v>
      </c>
      <c r="G948" s="2">
        <v>45769</v>
      </c>
      <c r="H948" s="2">
        <v>45774</v>
      </c>
      <c r="I948" s="1">
        <v>28484.51</v>
      </c>
      <c r="J948" s="1">
        <v>1.0736000000000001</v>
      </c>
      <c r="K948" s="1">
        <v>30580.97</v>
      </c>
      <c r="L948" s="1">
        <v>218205</v>
      </c>
      <c r="M948" s="1">
        <v>5199</v>
      </c>
      <c r="N948" s="1">
        <v>182067.3</v>
      </c>
      <c r="O948" s="1">
        <v>2025</v>
      </c>
      <c r="P948" s="1" t="s">
        <v>76</v>
      </c>
      <c r="Q948" s="1" t="s">
        <v>46</v>
      </c>
      <c r="R948" s="4" t="s">
        <v>26</v>
      </c>
      <c r="S948" s="25">
        <f>Table1[[#This Row],[Clicks]]/Table1[[#This Row],[Impressions]]</f>
        <v>2.382621846428817E-2</v>
      </c>
      <c r="T948" s="22">
        <f>Table1[[#This Row],[Sales]]/Table1[[#This Row],[USD_Spend]]</f>
        <v>5.9536142901941957</v>
      </c>
      <c r="U948" s="1" t="str">
        <f>Outlier_Check!C958</f>
        <v>Normal</v>
      </c>
    </row>
    <row r="949" spans="1:21" x14ac:dyDescent="0.35">
      <c r="A949" s="3" t="s">
        <v>93</v>
      </c>
      <c r="B949" s="1" t="s">
        <v>48</v>
      </c>
      <c r="C949" s="1" t="s">
        <v>29</v>
      </c>
      <c r="D949" s="1" t="s">
        <v>37</v>
      </c>
      <c r="E949" s="1" t="s">
        <v>22</v>
      </c>
      <c r="F949" s="1" t="s">
        <v>31</v>
      </c>
      <c r="G949" s="2">
        <v>45770</v>
      </c>
      <c r="H949" s="2">
        <v>45793</v>
      </c>
      <c r="I949" s="1">
        <v>32656.09</v>
      </c>
      <c r="J949" s="1">
        <v>0.31519999999999998</v>
      </c>
      <c r="K949" s="1">
        <v>10293.200000000001</v>
      </c>
      <c r="L949" s="1">
        <v>640437</v>
      </c>
      <c r="M949" s="1">
        <v>15575</v>
      </c>
      <c r="N949" s="1">
        <v>104437.16</v>
      </c>
      <c r="O949" s="1">
        <v>2025</v>
      </c>
      <c r="P949" s="1" t="s">
        <v>76</v>
      </c>
      <c r="Q949" s="1" t="s">
        <v>46</v>
      </c>
      <c r="R949" s="4" t="s">
        <v>54</v>
      </c>
      <c r="S949" s="25">
        <f>Table1[[#This Row],[Clicks]]/Table1[[#This Row],[Impressions]]</f>
        <v>2.4319331956148691E-2</v>
      </c>
      <c r="T949" s="22">
        <f>Table1[[#This Row],[Sales]]/Table1[[#This Row],[USD_Spend]]</f>
        <v>10.146228578090389</v>
      </c>
      <c r="U949" s="1" t="str">
        <f>Outlier_Check!C959</f>
        <v>Normal</v>
      </c>
    </row>
    <row r="950" spans="1:21" x14ac:dyDescent="0.35">
      <c r="A950" s="3" t="s">
        <v>86</v>
      </c>
      <c r="B950" s="1" t="s">
        <v>35</v>
      </c>
      <c r="C950" s="1" t="s">
        <v>69</v>
      </c>
      <c r="D950" s="1" t="s">
        <v>59</v>
      </c>
      <c r="E950" s="1" t="s">
        <v>30</v>
      </c>
      <c r="F950" s="1" t="s">
        <v>49</v>
      </c>
      <c r="G950" s="2">
        <v>45770</v>
      </c>
      <c r="H950" s="2">
        <v>45793</v>
      </c>
      <c r="I950" s="1">
        <v>36608.699999999997</v>
      </c>
      <c r="J950" s="1">
        <v>0.23530000000000001</v>
      </c>
      <c r="K950" s="1">
        <v>8614.0300000000007</v>
      </c>
      <c r="L950" s="1">
        <v>199131</v>
      </c>
      <c r="M950" s="1">
        <v>26873</v>
      </c>
      <c r="N950" s="1">
        <v>199153.57</v>
      </c>
      <c r="O950" s="1">
        <v>2025</v>
      </c>
      <c r="P950" s="1" t="s">
        <v>76</v>
      </c>
      <c r="Q950" s="1" t="s">
        <v>46</v>
      </c>
      <c r="R950" s="4" t="s">
        <v>61</v>
      </c>
      <c r="S950" s="25">
        <f>Table1[[#This Row],[Clicks]]/Table1[[#This Row],[Impressions]]</f>
        <v>0.13495136367516861</v>
      </c>
      <c r="T950" s="22">
        <f>Table1[[#This Row],[Sales]]/Table1[[#This Row],[USD_Spend]]</f>
        <v>23.119674530968663</v>
      </c>
      <c r="U950" s="1" t="str">
        <f>Outlier_Check!C960</f>
        <v>Normal</v>
      </c>
    </row>
    <row r="951" spans="1:21" x14ac:dyDescent="0.35">
      <c r="A951" s="3" t="s">
        <v>111</v>
      </c>
      <c r="B951" s="1" t="s">
        <v>19</v>
      </c>
      <c r="C951" s="1" t="s">
        <v>20</v>
      </c>
      <c r="D951" s="1" t="s">
        <v>37</v>
      </c>
      <c r="E951" s="1" t="s">
        <v>30</v>
      </c>
      <c r="F951" s="1" t="s">
        <v>49</v>
      </c>
      <c r="G951" s="2">
        <v>45770</v>
      </c>
      <c r="H951" s="2">
        <v>45784</v>
      </c>
      <c r="I951" s="1">
        <v>24111.759999999998</v>
      </c>
      <c r="J951" s="1">
        <v>0.72430000000000005</v>
      </c>
      <c r="K951" s="1">
        <v>17464.150000000001</v>
      </c>
      <c r="L951" s="1">
        <v>102422</v>
      </c>
      <c r="M951" s="1">
        <v>4299</v>
      </c>
      <c r="N951" s="1">
        <v>69457.539999999994</v>
      </c>
      <c r="O951" s="1">
        <v>2025</v>
      </c>
      <c r="P951" s="1" t="s">
        <v>76</v>
      </c>
      <c r="Q951" s="1" t="s">
        <v>46</v>
      </c>
      <c r="R951" s="4" t="s">
        <v>54</v>
      </c>
      <c r="S951" s="25">
        <f>Table1[[#This Row],[Clicks]]/Table1[[#This Row],[Impressions]]</f>
        <v>4.1973404151451836E-2</v>
      </c>
      <c r="T951" s="22">
        <f>Table1[[#This Row],[Sales]]/Table1[[#This Row],[USD_Spend]]</f>
        <v>3.9771497610819875</v>
      </c>
      <c r="U951" s="1" t="str">
        <f>Outlier_Check!C961</f>
        <v>Normal</v>
      </c>
    </row>
    <row r="952" spans="1:21" x14ac:dyDescent="0.35">
      <c r="A952" s="3" t="s">
        <v>91</v>
      </c>
      <c r="B952" s="1" t="s">
        <v>19</v>
      </c>
      <c r="C952" s="1" t="s">
        <v>29</v>
      </c>
      <c r="D952" s="1" t="s">
        <v>59</v>
      </c>
      <c r="E952" s="1" t="s">
        <v>30</v>
      </c>
      <c r="F952" s="1" t="s">
        <v>49</v>
      </c>
      <c r="G952" s="2">
        <v>45771</v>
      </c>
      <c r="H952" s="2">
        <v>45806</v>
      </c>
      <c r="I952" s="1">
        <v>48401.82</v>
      </c>
      <c r="J952" s="1">
        <v>0.36120000000000002</v>
      </c>
      <c r="K952" s="1">
        <v>17482.740000000002</v>
      </c>
      <c r="L952" s="1">
        <v>922677</v>
      </c>
      <c r="M952" s="1">
        <v>22298</v>
      </c>
      <c r="N952" s="1">
        <v>202036.97</v>
      </c>
      <c r="O952" s="1">
        <v>2025</v>
      </c>
      <c r="P952" s="1" t="s">
        <v>76</v>
      </c>
      <c r="Q952" s="1" t="s">
        <v>46</v>
      </c>
      <c r="R952" s="4" t="s">
        <v>41</v>
      </c>
      <c r="S952" s="25">
        <f>Table1[[#This Row],[Clicks]]/Table1[[#This Row],[Impressions]]</f>
        <v>2.4166636862087167E-2</v>
      </c>
      <c r="T952" s="22">
        <f>Table1[[#This Row],[Sales]]/Table1[[#This Row],[USD_Spend]]</f>
        <v>11.556367594553256</v>
      </c>
      <c r="U952" s="1" t="str">
        <f>Outlier_Check!C962</f>
        <v>Normal</v>
      </c>
    </row>
    <row r="953" spans="1:21" x14ac:dyDescent="0.35">
      <c r="A953" s="3" t="s">
        <v>81</v>
      </c>
      <c r="B953" s="1" t="s">
        <v>19</v>
      </c>
      <c r="C953" s="1" t="s">
        <v>36</v>
      </c>
      <c r="D953" s="1" t="s">
        <v>21</v>
      </c>
      <c r="E953" s="1" t="s">
        <v>30</v>
      </c>
      <c r="F953" s="1" t="s">
        <v>52</v>
      </c>
      <c r="G953" s="2">
        <v>45773</v>
      </c>
      <c r="H953" s="2">
        <v>45787</v>
      </c>
      <c r="I953" s="1">
        <v>30670.04</v>
      </c>
      <c r="J953" s="1">
        <v>0.22109999999999999</v>
      </c>
      <c r="K953" s="1">
        <v>6781.15</v>
      </c>
      <c r="L953" s="1">
        <v>955404</v>
      </c>
      <c r="M953" s="1">
        <v>40388</v>
      </c>
      <c r="N953" s="1">
        <v>151954.38</v>
      </c>
      <c r="O953" s="1">
        <v>2025</v>
      </c>
      <c r="P953" s="1" t="s">
        <v>76</v>
      </c>
      <c r="Q953" s="1" t="s">
        <v>46</v>
      </c>
      <c r="R953" s="4" t="s">
        <v>26</v>
      </c>
      <c r="S953" s="25">
        <f>Table1[[#This Row],[Clicks]]/Table1[[#This Row],[Impressions]]</f>
        <v>4.2273216356640754E-2</v>
      </c>
      <c r="T953" s="22">
        <f>Table1[[#This Row],[Sales]]/Table1[[#This Row],[USD_Spend]]</f>
        <v>22.408349616215542</v>
      </c>
      <c r="U953" s="1" t="str">
        <f>Outlier_Check!C963</f>
        <v>Normal</v>
      </c>
    </row>
    <row r="954" spans="1:21" x14ac:dyDescent="0.35">
      <c r="A954" s="3" t="s">
        <v>108</v>
      </c>
      <c r="B954" s="1" t="s">
        <v>28</v>
      </c>
      <c r="C954" s="1" t="s">
        <v>36</v>
      </c>
      <c r="D954" s="1" t="s">
        <v>63</v>
      </c>
      <c r="E954" s="1" t="s">
        <v>30</v>
      </c>
      <c r="F954" s="1" t="s">
        <v>44</v>
      </c>
      <c r="G954" s="2">
        <v>45774</v>
      </c>
      <c r="H954" s="2">
        <v>45801</v>
      </c>
      <c r="I954" s="1">
        <v>15755.57</v>
      </c>
      <c r="J954" s="1">
        <v>0.40710000000000002</v>
      </c>
      <c r="K954" s="1">
        <v>6414.09</v>
      </c>
      <c r="L954" s="1">
        <v>552985</v>
      </c>
      <c r="M954" s="1">
        <v>43611</v>
      </c>
      <c r="N954" s="1">
        <v>214954.26</v>
      </c>
      <c r="O954" s="1">
        <v>2025</v>
      </c>
      <c r="P954" s="1" t="s">
        <v>76</v>
      </c>
      <c r="Q954" s="1" t="s">
        <v>46</v>
      </c>
      <c r="R954" s="4" t="s">
        <v>26</v>
      </c>
      <c r="S954" s="25">
        <f>Table1[[#This Row],[Clicks]]/Table1[[#This Row],[Impressions]]</f>
        <v>7.8864706999285689E-2</v>
      </c>
      <c r="T954" s="22">
        <f>Table1[[#This Row],[Sales]]/Table1[[#This Row],[USD_Spend]]</f>
        <v>33.512822551601239</v>
      </c>
      <c r="U954" s="1" t="str">
        <f>Outlier_Check!C964</f>
        <v>Normal</v>
      </c>
    </row>
    <row r="955" spans="1:21" x14ac:dyDescent="0.35">
      <c r="A955" s="3" t="s">
        <v>92</v>
      </c>
      <c r="B955" s="1" t="s">
        <v>28</v>
      </c>
      <c r="C955" s="1" t="s">
        <v>69</v>
      </c>
      <c r="D955" s="1" t="s">
        <v>59</v>
      </c>
      <c r="E955" s="1" t="s">
        <v>30</v>
      </c>
      <c r="F955" s="1" t="s">
        <v>31</v>
      </c>
      <c r="G955" s="2">
        <v>45776</v>
      </c>
      <c r="H955" s="2">
        <v>45823</v>
      </c>
      <c r="I955" s="1">
        <v>20394.48</v>
      </c>
      <c r="J955" s="1">
        <v>1.9599999999999999E-2</v>
      </c>
      <c r="K955" s="1">
        <v>399.73</v>
      </c>
      <c r="L955" s="1">
        <v>917088</v>
      </c>
      <c r="M955" s="1">
        <v>45044</v>
      </c>
      <c r="N955" s="1">
        <v>195686.35</v>
      </c>
      <c r="O955" s="1">
        <v>2025</v>
      </c>
      <c r="P955" s="1" t="s">
        <v>76</v>
      </c>
      <c r="Q955" s="1" t="s">
        <v>46</v>
      </c>
      <c r="R955" s="4" t="s">
        <v>61</v>
      </c>
      <c r="S955" s="25">
        <f>Table1[[#This Row],[Clicks]]/Table1[[#This Row],[Impressions]]</f>
        <v>4.9116333438012492E-2</v>
      </c>
      <c r="T955" s="22">
        <f>Table1[[#This Row],[Sales]]/Table1[[#This Row],[USD_Spend]]</f>
        <v>489.54631876516646</v>
      </c>
      <c r="U955" s="1" t="str">
        <f>Outlier_Check!C965</f>
        <v>Normal</v>
      </c>
    </row>
    <row r="956" spans="1:21" x14ac:dyDescent="0.35">
      <c r="A956" s="3" t="s">
        <v>27</v>
      </c>
      <c r="B956" s="1" t="s">
        <v>48</v>
      </c>
      <c r="C956" s="1" t="s">
        <v>29</v>
      </c>
      <c r="D956" s="1" t="s">
        <v>63</v>
      </c>
      <c r="E956" s="1" t="s">
        <v>38</v>
      </c>
      <c r="F956" s="1" t="s">
        <v>52</v>
      </c>
      <c r="G956" s="2">
        <v>45776</v>
      </c>
      <c r="H956" s="2">
        <v>45795</v>
      </c>
      <c r="I956" s="1">
        <v>45662.83</v>
      </c>
      <c r="J956" s="1">
        <v>0.84850000000000003</v>
      </c>
      <c r="K956" s="1">
        <v>38744.910000000003</v>
      </c>
      <c r="L956" s="1">
        <v>689091</v>
      </c>
      <c r="M956" s="1">
        <v>24200</v>
      </c>
      <c r="N956" s="1">
        <v>190001.39</v>
      </c>
      <c r="O956" s="1">
        <v>2025</v>
      </c>
      <c r="P956" s="1" t="s">
        <v>76</v>
      </c>
      <c r="Q956" s="1" t="s">
        <v>46</v>
      </c>
      <c r="R956" s="4" t="s">
        <v>26</v>
      </c>
      <c r="S956" s="25">
        <f>Table1[[#This Row],[Clicks]]/Table1[[#This Row],[Impressions]]</f>
        <v>3.5118728876157142E-2</v>
      </c>
      <c r="T956" s="22">
        <f>Table1[[#This Row],[Sales]]/Table1[[#This Row],[USD_Spend]]</f>
        <v>4.9039058291785942</v>
      </c>
      <c r="U956" s="1" t="str">
        <f>Outlier_Check!C966</f>
        <v>Normal</v>
      </c>
    </row>
    <row r="957" spans="1:21" x14ac:dyDescent="0.35">
      <c r="A957" s="3" t="s">
        <v>102</v>
      </c>
      <c r="B957" s="1" t="s">
        <v>19</v>
      </c>
      <c r="C957" s="1" t="s">
        <v>20</v>
      </c>
      <c r="D957" s="1" t="s">
        <v>21</v>
      </c>
      <c r="E957" s="1" t="s">
        <v>38</v>
      </c>
      <c r="F957" s="1" t="s">
        <v>44</v>
      </c>
      <c r="G957" s="2">
        <v>45777</v>
      </c>
      <c r="H957" s="2">
        <v>45827</v>
      </c>
      <c r="I957" s="1">
        <v>33317.43</v>
      </c>
      <c r="J957" s="1">
        <v>0.55030000000000001</v>
      </c>
      <c r="K957" s="1">
        <v>18334.580000000002</v>
      </c>
      <c r="L957" s="1">
        <v>292400</v>
      </c>
      <c r="M957" s="1">
        <v>39041</v>
      </c>
      <c r="N957" s="1">
        <v>166211.54</v>
      </c>
      <c r="O957" s="1">
        <v>2025</v>
      </c>
      <c r="P957" s="1" t="s">
        <v>76</v>
      </c>
      <c r="Q957" s="1" t="s">
        <v>46</v>
      </c>
      <c r="R957" s="4" t="s">
        <v>61</v>
      </c>
      <c r="S957" s="25">
        <f>Table1[[#This Row],[Clicks]]/Table1[[#This Row],[Impressions]]</f>
        <v>0.13351915184678523</v>
      </c>
      <c r="T957" s="22">
        <f>Table1[[#This Row],[Sales]]/Table1[[#This Row],[USD_Spend]]</f>
        <v>9.0654675482067208</v>
      </c>
      <c r="U957" s="1" t="str">
        <f>Outlier_Check!C967</f>
        <v>Normal</v>
      </c>
    </row>
    <row r="958" spans="1:21" x14ac:dyDescent="0.35">
      <c r="A958" s="3" t="s">
        <v>42</v>
      </c>
      <c r="B958" s="1" t="s">
        <v>19</v>
      </c>
      <c r="C958" s="1" t="s">
        <v>58</v>
      </c>
      <c r="D958" s="1" t="s">
        <v>37</v>
      </c>
      <c r="E958" s="1" t="s">
        <v>38</v>
      </c>
      <c r="F958" s="1" t="s">
        <v>44</v>
      </c>
      <c r="G958" s="2">
        <v>45777</v>
      </c>
      <c r="H958" s="2">
        <v>45809</v>
      </c>
      <c r="I958" s="1">
        <v>5493.96</v>
      </c>
      <c r="J958" s="1">
        <v>1.0934999999999999</v>
      </c>
      <c r="K958" s="1">
        <v>6007.65</v>
      </c>
      <c r="L958" s="1">
        <v>866375</v>
      </c>
      <c r="M958" s="1">
        <v>29665</v>
      </c>
      <c r="N958" s="1">
        <v>221734.29</v>
      </c>
      <c r="O958" s="1">
        <v>2025</v>
      </c>
      <c r="P958" s="1" t="s">
        <v>76</v>
      </c>
      <c r="Q958" s="1" t="s">
        <v>46</v>
      </c>
      <c r="R958" s="4" t="s">
        <v>41</v>
      </c>
      <c r="S958" s="25">
        <f>Table1[[#This Row],[Clicks]]/Table1[[#This Row],[Impressions]]</f>
        <v>3.4240369355071416E-2</v>
      </c>
      <c r="T958" s="22">
        <f>Table1[[#This Row],[Sales]]/Table1[[#This Row],[USD_Spend]]</f>
        <v>36.908656463009663</v>
      </c>
      <c r="U958" s="1" t="str">
        <f>Outlier_Check!C968</f>
        <v>Normal</v>
      </c>
    </row>
    <row r="959" spans="1:21" x14ac:dyDescent="0.35">
      <c r="A959" s="3" t="s">
        <v>57</v>
      </c>
      <c r="B959" s="1" t="s">
        <v>48</v>
      </c>
      <c r="C959" s="1" t="s">
        <v>20</v>
      </c>
      <c r="D959" s="1" t="s">
        <v>59</v>
      </c>
      <c r="E959" s="1" t="s">
        <v>38</v>
      </c>
      <c r="F959" s="1" t="s">
        <v>44</v>
      </c>
      <c r="G959" s="2">
        <v>45777</v>
      </c>
      <c r="H959" s="2">
        <v>45788</v>
      </c>
      <c r="I959" s="1">
        <v>26067.65</v>
      </c>
      <c r="J959" s="1">
        <v>0.74509999999999998</v>
      </c>
      <c r="K959" s="1">
        <v>19423.009999999998</v>
      </c>
      <c r="L959" s="1">
        <v>306439</v>
      </c>
      <c r="M959" s="1">
        <v>7571</v>
      </c>
      <c r="N959" s="1">
        <v>197266.22</v>
      </c>
      <c r="O959" s="1">
        <v>2025</v>
      </c>
      <c r="P959" s="1" t="s">
        <v>76</v>
      </c>
      <c r="Q959" s="1" t="s">
        <v>46</v>
      </c>
      <c r="R959" s="4" t="s">
        <v>61</v>
      </c>
      <c r="S959" s="25">
        <f>Table1[[#This Row],[Clicks]]/Table1[[#This Row],[Impressions]]</f>
        <v>2.4706385283857473E-2</v>
      </c>
      <c r="T959" s="22">
        <f>Table1[[#This Row],[Sales]]/Table1[[#This Row],[USD_Spend]]</f>
        <v>10.156315627701371</v>
      </c>
      <c r="U959" s="1" t="str">
        <f>Outlier_Check!C969</f>
        <v>Normal</v>
      </c>
    </row>
    <row r="960" spans="1:21" x14ac:dyDescent="0.35">
      <c r="A960" s="3" t="s">
        <v>109</v>
      </c>
      <c r="B960" s="1" t="s">
        <v>19</v>
      </c>
      <c r="C960" s="1" t="s">
        <v>58</v>
      </c>
      <c r="D960" s="1" t="s">
        <v>21</v>
      </c>
      <c r="E960" s="1" t="s">
        <v>22</v>
      </c>
      <c r="F960" s="1" t="s">
        <v>23</v>
      </c>
      <c r="G960" s="2">
        <v>45778</v>
      </c>
      <c r="H960" s="2">
        <v>45795</v>
      </c>
      <c r="I960" s="1">
        <v>39960.230000000003</v>
      </c>
      <c r="J960" s="1">
        <v>0.67479999999999996</v>
      </c>
      <c r="K960" s="1">
        <v>26965.16</v>
      </c>
      <c r="L960" s="1">
        <v>733153</v>
      </c>
      <c r="M960" s="1">
        <v>34549</v>
      </c>
      <c r="N960" s="1">
        <v>212287.09</v>
      </c>
      <c r="O960" s="1">
        <v>2025</v>
      </c>
      <c r="P960" s="1" t="s">
        <v>45</v>
      </c>
      <c r="Q960" s="1" t="s">
        <v>46</v>
      </c>
      <c r="R960" s="4" t="s">
        <v>61</v>
      </c>
      <c r="S960" s="25">
        <f>Table1[[#This Row],[Clicks]]/Table1[[#This Row],[Impressions]]</f>
        <v>4.7123860913069984E-2</v>
      </c>
      <c r="T960" s="22">
        <f>Table1[[#This Row],[Sales]]/Table1[[#This Row],[USD_Spend]]</f>
        <v>7.8726434406471162</v>
      </c>
      <c r="U960" s="1" t="str">
        <f>Outlier_Check!C970</f>
        <v>Normal</v>
      </c>
    </row>
    <row r="961" spans="1:21" x14ac:dyDescent="0.35">
      <c r="A961" s="3" t="s">
        <v>87</v>
      </c>
      <c r="B961" s="1" t="s">
        <v>48</v>
      </c>
      <c r="C961" s="1" t="s">
        <v>58</v>
      </c>
      <c r="D961" s="1" t="s">
        <v>51</v>
      </c>
      <c r="E961" s="1" t="s">
        <v>30</v>
      </c>
      <c r="F961" s="1" t="s">
        <v>52</v>
      </c>
      <c r="G961" s="2">
        <v>45779</v>
      </c>
      <c r="H961" s="2">
        <v>45838</v>
      </c>
      <c r="I961" s="1">
        <v>7160.14</v>
      </c>
      <c r="J961" s="1">
        <v>0.54469999999999996</v>
      </c>
      <c r="K961" s="1">
        <v>3900.13</v>
      </c>
      <c r="L961" s="1">
        <v>616472</v>
      </c>
      <c r="M961" s="1">
        <v>6486</v>
      </c>
      <c r="N961" s="1">
        <v>13939.06</v>
      </c>
      <c r="O961" s="1">
        <v>2025</v>
      </c>
      <c r="P961" s="1" t="s">
        <v>45</v>
      </c>
      <c r="Q961" s="1" t="s">
        <v>46</v>
      </c>
      <c r="R961" s="4" t="s">
        <v>54</v>
      </c>
      <c r="S961" s="25">
        <f>Table1[[#This Row],[Clicks]]/Table1[[#This Row],[Impressions]]</f>
        <v>1.0521159111849362E-2</v>
      </c>
      <c r="T961" s="22">
        <f>Table1[[#This Row],[Sales]]/Table1[[#This Row],[USD_Spend]]</f>
        <v>3.5739988154241011</v>
      </c>
      <c r="U961" s="1" t="str">
        <f>Outlier_Check!C971</f>
        <v>Normal</v>
      </c>
    </row>
    <row r="962" spans="1:21" x14ac:dyDescent="0.35">
      <c r="A962" s="3" t="s">
        <v>119</v>
      </c>
      <c r="B962" s="1" t="s">
        <v>48</v>
      </c>
      <c r="C962" s="1" t="s">
        <v>58</v>
      </c>
      <c r="D962" s="1" t="s">
        <v>63</v>
      </c>
      <c r="E962" s="1" t="s">
        <v>22</v>
      </c>
      <c r="F962" s="1" t="s">
        <v>23</v>
      </c>
      <c r="G962" s="2">
        <v>45779</v>
      </c>
      <c r="H962" s="2">
        <v>45836</v>
      </c>
      <c r="I962" s="1">
        <v>2263.09</v>
      </c>
      <c r="J962" s="1">
        <v>0.25169999999999998</v>
      </c>
      <c r="K962" s="1">
        <v>569.62</v>
      </c>
      <c r="L962" s="1">
        <v>997555</v>
      </c>
      <c r="M962" s="1">
        <v>37531</v>
      </c>
      <c r="N962" s="1">
        <v>109493.13</v>
      </c>
      <c r="O962" s="1">
        <v>2025</v>
      </c>
      <c r="P962" s="1" t="s">
        <v>45</v>
      </c>
      <c r="Q962" s="1" t="s">
        <v>46</v>
      </c>
      <c r="R962" s="4" t="s">
        <v>54</v>
      </c>
      <c r="S962" s="25">
        <f>Table1[[#This Row],[Clicks]]/Table1[[#This Row],[Impressions]]</f>
        <v>3.7622988206164068E-2</v>
      </c>
      <c r="T962" s="22">
        <f>Table1[[#This Row],[Sales]]/Table1[[#This Row],[USD_Spend]]</f>
        <v>192.22135809838139</v>
      </c>
      <c r="U962" s="1" t="str">
        <f>Outlier_Check!C972</f>
        <v>Normal</v>
      </c>
    </row>
    <row r="963" spans="1:21" x14ac:dyDescent="0.35">
      <c r="A963" s="3" t="s">
        <v>103</v>
      </c>
      <c r="B963" s="1" t="s">
        <v>48</v>
      </c>
      <c r="C963" s="1" t="s">
        <v>36</v>
      </c>
      <c r="D963" s="1" t="s">
        <v>63</v>
      </c>
      <c r="E963" s="1" t="s">
        <v>38</v>
      </c>
      <c r="F963" s="1" t="s">
        <v>31</v>
      </c>
      <c r="G963" s="2">
        <v>45781</v>
      </c>
      <c r="H963" s="2">
        <v>45816</v>
      </c>
      <c r="I963" s="1">
        <v>49031.99</v>
      </c>
      <c r="J963" s="1">
        <v>0.3</v>
      </c>
      <c r="K963" s="1">
        <v>14709.6</v>
      </c>
      <c r="L963" s="1">
        <v>588043</v>
      </c>
      <c r="M963" s="1">
        <v>9579</v>
      </c>
      <c r="N963" s="1">
        <v>98978.57</v>
      </c>
      <c r="O963" s="1">
        <v>2025</v>
      </c>
      <c r="P963" s="1" t="s">
        <v>45</v>
      </c>
      <c r="Q963" s="1" t="s">
        <v>46</v>
      </c>
      <c r="R963" s="4" t="s">
        <v>41</v>
      </c>
      <c r="S963" s="25">
        <f>Table1[[#This Row],[Clicks]]/Table1[[#This Row],[Impressions]]</f>
        <v>1.628962507843814E-2</v>
      </c>
      <c r="T963" s="22">
        <f>Table1[[#This Row],[Sales]]/Table1[[#This Row],[USD_Spend]]</f>
        <v>6.7288417088160113</v>
      </c>
      <c r="U963" s="1" t="str">
        <f>Outlier_Check!C973</f>
        <v>Normal</v>
      </c>
    </row>
    <row r="964" spans="1:21" x14ac:dyDescent="0.35">
      <c r="A964" s="3" t="s">
        <v>78</v>
      </c>
      <c r="B964" s="1" t="s">
        <v>19</v>
      </c>
      <c r="C964" s="1" t="s">
        <v>29</v>
      </c>
      <c r="D964" s="1" t="s">
        <v>43</v>
      </c>
      <c r="E964" s="1" t="s">
        <v>22</v>
      </c>
      <c r="F964" s="1" t="s">
        <v>23</v>
      </c>
      <c r="G964" s="2">
        <v>45783</v>
      </c>
      <c r="H964" s="2">
        <v>45839</v>
      </c>
      <c r="I964" s="1">
        <v>44199.69</v>
      </c>
      <c r="J964" s="1">
        <v>0.59570000000000001</v>
      </c>
      <c r="K964" s="1">
        <v>26329.759999999998</v>
      </c>
      <c r="L964" s="1">
        <v>334065</v>
      </c>
      <c r="M964" s="1">
        <v>11605</v>
      </c>
      <c r="N964" s="1">
        <v>125156.92</v>
      </c>
      <c r="O964" s="1">
        <v>2025</v>
      </c>
      <c r="P964" s="1" t="s">
        <v>45</v>
      </c>
      <c r="Q964" s="1" t="s">
        <v>46</v>
      </c>
      <c r="R964" s="4" t="s">
        <v>54</v>
      </c>
      <c r="S964" s="25">
        <f>Table1[[#This Row],[Clicks]]/Table1[[#This Row],[Impressions]]</f>
        <v>3.4738748447158484E-2</v>
      </c>
      <c r="T964" s="22">
        <f>Table1[[#This Row],[Sales]]/Table1[[#This Row],[USD_Spend]]</f>
        <v>4.7534394540626277</v>
      </c>
      <c r="U964" s="1" t="str">
        <f>Outlier_Check!C974</f>
        <v>Normal</v>
      </c>
    </row>
    <row r="965" spans="1:21" x14ac:dyDescent="0.35">
      <c r="A965" s="3" t="s">
        <v>94</v>
      </c>
      <c r="B965" s="1" t="s">
        <v>28</v>
      </c>
      <c r="C965" s="1" t="s">
        <v>69</v>
      </c>
      <c r="D965" s="1" t="s">
        <v>63</v>
      </c>
      <c r="E965" s="1" t="s">
        <v>38</v>
      </c>
      <c r="F965" s="1" t="s">
        <v>31</v>
      </c>
      <c r="G965" s="2">
        <v>45784</v>
      </c>
      <c r="H965" s="2">
        <v>45812</v>
      </c>
      <c r="I965" s="1">
        <v>18094.96</v>
      </c>
      <c r="J965" s="1">
        <v>0.89300000000000002</v>
      </c>
      <c r="K965" s="1">
        <v>16158.8</v>
      </c>
      <c r="L965" s="1">
        <v>38206</v>
      </c>
      <c r="M965" s="1">
        <v>41070</v>
      </c>
      <c r="N965" s="1">
        <v>88607.85</v>
      </c>
      <c r="O965" s="1">
        <v>2025</v>
      </c>
      <c r="P965" s="1" t="s">
        <v>45</v>
      </c>
      <c r="Q965" s="1" t="s">
        <v>46</v>
      </c>
      <c r="R965" s="4" t="s">
        <v>26</v>
      </c>
      <c r="S965" s="25">
        <f>Table1[[#This Row],[Clicks]]/Table1[[#This Row],[Impressions]]</f>
        <v>1.0749620478458881</v>
      </c>
      <c r="T965" s="22">
        <f>Table1[[#This Row],[Sales]]/Table1[[#This Row],[USD_Spend]]</f>
        <v>5.4835662301656072</v>
      </c>
      <c r="U965" s="1" t="str">
        <f>Outlier_Check!C975</f>
        <v>Normal</v>
      </c>
    </row>
    <row r="966" spans="1:21" x14ac:dyDescent="0.35">
      <c r="A966" s="3" t="s">
        <v>64</v>
      </c>
      <c r="B966" s="1" t="s">
        <v>19</v>
      </c>
      <c r="C966" s="1" t="s">
        <v>36</v>
      </c>
      <c r="D966" s="1" t="s">
        <v>51</v>
      </c>
      <c r="E966" s="1" t="s">
        <v>38</v>
      </c>
      <c r="F966" s="1" t="s">
        <v>52</v>
      </c>
      <c r="G966" s="2">
        <v>45785</v>
      </c>
      <c r="H966" s="2">
        <v>45791</v>
      </c>
      <c r="I966" s="1">
        <v>30742.44</v>
      </c>
      <c r="J966" s="1">
        <v>0.22090000000000001</v>
      </c>
      <c r="K966" s="1">
        <v>6791</v>
      </c>
      <c r="L966" s="1">
        <v>140182</v>
      </c>
      <c r="M966" s="1">
        <v>35139</v>
      </c>
      <c r="N966" s="1">
        <v>186654.39</v>
      </c>
      <c r="O966" s="1">
        <v>2025</v>
      </c>
      <c r="P966" s="1" t="s">
        <v>45</v>
      </c>
      <c r="Q966" s="1" t="s">
        <v>46</v>
      </c>
      <c r="R966" s="4" t="s">
        <v>54</v>
      </c>
      <c r="S966" s="25">
        <f>Table1[[#This Row],[Clicks]]/Table1[[#This Row],[Impressions]]</f>
        <v>0.25066699005578463</v>
      </c>
      <c r="T966" s="22">
        <f>Table1[[#This Row],[Sales]]/Table1[[#This Row],[USD_Spend]]</f>
        <v>27.485552937711681</v>
      </c>
      <c r="U966" s="1" t="str">
        <f>Outlier_Check!C976</f>
        <v>Normal</v>
      </c>
    </row>
    <row r="967" spans="1:21" x14ac:dyDescent="0.35">
      <c r="A967" s="3" t="s">
        <v>84</v>
      </c>
      <c r="B967" s="1" t="s">
        <v>28</v>
      </c>
      <c r="C967" s="1" t="s">
        <v>69</v>
      </c>
      <c r="D967" s="1" t="s">
        <v>51</v>
      </c>
      <c r="E967" s="1" t="s">
        <v>30</v>
      </c>
      <c r="F967" s="1" t="s">
        <v>31</v>
      </c>
      <c r="G967" s="2">
        <v>45788</v>
      </c>
      <c r="H967" s="2">
        <v>45840</v>
      </c>
      <c r="I967" s="1">
        <v>33448.949999999997</v>
      </c>
      <c r="J967" s="1">
        <v>1.1295999999999999</v>
      </c>
      <c r="K967" s="1">
        <v>37783.93</v>
      </c>
      <c r="L967" s="1">
        <v>734233</v>
      </c>
      <c r="M967" s="1">
        <v>44113</v>
      </c>
      <c r="N967" s="1">
        <v>63720.58</v>
      </c>
      <c r="O967" s="1">
        <v>2025</v>
      </c>
      <c r="P967" s="1" t="s">
        <v>45</v>
      </c>
      <c r="Q967" s="1" t="s">
        <v>46</v>
      </c>
      <c r="R967" s="4" t="s">
        <v>26</v>
      </c>
      <c r="S967" s="25">
        <f>Table1[[#This Row],[Clicks]]/Table1[[#This Row],[Impressions]]</f>
        <v>6.0080383202607349E-2</v>
      </c>
      <c r="T967" s="22">
        <f>Table1[[#This Row],[Sales]]/Table1[[#This Row],[USD_Spend]]</f>
        <v>1.686446592506391</v>
      </c>
      <c r="U967" s="1" t="str">
        <f>Outlier_Check!C977</f>
        <v>Normal</v>
      </c>
    </row>
    <row r="968" spans="1:21" x14ac:dyDescent="0.35">
      <c r="A968" s="3" t="s">
        <v>100</v>
      </c>
      <c r="B968" s="1" t="s">
        <v>48</v>
      </c>
      <c r="C968" s="1" t="s">
        <v>69</v>
      </c>
      <c r="D968" s="1" t="s">
        <v>63</v>
      </c>
      <c r="E968" s="1" t="s">
        <v>30</v>
      </c>
      <c r="F968" s="1" t="s">
        <v>52</v>
      </c>
      <c r="G968" s="2">
        <v>45788</v>
      </c>
      <c r="H968" s="2">
        <v>45832</v>
      </c>
      <c r="I968" s="1">
        <v>19614.61</v>
      </c>
      <c r="J968" s="1">
        <v>1.036</v>
      </c>
      <c r="K968" s="1">
        <v>20320.740000000002</v>
      </c>
      <c r="L968" s="1">
        <v>471607</v>
      </c>
      <c r="M968" s="1">
        <v>22037</v>
      </c>
      <c r="N968" s="1">
        <v>110500.97</v>
      </c>
      <c r="O968" s="1">
        <v>2025</v>
      </c>
      <c r="P968" s="1" t="s">
        <v>45</v>
      </c>
      <c r="Q968" s="1" t="s">
        <v>46</v>
      </c>
      <c r="R968" s="4" t="s">
        <v>54</v>
      </c>
      <c r="S968" s="25">
        <f>Table1[[#This Row],[Clicks]]/Table1[[#This Row],[Impressions]]</f>
        <v>4.672746587730886E-2</v>
      </c>
      <c r="T968" s="22">
        <f>Table1[[#This Row],[Sales]]/Table1[[#This Row],[USD_Spend]]</f>
        <v>5.437841830563257</v>
      </c>
      <c r="U968" s="1" t="str">
        <f>Outlier_Check!C978</f>
        <v>Normal</v>
      </c>
    </row>
    <row r="969" spans="1:21" x14ac:dyDescent="0.35">
      <c r="A969" s="3" t="s">
        <v>117</v>
      </c>
      <c r="B969" s="1" t="s">
        <v>48</v>
      </c>
      <c r="C969" s="1" t="s">
        <v>29</v>
      </c>
      <c r="D969" s="1" t="s">
        <v>63</v>
      </c>
      <c r="E969" s="1" t="s">
        <v>38</v>
      </c>
      <c r="F969" s="1" t="s">
        <v>23</v>
      </c>
      <c r="G969" s="2">
        <v>45790</v>
      </c>
      <c r="H969" s="2">
        <v>45843</v>
      </c>
      <c r="I969" s="1">
        <v>47630.559999999998</v>
      </c>
      <c r="J969" s="1">
        <v>7.6700000000000004E-2</v>
      </c>
      <c r="K969" s="1">
        <v>3653.26</v>
      </c>
      <c r="L969" s="1">
        <v>823331</v>
      </c>
      <c r="M969" s="1">
        <v>25817</v>
      </c>
      <c r="N969" s="1">
        <v>22489.25</v>
      </c>
      <c r="O969" s="1">
        <v>2025</v>
      </c>
      <c r="P969" s="1" t="s">
        <v>45</v>
      </c>
      <c r="Q969" s="1" t="s">
        <v>46</v>
      </c>
      <c r="R969" s="4" t="s">
        <v>26</v>
      </c>
      <c r="S969" s="25">
        <f>Table1[[#This Row],[Clicks]]/Table1[[#This Row],[Impressions]]</f>
        <v>3.1356769027280643E-2</v>
      </c>
      <c r="T969" s="22">
        <f>Table1[[#This Row],[Sales]]/Table1[[#This Row],[USD_Spend]]</f>
        <v>6.1559401739815938</v>
      </c>
      <c r="U969" s="1" t="str">
        <f>Outlier_Check!C979</f>
        <v>Normal</v>
      </c>
    </row>
    <row r="970" spans="1:21" x14ac:dyDescent="0.35">
      <c r="A970" s="3" t="s">
        <v>106</v>
      </c>
      <c r="B970" s="1" t="s">
        <v>35</v>
      </c>
      <c r="C970" s="1" t="s">
        <v>29</v>
      </c>
      <c r="D970" s="1" t="s">
        <v>37</v>
      </c>
      <c r="E970" s="1" t="s">
        <v>38</v>
      </c>
      <c r="F970" s="1" t="s">
        <v>31</v>
      </c>
      <c r="G970" s="2">
        <v>45792</v>
      </c>
      <c r="H970" s="2">
        <v>45813</v>
      </c>
      <c r="I970" s="1">
        <v>8979.51</v>
      </c>
      <c r="J970" s="1">
        <v>7.9600000000000004E-2</v>
      </c>
      <c r="K970" s="1">
        <v>714.77</v>
      </c>
      <c r="L970" s="1">
        <v>345209</v>
      </c>
      <c r="M970" s="1">
        <v>30314</v>
      </c>
      <c r="N970" s="1">
        <v>220187.73</v>
      </c>
      <c r="O970" s="1">
        <v>2025</v>
      </c>
      <c r="P970" s="1" t="s">
        <v>45</v>
      </c>
      <c r="Q970" s="1" t="s">
        <v>46</v>
      </c>
      <c r="R970" s="4" t="s">
        <v>54</v>
      </c>
      <c r="S970" s="25">
        <f>Table1[[#This Row],[Clicks]]/Table1[[#This Row],[Impressions]]</f>
        <v>8.7813469521362417E-2</v>
      </c>
      <c r="T970" s="22">
        <f>Table1[[#This Row],[Sales]]/Table1[[#This Row],[USD_Spend]]</f>
        <v>308.05396141416122</v>
      </c>
      <c r="U970" s="1" t="str">
        <f>Outlier_Check!C980</f>
        <v>Normal</v>
      </c>
    </row>
    <row r="971" spans="1:21" x14ac:dyDescent="0.35">
      <c r="A971" s="3" t="s">
        <v>106</v>
      </c>
      <c r="B971" s="1" t="s">
        <v>35</v>
      </c>
      <c r="C971" s="1" t="s">
        <v>20</v>
      </c>
      <c r="D971" s="1" t="s">
        <v>59</v>
      </c>
      <c r="E971" s="1" t="s">
        <v>30</v>
      </c>
      <c r="F971" s="1" t="s">
        <v>31</v>
      </c>
      <c r="G971" s="2">
        <v>45792</v>
      </c>
      <c r="H971" s="2">
        <v>45807</v>
      </c>
      <c r="I971" s="1">
        <v>42191.3</v>
      </c>
      <c r="J971" s="1">
        <v>1.0529999999999999</v>
      </c>
      <c r="K971" s="1">
        <v>44427.44</v>
      </c>
      <c r="L971" s="1">
        <v>199934</v>
      </c>
      <c r="M971" s="1">
        <v>19353</v>
      </c>
      <c r="N971" s="1">
        <v>28912.75</v>
      </c>
      <c r="O971" s="1">
        <v>2025</v>
      </c>
      <c r="P971" s="1" t="s">
        <v>45</v>
      </c>
      <c r="Q971" s="1" t="s">
        <v>46</v>
      </c>
      <c r="R971" s="4" t="s">
        <v>26</v>
      </c>
      <c r="S971" s="25">
        <f>Table1[[#This Row],[Clicks]]/Table1[[#This Row],[Impressions]]</f>
        <v>9.6796942991187088E-2</v>
      </c>
      <c r="T971" s="22">
        <f>Table1[[#This Row],[Sales]]/Table1[[#This Row],[USD_Spend]]</f>
        <v>0.6507858656722062</v>
      </c>
      <c r="U971" s="1" t="str">
        <f>Outlier_Check!C981</f>
        <v>Normal</v>
      </c>
    </row>
    <row r="972" spans="1:21" x14ac:dyDescent="0.35">
      <c r="A972" s="3" t="s">
        <v>64</v>
      </c>
      <c r="B972" s="1" t="s">
        <v>48</v>
      </c>
      <c r="C972" s="1" t="s">
        <v>20</v>
      </c>
      <c r="D972" s="1" t="s">
        <v>21</v>
      </c>
      <c r="E972" s="1" t="s">
        <v>30</v>
      </c>
      <c r="F972" s="1" t="s">
        <v>49</v>
      </c>
      <c r="G972" s="2">
        <v>45793</v>
      </c>
      <c r="H972" s="2">
        <v>45838</v>
      </c>
      <c r="I972" s="1">
        <v>25521.19</v>
      </c>
      <c r="J972" s="1">
        <v>0.94159999999999999</v>
      </c>
      <c r="K972" s="1">
        <v>24030.75</v>
      </c>
      <c r="L972" s="1">
        <v>159282</v>
      </c>
      <c r="M972" s="1">
        <v>24564</v>
      </c>
      <c r="N972" s="1">
        <v>137407.74</v>
      </c>
      <c r="O972" s="1">
        <v>2025</v>
      </c>
      <c r="P972" s="1" t="s">
        <v>45</v>
      </c>
      <c r="Q972" s="1" t="s">
        <v>46</v>
      </c>
      <c r="R972" s="4" t="s">
        <v>26</v>
      </c>
      <c r="S972" s="25">
        <f>Table1[[#This Row],[Clicks]]/Table1[[#This Row],[Impressions]]</f>
        <v>0.15421704900742081</v>
      </c>
      <c r="T972" s="22">
        <f>Table1[[#This Row],[Sales]]/Table1[[#This Row],[USD_Spend]]</f>
        <v>5.7179963172185637</v>
      </c>
      <c r="U972" s="1" t="str">
        <f>Outlier_Check!C982</f>
        <v>Normal</v>
      </c>
    </row>
    <row r="973" spans="1:21" x14ac:dyDescent="0.35">
      <c r="A973" s="3" t="s">
        <v>42</v>
      </c>
      <c r="B973" s="1" t="s">
        <v>28</v>
      </c>
      <c r="C973" s="1" t="s">
        <v>36</v>
      </c>
      <c r="D973" s="1" t="s">
        <v>43</v>
      </c>
      <c r="E973" s="1" t="s">
        <v>38</v>
      </c>
      <c r="F973" s="1" t="s">
        <v>44</v>
      </c>
      <c r="G973" s="2">
        <v>45794</v>
      </c>
      <c r="H973" s="2">
        <v>45821</v>
      </c>
      <c r="I973" s="1">
        <v>30582.58</v>
      </c>
      <c r="J973" s="1">
        <v>0.97050000000000003</v>
      </c>
      <c r="K973" s="1">
        <v>29680.39</v>
      </c>
      <c r="L973" s="1">
        <v>775179</v>
      </c>
      <c r="M973" s="1">
        <v>30208</v>
      </c>
      <c r="N973" s="1">
        <v>136375.88</v>
      </c>
      <c r="O973" s="1">
        <v>2025</v>
      </c>
      <c r="P973" s="1" t="s">
        <v>45</v>
      </c>
      <c r="Q973" s="1" t="s">
        <v>46</v>
      </c>
      <c r="R973" s="4" t="s">
        <v>41</v>
      </c>
      <c r="S973" s="25">
        <f>Table1[[#This Row],[Clicks]]/Table1[[#This Row],[Impressions]]</f>
        <v>3.8969063919430225E-2</v>
      </c>
      <c r="T973" s="22">
        <f>Table1[[#This Row],[Sales]]/Table1[[#This Row],[USD_Spend]]</f>
        <v>4.5948142864699557</v>
      </c>
      <c r="U973" s="1" t="str">
        <f>Outlier_Check!C983</f>
        <v>Normal</v>
      </c>
    </row>
    <row r="974" spans="1:21" x14ac:dyDescent="0.35">
      <c r="A974" s="3" t="s">
        <v>86</v>
      </c>
      <c r="B974" s="1" t="s">
        <v>19</v>
      </c>
      <c r="C974" s="1" t="s">
        <v>69</v>
      </c>
      <c r="D974" s="1" t="s">
        <v>59</v>
      </c>
      <c r="E974" s="1" t="s">
        <v>22</v>
      </c>
      <c r="F974" s="1" t="s">
        <v>44</v>
      </c>
      <c r="G974" s="2">
        <v>45795</v>
      </c>
      <c r="H974" s="2">
        <v>45852</v>
      </c>
      <c r="I974" s="1">
        <v>23281.15</v>
      </c>
      <c r="J974" s="1">
        <v>0.79869999999999997</v>
      </c>
      <c r="K974" s="1">
        <v>18594.650000000001</v>
      </c>
      <c r="L974" s="1">
        <v>682875</v>
      </c>
      <c r="M974" s="1">
        <v>42009</v>
      </c>
      <c r="N974" s="1">
        <v>151300.76</v>
      </c>
      <c r="O974" s="1">
        <v>2025</v>
      </c>
      <c r="P974" s="1" t="s">
        <v>45</v>
      </c>
      <c r="Q974" s="1" t="s">
        <v>46</v>
      </c>
      <c r="R974" s="4" t="s">
        <v>61</v>
      </c>
      <c r="S974" s="25">
        <f>Table1[[#This Row],[Clicks]]/Table1[[#This Row],[Impressions]]</f>
        <v>6.1517847336628226E-2</v>
      </c>
      <c r="T974" s="22">
        <f>Table1[[#This Row],[Sales]]/Table1[[#This Row],[USD_Spend]]</f>
        <v>8.1367898831115397</v>
      </c>
      <c r="U974" s="1" t="str">
        <f>Outlier_Check!C984</f>
        <v>Normal</v>
      </c>
    </row>
    <row r="975" spans="1:21" x14ac:dyDescent="0.35">
      <c r="A975" s="3" t="s">
        <v>100</v>
      </c>
      <c r="B975" s="1" t="s">
        <v>28</v>
      </c>
      <c r="C975" s="1" t="s">
        <v>36</v>
      </c>
      <c r="D975" s="1" t="s">
        <v>63</v>
      </c>
      <c r="E975" s="1" t="s">
        <v>22</v>
      </c>
      <c r="F975" s="1" t="s">
        <v>44</v>
      </c>
      <c r="G975" s="2">
        <v>45797</v>
      </c>
      <c r="H975" s="2">
        <v>45822</v>
      </c>
      <c r="I975" s="1">
        <v>1767.25</v>
      </c>
      <c r="J975" s="1">
        <v>0.25650000000000001</v>
      </c>
      <c r="K975" s="1">
        <v>453.3</v>
      </c>
      <c r="L975" s="1">
        <v>161195</v>
      </c>
      <c r="M975" s="1">
        <v>49399</v>
      </c>
      <c r="N975" s="1">
        <v>206069.23</v>
      </c>
      <c r="O975" s="1">
        <v>2025</v>
      </c>
      <c r="P975" s="1" t="s">
        <v>45</v>
      </c>
      <c r="Q975" s="1" t="s">
        <v>46</v>
      </c>
      <c r="R975" s="4" t="s">
        <v>61</v>
      </c>
      <c r="S975" s="25">
        <f>Table1[[#This Row],[Clicks]]/Table1[[#This Row],[Impressions]]</f>
        <v>0.30645491485467913</v>
      </c>
      <c r="T975" s="22">
        <f>Table1[[#This Row],[Sales]]/Table1[[#This Row],[USD_Spend]]</f>
        <v>454.59790425766602</v>
      </c>
      <c r="U975" s="1" t="str">
        <f>Outlier_Check!C985</f>
        <v>Normal</v>
      </c>
    </row>
    <row r="976" spans="1:21" x14ac:dyDescent="0.35">
      <c r="A976" s="3" t="s">
        <v>94</v>
      </c>
      <c r="B976" s="1" t="s">
        <v>28</v>
      </c>
      <c r="C976" s="1" t="s">
        <v>36</v>
      </c>
      <c r="D976" s="1" t="s">
        <v>21</v>
      </c>
      <c r="E976" s="1" t="s">
        <v>22</v>
      </c>
      <c r="F976" s="1" t="s">
        <v>23</v>
      </c>
      <c r="G976" s="2">
        <v>45799</v>
      </c>
      <c r="H976" s="2">
        <v>45841</v>
      </c>
      <c r="I976" s="1">
        <v>28738.75</v>
      </c>
      <c r="J976" s="1">
        <v>0.40939999999999999</v>
      </c>
      <c r="K976" s="1">
        <v>11765.64</v>
      </c>
      <c r="L976" s="1">
        <v>324186</v>
      </c>
      <c r="M976" s="1">
        <v>27539</v>
      </c>
      <c r="N976" s="1">
        <v>85511.67</v>
      </c>
      <c r="O976" s="1">
        <v>2025</v>
      </c>
      <c r="P976" s="1" t="s">
        <v>45</v>
      </c>
      <c r="Q976" s="1" t="s">
        <v>46</v>
      </c>
      <c r="R976" s="4" t="s">
        <v>61</v>
      </c>
      <c r="S976" s="25">
        <f>Table1[[#This Row],[Clicks]]/Table1[[#This Row],[Impressions]]</f>
        <v>8.4948147051384079E-2</v>
      </c>
      <c r="T976" s="22">
        <f>Table1[[#This Row],[Sales]]/Table1[[#This Row],[USD_Spend]]</f>
        <v>7.2679148775587219</v>
      </c>
      <c r="U976" s="1" t="str">
        <f>Outlier_Check!C986</f>
        <v>Normal</v>
      </c>
    </row>
    <row r="977" spans="1:21" x14ac:dyDescent="0.35">
      <c r="A977" s="3" t="s">
        <v>85</v>
      </c>
      <c r="B977" s="1" t="s">
        <v>19</v>
      </c>
      <c r="C977" s="1" t="s">
        <v>20</v>
      </c>
      <c r="D977" s="1" t="s">
        <v>59</v>
      </c>
      <c r="E977" s="1" t="s">
        <v>30</v>
      </c>
      <c r="F977" s="1" t="s">
        <v>49</v>
      </c>
      <c r="G977" s="2">
        <v>45799</v>
      </c>
      <c r="H977" s="2">
        <v>45835</v>
      </c>
      <c r="I977" s="1">
        <v>43601.37</v>
      </c>
      <c r="J977" s="1">
        <v>9.9099999999999994E-2</v>
      </c>
      <c r="K977" s="1">
        <v>4320.8999999999996</v>
      </c>
      <c r="L977" s="1">
        <v>525530</v>
      </c>
      <c r="M977" s="1">
        <v>21113</v>
      </c>
      <c r="N977" s="1">
        <v>64018.5</v>
      </c>
      <c r="O977" s="1">
        <v>2025</v>
      </c>
      <c r="P977" s="1" t="s">
        <v>45</v>
      </c>
      <c r="Q977" s="1" t="s">
        <v>46</v>
      </c>
      <c r="R977" s="4" t="s">
        <v>54</v>
      </c>
      <c r="S977" s="25">
        <f>Table1[[#This Row],[Clicks]]/Table1[[#This Row],[Impressions]]</f>
        <v>4.0174680798432061E-2</v>
      </c>
      <c r="T977" s="22">
        <f>Table1[[#This Row],[Sales]]/Table1[[#This Row],[USD_Spend]]</f>
        <v>14.816010553356941</v>
      </c>
      <c r="U977" s="1" t="str">
        <f>Outlier_Check!C987</f>
        <v>Normal</v>
      </c>
    </row>
    <row r="978" spans="1:21" x14ac:dyDescent="0.35">
      <c r="A978" s="3" t="s">
        <v>47</v>
      </c>
      <c r="B978" s="1" t="s">
        <v>28</v>
      </c>
      <c r="C978" s="1" t="s">
        <v>36</v>
      </c>
      <c r="D978" s="1" t="s">
        <v>63</v>
      </c>
      <c r="E978" s="1" t="s">
        <v>38</v>
      </c>
      <c r="F978" s="1" t="s">
        <v>49</v>
      </c>
      <c r="G978" s="2">
        <v>45799</v>
      </c>
      <c r="H978" s="2">
        <v>45830</v>
      </c>
      <c r="I978" s="1">
        <v>11381.69</v>
      </c>
      <c r="J978" s="1">
        <v>0.9345</v>
      </c>
      <c r="K978" s="1">
        <v>10636.19</v>
      </c>
      <c r="L978" s="1">
        <v>588381</v>
      </c>
      <c r="M978" s="1">
        <v>25074</v>
      </c>
      <c r="N978" s="1">
        <v>33052.769999999997</v>
      </c>
      <c r="O978" s="1">
        <v>2025</v>
      </c>
      <c r="P978" s="1" t="s">
        <v>45</v>
      </c>
      <c r="Q978" s="1" t="s">
        <v>46</v>
      </c>
      <c r="R978" s="4" t="s">
        <v>54</v>
      </c>
      <c r="S978" s="25">
        <f>Table1[[#This Row],[Clicks]]/Table1[[#This Row],[Impressions]]</f>
        <v>4.2615244204010666E-2</v>
      </c>
      <c r="T978" s="22">
        <f>Table1[[#This Row],[Sales]]/Table1[[#This Row],[USD_Spend]]</f>
        <v>3.1075761151314518</v>
      </c>
      <c r="U978" s="1" t="str">
        <f>Outlier_Check!C988</f>
        <v>Normal</v>
      </c>
    </row>
    <row r="979" spans="1:21" x14ac:dyDescent="0.35">
      <c r="A979" s="3" t="s">
        <v>100</v>
      </c>
      <c r="B979" s="1" t="s">
        <v>19</v>
      </c>
      <c r="C979" s="1" t="s">
        <v>69</v>
      </c>
      <c r="D979" s="1" t="s">
        <v>59</v>
      </c>
      <c r="E979" s="1" t="s">
        <v>30</v>
      </c>
      <c r="F979" s="1" t="s">
        <v>49</v>
      </c>
      <c r="G979" s="2">
        <v>45801</v>
      </c>
      <c r="H979" s="2">
        <v>45831</v>
      </c>
      <c r="I979" s="1">
        <v>14701.85</v>
      </c>
      <c r="J979" s="1">
        <v>0.22409999999999999</v>
      </c>
      <c r="K979" s="1">
        <v>3294.68</v>
      </c>
      <c r="L979" s="1">
        <v>147509</v>
      </c>
      <c r="M979" s="1">
        <v>37841</v>
      </c>
      <c r="N979" s="1">
        <v>173072.92</v>
      </c>
      <c r="O979" s="1">
        <v>2025</v>
      </c>
      <c r="P979" s="1" t="s">
        <v>45</v>
      </c>
      <c r="Q979" s="1" t="s">
        <v>46</v>
      </c>
      <c r="R979" s="4" t="s">
        <v>54</v>
      </c>
      <c r="S979" s="25">
        <f>Table1[[#This Row],[Clicks]]/Table1[[#This Row],[Impressions]]</f>
        <v>0.25653349965086875</v>
      </c>
      <c r="T979" s="22">
        <f>Table1[[#This Row],[Sales]]/Table1[[#This Row],[USD_Spend]]</f>
        <v>52.531025774885578</v>
      </c>
      <c r="U979" s="1" t="str">
        <f>Outlier_Check!C989</f>
        <v>Normal</v>
      </c>
    </row>
    <row r="980" spans="1:21" x14ac:dyDescent="0.35">
      <c r="A980" s="3" t="s">
        <v>116</v>
      </c>
      <c r="B980" s="1" t="s">
        <v>28</v>
      </c>
      <c r="C980" s="1" t="s">
        <v>20</v>
      </c>
      <c r="D980" s="1" t="s">
        <v>43</v>
      </c>
      <c r="E980" s="1" t="s">
        <v>38</v>
      </c>
      <c r="F980" s="1" t="s">
        <v>52</v>
      </c>
      <c r="G980" s="2">
        <v>45802</v>
      </c>
      <c r="H980" s="2">
        <v>45841</v>
      </c>
      <c r="I980" s="1">
        <v>21754.52</v>
      </c>
      <c r="J980" s="1">
        <v>0.4451</v>
      </c>
      <c r="K980" s="1">
        <v>9682.94</v>
      </c>
      <c r="L980" s="1">
        <v>298946</v>
      </c>
      <c r="M980" s="1">
        <v>44704</v>
      </c>
      <c r="N980" s="1">
        <v>102376.27</v>
      </c>
      <c r="O980" s="1">
        <v>2025</v>
      </c>
      <c r="P980" s="1" t="s">
        <v>45</v>
      </c>
      <c r="Q980" s="1" t="s">
        <v>46</v>
      </c>
      <c r="R980" s="4" t="s">
        <v>41</v>
      </c>
      <c r="S980" s="25">
        <f>Table1[[#This Row],[Clicks]]/Table1[[#This Row],[Impressions]]</f>
        <v>0.14953871267720592</v>
      </c>
      <c r="T980" s="22">
        <f>Table1[[#This Row],[Sales]]/Table1[[#This Row],[USD_Spend]]</f>
        <v>10.572849774965041</v>
      </c>
      <c r="U980" s="1" t="str">
        <f>Outlier_Check!C990</f>
        <v>Normal</v>
      </c>
    </row>
    <row r="981" spans="1:21" x14ac:dyDescent="0.35">
      <c r="A981" s="3" t="s">
        <v>88</v>
      </c>
      <c r="B981" s="1" t="s">
        <v>35</v>
      </c>
      <c r="C981" s="1" t="s">
        <v>36</v>
      </c>
      <c r="D981" s="1" t="s">
        <v>51</v>
      </c>
      <c r="E981" s="1" t="s">
        <v>38</v>
      </c>
      <c r="F981" s="1" t="s">
        <v>44</v>
      </c>
      <c r="G981" s="2">
        <v>45804</v>
      </c>
      <c r="H981" s="2">
        <v>45848</v>
      </c>
      <c r="I981" s="1">
        <v>45939.87</v>
      </c>
      <c r="J981" s="1">
        <v>0.16350000000000001</v>
      </c>
      <c r="K981" s="1">
        <v>7511.17</v>
      </c>
      <c r="L981" s="1">
        <v>394546</v>
      </c>
      <c r="M981" s="1">
        <v>33685</v>
      </c>
      <c r="N981" s="1">
        <v>211984.73</v>
      </c>
      <c r="O981" s="1">
        <v>2025</v>
      </c>
      <c r="P981" s="1" t="s">
        <v>45</v>
      </c>
      <c r="Q981" s="1" t="s">
        <v>46</v>
      </c>
      <c r="R981" s="4" t="s">
        <v>54</v>
      </c>
      <c r="S981" s="25">
        <f>Table1[[#This Row],[Clicks]]/Table1[[#This Row],[Impressions]]</f>
        <v>8.5376610078419249E-2</v>
      </c>
      <c r="T981" s="22">
        <f>Table1[[#This Row],[Sales]]/Table1[[#This Row],[USD_Spend]]</f>
        <v>28.222597810993495</v>
      </c>
      <c r="U981" s="1" t="str">
        <f>Outlier_Check!C991</f>
        <v>Normal</v>
      </c>
    </row>
    <row r="982" spans="1:21" x14ac:dyDescent="0.35">
      <c r="A982" s="3" t="s">
        <v>64</v>
      </c>
      <c r="B982" s="1" t="s">
        <v>19</v>
      </c>
      <c r="C982" s="1" t="s">
        <v>20</v>
      </c>
      <c r="D982" s="1" t="s">
        <v>21</v>
      </c>
      <c r="E982" s="1" t="s">
        <v>38</v>
      </c>
      <c r="F982" s="1" t="s">
        <v>49</v>
      </c>
      <c r="G982" s="2">
        <v>45804</v>
      </c>
      <c r="H982" s="2">
        <v>45840</v>
      </c>
      <c r="I982" s="1">
        <v>36642.379999999997</v>
      </c>
      <c r="J982" s="1">
        <v>0.3659</v>
      </c>
      <c r="K982" s="1">
        <v>13407.45</v>
      </c>
      <c r="L982" s="1">
        <v>864602</v>
      </c>
      <c r="M982" s="1">
        <v>43304</v>
      </c>
      <c r="N982" s="1">
        <v>228532.21</v>
      </c>
      <c r="O982" s="1">
        <v>2025</v>
      </c>
      <c r="P982" s="1" t="s">
        <v>45</v>
      </c>
      <c r="Q982" s="1" t="s">
        <v>46</v>
      </c>
      <c r="R982" s="4" t="s">
        <v>54</v>
      </c>
      <c r="S982" s="25">
        <f>Table1[[#This Row],[Clicks]]/Table1[[#This Row],[Impressions]]</f>
        <v>5.008547285340538E-2</v>
      </c>
      <c r="T982" s="22">
        <f>Table1[[#This Row],[Sales]]/Table1[[#This Row],[USD_Spend]]</f>
        <v>17.045165933865125</v>
      </c>
      <c r="U982" s="1" t="str">
        <f>Outlier_Check!C992</f>
        <v>Normal</v>
      </c>
    </row>
    <row r="983" spans="1:21" x14ac:dyDescent="0.35">
      <c r="A983" s="3" t="s">
        <v>104</v>
      </c>
      <c r="B983" s="1" t="s">
        <v>28</v>
      </c>
      <c r="C983" s="1" t="s">
        <v>36</v>
      </c>
      <c r="D983" s="1" t="s">
        <v>21</v>
      </c>
      <c r="E983" s="1" t="s">
        <v>22</v>
      </c>
      <c r="F983" s="1" t="s">
        <v>52</v>
      </c>
      <c r="G983" s="2">
        <v>45804</v>
      </c>
      <c r="H983" s="2">
        <v>45826</v>
      </c>
      <c r="I983" s="1">
        <v>26464.720000000001</v>
      </c>
      <c r="J983" s="1">
        <v>1.1013999999999999</v>
      </c>
      <c r="K983" s="1">
        <v>29148.240000000002</v>
      </c>
      <c r="L983" s="1">
        <v>22964</v>
      </c>
      <c r="M983" s="1">
        <v>46002</v>
      </c>
      <c r="N983" s="1">
        <v>157649.19</v>
      </c>
      <c r="O983" s="1">
        <v>2025</v>
      </c>
      <c r="P983" s="1" t="s">
        <v>45</v>
      </c>
      <c r="Q983" s="1" t="s">
        <v>46</v>
      </c>
      <c r="R983" s="4" t="s">
        <v>26</v>
      </c>
      <c r="S983" s="25">
        <f>Table1[[#This Row],[Clicks]]/Table1[[#This Row],[Impressions]]</f>
        <v>2.0032224351158336</v>
      </c>
      <c r="T983" s="22">
        <f>Table1[[#This Row],[Sales]]/Table1[[#This Row],[USD_Spend]]</f>
        <v>5.4085320417287628</v>
      </c>
      <c r="U983" s="1" t="str">
        <f>Outlier_Check!C993</f>
        <v>Normal</v>
      </c>
    </row>
    <row r="984" spans="1:21" x14ac:dyDescent="0.35">
      <c r="A984" s="3" t="s">
        <v>87</v>
      </c>
      <c r="B984" s="1" t="s">
        <v>19</v>
      </c>
      <c r="C984" s="1" t="s">
        <v>29</v>
      </c>
      <c r="D984" s="1" t="s">
        <v>51</v>
      </c>
      <c r="E984" s="1" t="s">
        <v>22</v>
      </c>
      <c r="F984" s="1" t="s">
        <v>31</v>
      </c>
      <c r="G984" s="2">
        <v>45807</v>
      </c>
      <c r="H984" s="2">
        <v>45849</v>
      </c>
      <c r="I984" s="1">
        <v>49511.53</v>
      </c>
      <c r="J984" s="1">
        <v>0.37340000000000001</v>
      </c>
      <c r="K984" s="1">
        <v>18487.61</v>
      </c>
      <c r="L984" s="1">
        <v>661194</v>
      </c>
      <c r="M984" s="1">
        <v>4047</v>
      </c>
      <c r="N984" s="1">
        <v>154359.57</v>
      </c>
      <c r="O984" s="1">
        <v>2025</v>
      </c>
      <c r="P984" s="1" t="s">
        <v>45</v>
      </c>
      <c r="Q984" s="1" t="s">
        <v>46</v>
      </c>
      <c r="R984" s="4" t="s">
        <v>26</v>
      </c>
      <c r="S984" s="25">
        <f>Table1[[#This Row],[Clicks]]/Table1[[#This Row],[Impressions]]</f>
        <v>6.12074519732484E-3</v>
      </c>
      <c r="T984" s="22">
        <f>Table1[[#This Row],[Sales]]/Table1[[#This Row],[USD_Spend]]</f>
        <v>8.349352350033346</v>
      </c>
      <c r="U984" s="1" t="str">
        <f>Outlier_Check!C994</f>
        <v>Normal</v>
      </c>
    </row>
    <row r="985" spans="1:21" x14ac:dyDescent="0.35">
      <c r="A985" s="3" t="s">
        <v>70</v>
      </c>
      <c r="B985" s="1" t="s">
        <v>35</v>
      </c>
      <c r="C985" s="1" t="s">
        <v>36</v>
      </c>
      <c r="D985" s="1" t="s">
        <v>21</v>
      </c>
      <c r="E985" s="1" t="s">
        <v>38</v>
      </c>
      <c r="F985" s="1" t="s">
        <v>49</v>
      </c>
      <c r="G985" s="2">
        <v>45807</v>
      </c>
      <c r="H985" s="2">
        <v>45822</v>
      </c>
      <c r="I985" s="1">
        <v>45878.65</v>
      </c>
      <c r="J985" s="1">
        <v>0.76129999999999998</v>
      </c>
      <c r="K985" s="1">
        <v>34927.42</v>
      </c>
      <c r="L985" s="1">
        <v>932188</v>
      </c>
      <c r="M985" s="1">
        <v>42333</v>
      </c>
      <c r="N985" s="1">
        <v>104540.76</v>
      </c>
      <c r="O985" s="1">
        <v>2025</v>
      </c>
      <c r="P985" s="1" t="s">
        <v>45</v>
      </c>
      <c r="Q985" s="1" t="s">
        <v>46</v>
      </c>
      <c r="R985" s="4" t="s">
        <v>41</v>
      </c>
      <c r="S985" s="25">
        <f>Table1[[#This Row],[Clicks]]/Table1[[#This Row],[Impressions]]</f>
        <v>4.5412513355675033E-2</v>
      </c>
      <c r="T985" s="22">
        <f>Table1[[#This Row],[Sales]]/Table1[[#This Row],[USD_Spend]]</f>
        <v>2.9930856616377621</v>
      </c>
      <c r="U985" s="1" t="str">
        <f>Outlier_Check!C995</f>
        <v>Normal</v>
      </c>
    </row>
    <row r="986" spans="1:21" x14ac:dyDescent="0.35">
      <c r="A986" s="3" t="s">
        <v>88</v>
      </c>
      <c r="B986" s="1" t="s">
        <v>28</v>
      </c>
      <c r="C986" s="1" t="s">
        <v>58</v>
      </c>
      <c r="D986" s="1" t="s">
        <v>21</v>
      </c>
      <c r="E986" s="1" t="s">
        <v>38</v>
      </c>
      <c r="F986" s="1" t="s">
        <v>44</v>
      </c>
      <c r="G986" s="2">
        <v>45808</v>
      </c>
      <c r="H986" s="2">
        <v>45831</v>
      </c>
      <c r="I986" s="1">
        <v>43418.3</v>
      </c>
      <c r="J986" s="1">
        <v>0.28989999999999999</v>
      </c>
      <c r="K986" s="1">
        <v>12586.97</v>
      </c>
      <c r="L986" s="1">
        <v>746333</v>
      </c>
      <c r="M986" s="1">
        <v>38776</v>
      </c>
      <c r="N986" s="1">
        <v>101595.74</v>
      </c>
      <c r="O986" s="1">
        <v>2025</v>
      </c>
      <c r="P986" s="1" t="s">
        <v>45</v>
      </c>
      <c r="Q986" s="1" t="s">
        <v>46</v>
      </c>
      <c r="R986" s="4" t="s">
        <v>61</v>
      </c>
      <c r="S986" s="25">
        <f>Table1[[#This Row],[Clicks]]/Table1[[#This Row],[Impressions]]</f>
        <v>5.1955360408825549E-2</v>
      </c>
      <c r="T986" s="22">
        <f>Table1[[#This Row],[Sales]]/Table1[[#This Row],[USD_Spend]]</f>
        <v>8.071500925163086</v>
      </c>
      <c r="U986" s="1" t="str">
        <f>Outlier_Check!C996</f>
        <v>Normal</v>
      </c>
    </row>
    <row r="987" spans="1:21" x14ac:dyDescent="0.35">
      <c r="A987" s="3" t="s">
        <v>71</v>
      </c>
      <c r="B987" s="1" t="s">
        <v>28</v>
      </c>
      <c r="C987" s="1" t="s">
        <v>36</v>
      </c>
      <c r="D987" s="1" t="s">
        <v>37</v>
      </c>
      <c r="E987" s="1" t="s">
        <v>30</v>
      </c>
      <c r="F987" s="1" t="s">
        <v>49</v>
      </c>
      <c r="G987" s="2">
        <v>45809</v>
      </c>
      <c r="H987" s="2">
        <v>45823</v>
      </c>
      <c r="I987" s="1">
        <v>39111.42</v>
      </c>
      <c r="J987" s="1">
        <v>0.18440000000000001</v>
      </c>
      <c r="K987" s="1">
        <v>7212.15</v>
      </c>
      <c r="L987" s="1">
        <v>164958</v>
      </c>
      <c r="M987" s="1">
        <v>25698</v>
      </c>
      <c r="N987" s="1">
        <v>114440.37</v>
      </c>
      <c r="O987" s="1">
        <v>2025</v>
      </c>
      <c r="P987" s="1" t="s">
        <v>53</v>
      </c>
      <c r="Q987" s="1" t="s">
        <v>46</v>
      </c>
      <c r="R987" s="4" t="s">
        <v>41</v>
      </c>
      <c r="S987" s="25">
        <f>Table1[[#This Row],[Clicks]]/Table1[[#This Row],[Impressions]]</f>
        <v>0.15578510893682029</v>
      </c>
      <c r="T987" s="22">
        <f>Table1[[#This Row],[Sales]]/Table1[[#This Row],[USD_Spend]]</f>
        <v>15.86771905742393</v>
      </c>
      <c r="U987" s="1" t="str">
        <f>Outlier_Check!C997</f>
        <v>Normal</v>
      </c>
    </row>
    <row r="988" spans="1:21" x14ac:dyDescent="0.35">
      <c r="A988" s="3" t="s">
        <v>103</v>
      </c>
      <c r="B988" s="1" t="s">
        <v>48</v>
      </c>
      <c r="C988" s="1" t="s">
        <v>20</v>
      </c>
      <c r="D988" s="1" t="s">
        <v>59</v>
      </c>
      <c r="E988" s="1" t="s">
        <v>38</v>
      </c>
      <c r="F988" s="1" t="s">
        <v>23</v>
      </c>
      <c r="G988" s="2">
        <v>45810</v>
      </c>
      <c r="H988" s="2">
        <v>45823</v>
      </c>
      <c r="I988" s="1">
        <v>16140.92</v>
      </c>
      <c r="J988" s="1">
        <v>0.84909999999999997</v>
      </c>
      <c r="K988" s="1">
        <v>13705.26</v>
      </c>
      <c r="L988" s="1">
        <v>559249</v>
      </c>
      <c r="M988" s="1">
        <v>8963</v>
      </c>
      <c r="N988" s="1">
        <v>110365.75</v>
      </c>
      <c r="O988" s="1">
        <v>2025</v>
      </c>
      <c r="P988" s="1" t="s">
        <v>53</v>
      </c>
      <c r="Q988" s="1" t="s">
        <v>46</v>
      </c>
      <c r="R988" s="4" t="s">
        <v>26</v>
      </c>
      <c r="S988" s="25">
        <f>Table1[[#This Row],[Clicks]]/Table1[[#This Row],[Impressions]]</f>
        <v>1.6026850293876252E-2</v>
      </c>
      <c r="T988" s="22">
        <f>Table1[[#This Row],[Sales]]/Table1[[#This Row],[USD_Spend]]</f>
        <v>8.0528023547163645</v>
      </c>
      <c r="U988" s="1" t="str">
        <f>Outlier_Check!C998</f>
        <v>Normal</v>
      </c>
    </row>
    <row r="989" spans="1:21" x14ac:dyDescent="0.35">
      <c r="A989" s="3" t="s">
        <v>106</v>
      </c>
      <c r="B989" s="1" t="s">
        <v>48</v>
      </c>
      <c r="C989" s="1" t="s">
        <v>20</v>
      </c>
      <c r="D989" s="1" t="s">
        <v>43</v>
      </c>
      <c r="E989" s="1" t="s">
        <v>38</v>
      </c>
      <c r="F989" s="1" t="s">
        <v>44</v>
      </c>
      <c r="G989" s="2">
        <v>45811</v>
      </c>
      <c r="H989" s="2">
        <v>45846</v>
      </c>
      <c r="I989" s="1">
        <v>23892.48</v>
      </c>
      <c r="J989" s="1">
        <v>1.0464</v>
      </c>
      <c r="K989" s="1">
        <v>25001.09</v>
      </c>
      <c r="L989" s="1">
        <v>990269</v>
      </c>
      <c r="M989" s="1">
        <v>17952</v>
      </c>
      <c r="N989" s="1">
        <v>139393.59</v>
      </c>
      <c r="O989" s="1">
        <v>2025</v>
      </c>
      <c r="P989" s="1" t="s">
        <v>53</v>
      </c>
      <c r="Q989" s="1" t="s">
        <v>46</v>
      </c>
      <c r="R989" s="4" t="s">
        <v>54</v>
      </c>
      <c r="S989" s="25">
        <f>Table1[[#This Row],[Clicks]]/Table1[[#This Row],[Impressions]]</f>
        <v>1.8128407533710537E-2</v>
      </c>
      <c r="T989" s="22">
        <f>Table1[[#This Row],[Sales]]/Table1[[#This Row],[USD_Spend]]</f>
        <v>5.5755005081778437</v>
      </c>
      <c r="U989" s="1" t="str">
        <f>Outlier_Check!C999</f>
        <v>Normal</v>
      </c>
    </row>
    <row r="990" spans="1:21" x14ac:dyDescent="0.35">
      <c r="A990" s="3" t="s">
        <v>50</v>
      </c>
      <c r="B990" s="1" t="s">
        <v>19</v>
      </c>
      <c r="C990" s="1" t="s">
        <v>29</v>
      </c>
      <c r="D990" s="1" t="s">
        <v>63</v>
      </c>
      <c r="E990" s="1" t="s">
        <v>30</v>
      </c>
      <c r="F990" s="1" t="s">
        <v>31</v>
      </c>
      <c r="G990" s="2">
        <v>45812</v>
      </c>
      <c r="H990" s="2">
        <v>45866</v>
      </c>
      <c r="I990" s="1">
        <v>48389.78</v>
      </c>
      <c r="J990" s="1">
        <v>0.82179999999999997</v>
      </c>
      <c r="K990" s="1">
        <v>39766.720000000001</v>
      </c>
      <c r="L990" s="1">
        <v>507126</v>
      </c>
      <c r="M990" s="1">
        <v>8771</v>
      </c>
      <c r="N990" s="1">
        <v>163606.03</v>
      </c>
      <c r="O990" s="1">
        <v>2025</v>
      </c>
      <c r="P990" s="1" t="s">
        <v>53</v>
      </c>
      <c r="Q990" s="1" t="s">
        <v>46</v>
      </c>
      <c r="R990" s="4" t="s">
        <v>41</v>
      </c>
      <c r="S990" s="25">
        <f>Table1[[#This Row],[Clicks]]/Table1[[#This Row],[Impressions]]</f>
        <v>1.7295504470289436E-2</v>
      </c>
      <c r="T990" s="22">
        <f>Table1[[#This Row],[Sales]]/Table1[[#This Row],[USD_Spend]]</f>
        <v>4.1141444403762746</v>
      </c>
      <c r="U990" s="1" t="str">
        <f>Outlier_Check!C1000</f>
        <v>Normal</v>
      </c>
    </row>
    <row r="991" spans="1:21" x14ac:dyDescent="0.35">
      <c r="A991" s="3" t="s">
        <v>111</v>
      </c>
      <c r="B991" s="1" t="s">
        <v>48</v>
      </c>
      <c r="C991" s="1" t="s">
        <v>69</v>
      </c>
      <c r="D991" s="1" t="s">
        <v>43</v>
      </c>
      <c r="E991" s="1" t="s">
        <v>38</v>
      </c>
      <c r="F991" s="1" t="s">
        <v>44</v>
      </c>
      <c r="G991" s="2">
        <v>45813</v>
      </c>
      <c r="H991" s="2">
        <v>45836</v>
      </c>
      <c r="I991" s="1">
        <v>38902.85</v>
      </c>
      <c r="J991" s="1">
        <v>0.37969999999999998</v>
      </c>
      <c r="K991" s="1">
        <v>14771.41</v>
      </c>
      <c r="L991" s="1">
        <v>100581</v>
      </c>
      <c r="M991" s="1">
        <v>36347</v>
      </c>
      <c r="N991" s="1">
        <v>116902.81</v>
      </c>
      <c r="O991" s="1">
        <v>2025</v>
      </c>
      <c r="P991" s="1" t="s">
        <v>53</v>
      </c>
      <c r="Q991" s="1" t="s">
        <v>46</v>
      </c>
      <c r="R991" s="4" t="s">
        <v>61</v>
      </c>
      <c r="S991" s="25">
        <f>Table1[[#This Row],[Clicks]]/Table1[[#This Row],[Impressions]]</f>
        <v>0.36137043775663397</v>
      </c>
      <c r="T991" s="22">
        <f>Table1[[#This Row],[Sales]]/Table1[[#This Row],[USD_Spend]]</f>
        <v>7.9141266812037578</v>
      </c>
      <c r="U991" s="1" t="str">
        <f>Outlier_Check!C1001</f>
        <v>Normal</v>
      </c>
    </row>
    <row r="992" spans="1:21" x14ac:dyDescent="0.35">
      <c r="A992" s="3" t="s">
        <v>100</v>
      </c>
      <c r="B992" s="1" t="s">
        <v>48</v>
      </c>
      <c r="C992" s="1" t="s">
        <v>20</v>
      </c>
      <c r="D992" s="1" t="s">
        <v>51</v>
      </c>
      <c r="E992" s="1" t="s">
        <v>30</v>
      </c>
      <c r="F992" s="1" t="s">
        <v>31</v>
      </c>
      <c r="G992" s="2">
        <v>45815</v>
      </c>
      <c r="H992" s="2">
        <v>45850</v>
      </c>
      <c r="I992" s="1">
        <v>9357.77</v>
      </c>
      <c r="J992" s="1">
        <v>0.99809999999999999</v>
      </c>
      <c r="K992" s="1">
        <v>9339.99</v>
      </c>
      <c r="L992" s="1">
        <v>640025</v>
      </c>
      <c r="M992" s="1">
        <v>9452</v>
      </c>
      <c r="N992" s="1">
        <v>199680.94</v>
      </c>
      <c r="O992" s="1">
        <v>2025</v>
      </c>
      <c r="P992" s="1" t="s">
        <v>53</v>
      </c>
      <c r="Q992" s="1" t="s">
        <v>46</v>
      </c>
      <c r="R992" s="4" t="s">
        <v>61</v>
      </c>
      <c r="S992" s="25">
        <f>Table1[[#This Row],[Clicks]]/Table1[[#This Row],[Impressions]]</f>
        <v>1.4768173118237568E-2</v>
      </c>
      <c r="T992" s="22">
        <f>Table1[[#This Row],[Sales]]/Table1[[#This Row],[USD_Spend]]</f>
        <v>21.379138521561586</v>
      </c>
      <c r="U992" s="1" t="str">
        <f>Outlier_Check!C1002</f>
        <v>Normal</v>
      </c>
    </row>
    <row r="993" spans="1:21" x14ac:dyDescent="0.35">
      <c r="A993" s="3" t="s">
        <v>102</v>
      </c>
      <c r="B993" s="1" t="s">
        <v>19</v>
      </c>
      <c r="C993" s="1" t="s">
        <v>20</v>
      </c>
      <c r="D993" s="1" t="s">
        <v>59</v>
      </c>
      <c r="E993" s="1" t="s">
        <v>38</v>
      </c>
      <c r="F993" s="1" t="s">
        <v>49</v>
      </c>
      <c r="G993" s="2">
        <v>45816</v>
      </c>
      <c r="H993" s="2">
        <v>45861</v>
      </c>
      <c r="I993" s="1">
        <v>9140.18</v>
      </c>
      <c r="J993" s="1">
        <v>0.35880000000000001</v>
      </c>
      <c r="K993" s="1">
        <v>3279.5</v>
      </c>
      <c r="L993" s="1">
        <v>406077</v>
      </c>
      <c r="M993" s="1">
        <v>8271</v>
      </c>
      <c r="N993" s="1">
        <v>72806.740000000005</v>
      </c>
      <c r="O993" s="1">
        <v>2025</v>
      </c>
      <c r="P993" s="1" t="s">
        <v>53</v>
      </c>
      <c r="Q993" s="1" t="s">
        <v>46</v>
      </c>
      <c r="R993" s="4" t="s">
        <v>26</v>
      </c>
      <c r="S993" s="25">
        <f>Table1[[#This Row],[Clicks]]/Table1[[#This Row],[Impressions]]</f>
        <v>2.0368058274662194E-2</v>
      </c>
      <c r="T993" s="22">
        <f>Table1[[#This Row],[Sales]]/Table1[[#This Row],[USD_Spend]]</f>
        <v>22.200561061137371</v>
      </c>
      <c r="U993" s="1" t="str">
        <f>Outlier_Check!C1003</f>
        <v>Normal</v>
      </c>
    </row>
    <row r="994" spans="1:21" x14ac:dyDescent="0.35">
      <c r="A994" s="3" t="s">
        <v>104</v>
      </c>
      <c r="B994" s="1" t="s">
        <v>35</v>
      </c>
      <c r="C994" s="1" t="s">
        <v>58</v>
      </c>
      <c r="D994" s="1" t="s">
        <v>43</v>
      </c>
      <c r="E994" s="1" t="s">
        <v>22</v>
      </c>
      <c r="F994" s="1" t="s">
        <v>44</v>
      </c>
      <c r="G994" s="2">
        <v>45820</v>
      </c>
      <c r="H994" s="2">
        <v>45880</v>
      </c>
      <c r="I994" s="1">
        <v>8735.2900000000009</v>
      </c>
      <c r="J994" s="1">
        <v>0.3528</v>
      </c>
      <c r="K994" s="1">
        <v>3081.81</v>
      </c>
      <c r="L994" s="1">
        <v>570383</v>
      </c>
      <c r="M994" s="1">
        <v>37806</v>
      </c>
      <c r="N994" s="1">
        <v>64142.61</v>
      </c>
      <c r="O994" s="1">
        <v>2025</v>
      </c>
      <c r="P994" s="1" t="s">
        <v>53</v>
      </c>
      <c r="Q994" s="1" t="s">
        <v>46</v>
      </c>
      <c r="R994" s="4" t="s">
        <v>26</v>
      </c>
      <c r="S994" s="25">
        <f>Table1[[#This Row],[Clicks]]/Table1[[#This Row],[Impressions]]</f>
        <v>6.6281779085281295E-2</v>
      </c>
      <c r="T994" s="22">
        <f>Table1[[#This Row],[Sales]]/Table1[[#This Row],[USD_Spend]]</f>
        <v>20.813291539712054</v>
      </c>
      <c r="U994" s="1" t="str">
        <f>Outlier_Check!C1004</f>
        <v>Normal</v>
      </c>
    </row>
    <row r="995" spans="1:21" x14ac:dyDescent="0.35">
      <c r="A995" s="3" t="s">
        <v>89</v>
      </c>
      <c r="B995" s="1" t="s">
        <v>35</v>
      </c>
      <c r="C995" s="1" t="s">
        <v>36</v>
      </c>
      <c r="D995" s="1" t="s">
        <v>43</v>
      </c>
      <c r="E995" s="1" t="s">
        <v>30</v>
      </c>
      <c r="F995" s="1" t="s">
        <v>31</v>
      </c>
      <c r="G995" s="2">
        <v>45820</v>
      </c>
      <c r="H995" s="2">
        <v>45845</v>
      </c>
      <c r="I995" s="1">
        <v>41514.28</v>
      </c>
      <c r="J995" s="1">
        <v>0.82509999999999994</v>
      </c>
      <c r="K995" s="1">
        <v>34253.43</v>
      </c>
      <c r="L995" s="1">
        <v>325697</v>
      </c>
      <c r="M995" s="1">
        <v>17890</v>
      </c>
      <c r="N995" s="1">
        <v>172933.71</v>
      </c>
      <c r="O995" s="1">
        <v>2025</v>
      </c>
      <c r="P995" s="1" t="s">
        <v>53</v>
      </c>
      <c r="Q995" s="1" t="s">
        <v>46</v>
      </c>
      <c r="R995" s="4" t="s">
        <v>61</v>
      </c>
      <c r="S995" s="25">
        <f>Table1[[#This Row],[Clicks]]/Table1[[#This Row],[Impressions]]</f>
        <v>5.4928353653856191E-2</v>
      </c>
      <c r="T995" s="22">
        <f>Table1[[#This Row],[Sales]]/Table1[[#This Row],[USD_Spend]]</f>
        <v>5.0486538136472756</v>
      </c>
      <c r="U995" s="1" t="str">
        <f>Outlier_Check!C1005</f>
        <v>Normal</v>
      </c>
    </row>
    <row r="996" spans="1:21" x14ac:dyDescent="0.35">
      <c r="A996" s="3" t="s">
        <v>95</v>
      </c>
      <c r="B996" s="1" t="s">
        <v>19</v>
      </c>
      <c r="C996" s="1" t="s">
        <v>36</v>
      </c>
      <c r="D996" s="1" t="s">
        <v>37</v>
      </c>
      <c r="E996" s="1" t="s">
        <v>30</v>
      </c>
      <c r="F996" s="1" t="s">
        <v>49</v>
      </c>
      <c r="G996" s="2">
        <v>45820</v>
      </c>
      <c r="H996" s="2">
        <v>45841</v>
      </c>
      <c r="I996" s="1">
        <v>11132.15</v>
      </c>
      <c r="J996" s="1">
        <v>0.25130000000000002</v>
      </c>
      <c r="K996" s="1">
        <v>2797.51</v>
      </c>
      <c r="L996" s="1">
        <v>271824</v>
      </c>
      <c r="M996" s="1">
        <v>40640</v>
      </c>
      <c r="N996" s="1">
        <v>92226.71</v>
      </c>
      <c r="O996" s="1">
        <v>2025</v>
      </c>
      <c r="P996" s="1" t="s">
        <v>53</v>
      </c>
      <c r="Q996" s="1" t="s">
        <v>46</v>
      </c>
      <c r="R996" s="4" t="s">
        <v>26</v>
      </c>
      <c r="S996" s="25">
        <f>Table1[[#This Row],[Clicks]]/Table1[[#This Row],[Impressions]]</f>
        <v>0.14950850550356112</v>
      </c>
      <c r="T996" s="22">
        <f>Table1[[#This Row],[Sales]]/Table1[[#This Row],[USD_Spend]]</f>
        <v>32.967428177200439</v>
      </c>
      <c r="U996" s="1" t="str">
        <f>Outlier_Check!C1006</f>
        <v>Normal</v>
      </c>
    </row>
    <row r="997" spans="1:21" x14ac:dyDescent="0.35">
      <c r="A997" s="3" t="s">
        <v>96</v>
      </c>
      <c r="B997" s="1" t="s">
        <v>48</v>
      </c>
      <c r="C997" s="1" t="s">
        <v>36</v>
      </c>
      <c r="D997" s="1" t="s">
        <v>21</v>
      </c>
      <c r="E997" s="1" t="s">
        <v>38</v>
      </c>
      <c r="F997" s="1" t="s">
        <v>31</v>
      </c>
      <c r="G997" s="2">
        <v>45822</v>
      </c>
      <c r="H997" s="2">
        <v>45881</v>
      </c>
      <c r="I997" s="1">
        <v>22575</v>
      </c>
      <c r="J997" s="1">
        <v>0.63590000000000002</v>
      </c>
      <c r="K997" s="1">
        <v>14355.44</v>
      </c>
      <c r="L997" s="1">
        <v>489123</v>
      </c>
      <c r="M997" s="1">
        <v>1105</v>
      </c>
      <c r="N997" s="1">
        <v>181998.74</v>
      </c>
      <c r="O997" s="1">
        <v>2025</v>
      </c>
      <c r="P997" s="1" t="s">
        <v>53</v>
      </c>
      <c r="Q997" s="1" t="s">
        <v>46</v>
      </c>
      <c r="R997" s="4" t="s">
        <v>54</v>
      </c>
      <c r="S997" s="25">
        <f>Table1[[#This Row],[Clicks]]/Table1[[#This Row],[Impressions]]</f>
        <v>2.2591454501219529E-3</v>
      </c>
      <c r="T997" s="22">
        <f>Table1[[#This Row],[Sales]]/Table1[[#This Row],[USD_Spend]]</f>
        <v>12.678032857230429</v>
      </c>
      <c r="U997" s="1" t="str">
        <f>Outlier_Check!C1007</f>
        <v>Normal</v>
      </c>
    </row>
    <row r="998" spans="1:21" x14ac:dyDescent="0.35">
      <c r="A998" s="3" t="s">
        <v>97</v>
      </c>
      <c r="B998" s="1" t="s">
        <v>19</v>
      </c>
      <c r="C998" s="1" t="s">
        <v>29</v>
      </c>
      <c r="D998" s="1" t="s">
        <v>63</v>
      </c>
      <c r="E998" s="1" t="s">
        <v>38</v>
      </c>
      <c r="F998" s="1" t="s">
        <v>44</v>
      </c>
      <c r="G998" s="2">
        <v>45822</v>
      </c>
      <c r="H998" s="2">
        <v>45850</v>
      </c>
      <c r="I998" s="1">
        <v>28172.5</v>
      </c>
      <c r="J998" s="1">
        <v>0.1321</v>
      </c>
      <c r="K998" s="1">
        <v>3721.59</v>
      </c>
      <c r="L998" s="1">
        <v>896982</v>
      </c>
      <c r="M998" s="1">
        <v>33910</v>
      </c>
      <c r="N998" s="1">
        <v>213535.68</v>
      </c>
      <c r="O998" s="1">
        <v>2025</v>
      </c>
      <c r="P998" s="1" t="s">
        <v>53</v>
      </c>
      <c r="Q998" s="1" t="s">
        <v>46</v>
      </c>
      <c r="R998" s="4" t="s">
        <v>61</v>
      </c>
      <c r="S998" s="25">
        <f>Table1[[#This Row],[Clicks]]/Table1[[#This Row],[Impressions]]</f>
        <v>3.7804549032199083E-2</v>
      </c>
      <c r="T998" s="22">
        <f>Table1[[#This Row],[Sales]]/Table1[[#This Row],[USD_Spend]]</f>
        <v>57.377540244895322</v>
      </c>
      <c r="U998" s="1" t="str">
        <f>Outlier_Check!C1008</f>
        <v>Normal</v>
      </c>
    </row>
    <row r="999" spans="1:21" x14ac:dyDescent="0.35">
      <c r="A999" s="3" t="s">
        <v>27</v>
      </c>
      <c r="B999" s="1" t="s">
        <v>28</v>
      </c>
      <c r="C999" s="1" t="s">
        <v>20</v>
      </c>
      <c r="D999" s="1" t="s">
        <v>63</v>
      </c>
      <c r="E999" s="1" t="s">
        <v>30</v>
      </c>
      <c r="F999" s="1" t="s">
        <v>49</v>
      </c>
      <c r="G999" s="2">
        <v>45824</v>
      </c>
      <c r="H999" s="2">
        <v>45856</v>
      </c>
      <c r="I999" s="1">
        <v>9125.36</v>
      </c>
      <c r="J999" s="1">
        <v>0.51800000000000002</v>
      </c>
      <c r="K999" s="1">
        <v>4726.9399999999996</v>
      </c>
      <c r="L999" s="1">
        <v>735443</v>
      </c>
      <c r="M999" s="1">
        <v>19906</v>
      </c>
      <c r="N999" s="1">
        <v>127658.47</v>
      </c>
      <c r="O999" s="1">
        <v>2025</v>
      </c>
      <c r="P999" s="1" t="s">
        <v>53</v>
      </c>
      <c r="Q999" s="1" t="s">
        <v>46</v>
      </c>
      <c r="R999" s="4" t="s">
        <v>26</v>
      </c>
      <c r="S999" s="25">
        <f>Table1[[#This Row],[Clicks]]/Table1[[#This Row],[Impressions]]</f>
        <v>2.7066679538727E-2</v>
      </c>
      <c r="T999" s="22">
        <f>Table1[[#This Row],[Sales]]/Table1[[#This Row],[USD_Spend]]</f>
        <v>27.006577193702483</v>
      </c>
      <c r="U999" s="1" t="str">
        <f>Outlier_Check!C1009</f>
        <v>Normal</v>
      </c>
    </row>
    <row r="1000" spans="1:21" x14ac:dyDescent="0.35">
      <c r="A1000" s="3" t="s">
        <v>114</v>
      </c>
      <c r="B1000" s="1" t="s">
        <v>28</v>
      </c>
      <c r="C1000" s="1" t="s">
        <v>69</v>
      </c>
      <c r="D1000" s="1" t="s">
        <v>63</v>
      </c>
      <c r="E1000" s="1" t="s">
        <v>30</v>
      </c>
      <c r="F1000" s="1" t="s">
        <v>49</v>
      </c>
      <c r="G1000" s="2">
        <v>45826</v>
      </c>
      <c r="H1000" s="2">
        <v>45876</v>
      </c>
      <c r="I1000" s="1">
        <v>4203.5</v>
      </c>
      <c r="J1000" s="1">
        <v>0.18190000000000001</v>
      </c>
      <c r="K1000" s="1">
        <v>764.62</v>
      </c>
      <c r="L1000" s="1">
        <v>979047</v>
      </c>
      <c r="M1000" s="1">
        <v>8671</v>
      </c>
      <c r="N1000" s="1">
        <v>199750.04</v>
      </c>
      <c r="O1000" s="1">
        <v>2025</v>
      </c>
      <c r="P1000" s="1" t="s">
        <v>53</v>
      </c>
      <c r="Q1000" s="1" t="s">
        <v>46</v>
      </c>
      <c r="R1000" s="4" t="s">
        <v>61</v>
      </c>
      <c r="S1000" s="25">
        <f>Table1[[#This Row],[Clicks]]/Table1[[#This Row],[Impressions]]</f>
        <v>8.8565717478323314E-3</v>
      </c>
      <c r="T1000" s="22">
        <f>Table1[[#This Row],[Sales]]/Table1[[#This Row],[USD_Spend]]</f>
        <v>261.2409301352306</v>
      </c>
      <c r="U1000" s="1" t="str">
        <f>Outlier_Check!C1010</f>
        <v>Normal</v>
      </c>
    </row>
    <row r="1001" spans="1:21" x14ac:dyDescent="0.35">
      <c r="A1001" s="8" t="s">
        <v>93</v>
      </c>
      <c r="B1001" s="9" t="s">
        <v>48</v>
      </c>
      <c r="C1001" s="9" t="s">
        <v>36</v>
      </c>
      <c r="D1001" s="9" t="s">
        <v>63</v>
      </c>
      <c r="E1001" s="9" t="s">
        <v>38</v>
      </c>
      <c r="F1001" s="9" t="s">
        <v>23</v>
      </c>
      <c r="G1001" s="10">
        <v>45827</v>
      </c>
      <c r="H1001" s="10">
        <v>45875</v>
      </c>
      <c r="I1001" s="9">
        <v>19852.45</v>
      </c>
      <c r="J1001" s="9">
        <v>1.0622</v>
      </c>
      <c r="K1001" s="9">
        <v>21087.27</v>
      </c>
      <c r="L1001" s="9">
        <v>872752</v>
      </c>
      <c r="M1001" s="9">
        <v>7466</v>
      </c>
      <c r="N1001" s="9">
        <v>125496.04</v>
      </c>
      <c r="O1001" s="9">
        <v>2025</v>
      </c>
      <c r="P1001" s="9" t="s">
        <v>53</v>
      </c>
      <c r="Q1001" s="9" t="s">
        <v>46</v>
      </c>
      <c r="R1001" s="11" t="s">
        <v>41</v>
      </c>
      <c r="S1001" s="26">
        <f>Table1[[#This Row],[Clicks]]/Table1[[#This Row],[Impressions]]</f>
        <v>8.554549287770179E-3</v>
      </c>
      <c r="T1001" s="23">
        <f>Table1[[#This Row],[Sales]]/Table1[[#This Row],[USD_Spend]]</f>
        <v>5.9512701264791499</v>
      </c>
      <c r="U1001" s="9" t="str">
        <f>Outlier_Check!C1011</f>
        <v>Normal</v>
      </c>
    </row>
  </sheetData>
  <pageMargins left="0.75" right="0.75" top="1" bottom="1" header="0.5" footer="0.5"/>
  <headerFooter>
    <oddFooter>&amp;C_x000D_&amp;1#&amp;"Aptos"&amp;10&amp;K000000 Confidential - Not for Public Consumption or Distribution</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84B01-8526-4245-94D5-F8B1D82632B3}">
  <dimension ref="A8:R1008"/>
  <sheetViews>
    <sheetView workbookViewId="0">
      <selection activeCell="B8" sqref="B8"/>
    </sheetView>
  </sheetViews>
  <sheetFormatPr defaultRowHeight="14.5" x14ac:dyDescent="0.35"/>
  <cols>
    <col min="1" max="1" width="16.453125" bestFit="1" customWidth="1"/>
    <col min="2" max="2" width="16.453125" customWidth="1"/>
    <col min="3" max="3" width="11" bestFit="1" customWidth="1"/>
    <col min="4" max="4" width="12.08984375" bestFit="1" customWidth="1"/>
    <col min="5" max="5" width="12" bestFit="1" customWidth="1"/>
    <col min="6" max="6" width="12.1796875" bestFit="1" customWidth="1"/>
    <col min="7" max="7" width="12.81640625" bestFit="1" customWidth="1"/>
    <col min="8" max="8" width="14.453125" bestFit="1" customWidth="1"/>
    <col min="9" max="9" width="13.54296875" bestFit="1" customWidth="1"/>
    <col min="10" max="10" width="13.453125" bestFit="1" customWidth="1"/>
    <col min="11" max="11" width="12.1796875" bestFit="1" customWidth="1"/>
    <col min="12" max="12" width="15" bestFit="1" customWidth="1"/>
    <col min="13" max="13" width="15.453125" bestFit="1" customWidth="1"/>
    <col min="14" max="14" width="10" bestFit="1" customWidth="1"/>
    <col min="15" max="15" width="9.81640625" bestFit="1" customWidth="1"/>
    <col min="16" max="16" width="9.08984375" bestFit="1" customWidth="1"/>
    <col min="17" max="17" width="9.90625" bestFit="1" customWidth="1"/>
    <col min="18" max="18" width="12" bestFit="1" customWidth="1"/>
  </cols>
  <sheetData>
    <row r="8" spans="1:18" x14ac:dyDescent="0.35">
      <c r="A8" s="5" t="s">
        <v>0</v>
      </c>
      <c r="B8" s="5" t="s">
        <v>121</v>
      </c>
      <c r="C8" s="6" t="s">
        <v>1</v>
      </c>
      <c r="D8" s="6" t="s">
        <v>2</v>
      </c>
      <c r="E8" s="6" t="s">
        <v>3</v>
      </c>
      <c r="F8" s="6" t="s">
        <v>4</v>
      </c>
      <c r="G8" s="6" t="s">
        <v>5</v>
      </c>
      <c r="H8" s="6" t="s">
        <v>6</v>
      </c>
      <c r="I8" s="6" t="s">
        <v>7</v>
      </c>
      <c r="J8" s="6" t="s">
        <v>8</v>
      </c>
      <c r="K8" s="6" t="s">
        <v>9</v>
      </c>
      <c r="L8" s="6" t="s">
        <v>10</v>
      </c>
      <c r="M8" s="6" t="s">
        <v>11</v>
      </c>
      <c r="N8" s="6" t="s">
        <v>12</v>
      </c>
      <c r="O8" s="6" t="s">
        <v>13</v>
      </c>
      <c r="P8" s="6" t="s">
        <v>14</v>
      </c>
      <c r="Q8" s="6" t="s">
        <v>15</v>
      </c>
      <c r="R8" s="6" t="s">
        <v>16</v>
      </c>
    </row>
    <row r="9" spans="1:18" x14ac:dyDescent="0.35">
      <c r="A9" s="3" t="s">
        <v>103</v>
      </c>
      <c r="B9" s="3"/>
      <c r="C9" s="1" t="s">
        <v>35</v>
      </c>
      <c r="D9" s="1" t="s">
        <v>36</v>
      </c>
      <c r="E9" s="1" t="s">
        <v>37</v>
      </c>
      <c r="F9" s="1" t="s">
        <v>22</v>
      </c>
      <c r="G9" s="1" t="s">
        <v>44</v>
      </c>
      <c r="H9" s="2">
        <v>44927</v>
      </c>
      <c r="I9" s="2">
        <v>44953</v>
      </c>
      <c r="J9" s="1">
        <v>45976.91</v>
      </c>
      <c r="K9" s="1">
        <v>0.24970000000000001</v>
      </c>
      <c r="L9" s="1">
        <v>11480.43</v>
      </c>
      <c r="M9" s="1">
        <v>146828</v>
      </c>
      <c r="N9" s="1">
        <v>22431</v>
      </c>
      <c r="O9" s="1">
        <v>180649.72</v>
      </c>
      <c r="P9" s="1">
        <v>2023</v>
      </c>
      <c r="Q9" s="1" t="s">
        <v>56</v>
      </c>
      <c r="R9" s="1" t="s">
        <v>40</v>
      </c>
    </row>
    <row r="10" spans="1:18" x14ac:dyDescent="0.35">
      <c r="A10" s="3" t="s">
        <v>120</v>
      </c>
      <c r="B10" s="3"/>
      <c r="C10" s="1" t="s">
        <v>19</v>
      </c>
      <c r="D10" s="1" t="s">
        <v>58</v>
      </c>
      <c r="E10" s="1" t="s">
        <v>63</v>
      </c>
      <c r="F10" s="1" t="s">
        <v>30</v>
      </c>
      <c r="G10" s="1" t="s">
        <v>31</v>
      </c>
      <c r="H10" s="2">
        <v>44928</v>
      </c>
      <c r="I10" s="2">
        <v>44985</v>
      </c>
      <c r="J10" s="1">
        <v>23767.95</v>
      </c>
      <c r="K10" s="1">
        <v>0.997</v>
      </c>
      <c r="L10" s="1">
        <v>23696.65</v>
      </c>
      <c r="M10" s="1">
        <v>313300</v>
      </c>
      <c r="N10" s="1">
        <v>42898</v>
      </c>
      <c r="O10" s="1">
        <v>243160.04</v>
      </c>
      <c r="P10" s="1">
        <v>2023</v>
      </c>
      <c r="Q10" s="1" t="s">
        <v>56</v>
      </c>
      <c r="R10" s="1" t="s">
        <v>40</v>
      </c>
    </row>
    <row r="11" spans="1:18" x14ac:dyDescent="0.35">
      <c r="A11" s="3" t="s">
        <v>96</v>
      </c>
      <c r="B11" s="3"/>
      <c r="C11" s="1" t="s">
        <v>35</v>
      </c>
      <c r="D11" s="1" t="s">
        <v>36</v>
      </c>
      <c r="E11" s="1" t="s">
        <v>51</v>
      </c>
      <c r="F11" s="1" t="s">
        <v>30</v>
      </c>
      <c r="G11" s="1" t="s">
        <v>49</v>
      </c>
      <c r="H11" s="2">
        <v>44929</v>
      </c>
      <c r="I11" s="2">
        <v>44961</v>
      </c>
      <c r="J11" s="1">
        <v>32407.35</v>
      </c>
      <c r="K11" s="1">
        <v>1.1323000000000001</v>
      </c>
      <c r="L11" s="1">
        <v>36694.839999999997</v>
      </c>
      <c r="M11" s="1">
        <v>64382</v>
      </c>
      <c r="N11" s="1">
        <v>21268</v>
      </c>
      <c r="O11" s="1">
        <v>110974.3</v>
      </c>
      <c r="P11" s="1">
        <v>2023</v>
      </c>
      <c r="Q11" s="1" t="s">
        <v>56</v>
      </c>
      <c r="R11" s="1" t="s">
        <v>40</v>
      </c>
    </row>
    <row r="12" spans="1:18" x14ac:dyDescent="0.35">
      <c r="A12" s="3" t="s">
        <v>96</v>
      </c>
      <c r="B12" s="3"/>
      <c r="C12" s="1" t="s">
        <v>35</v>
      </c>
      <c r="D12" s="1" t="s">
        <v>20</v>
      </c>
      <c r="E12" s="1" t="s">
        <v>21</v>
      </c>
      <c r="F12" s="1" t="s">
        <v>30</v>
      </c>
      <c r="G12" s="1" t="s">
        <v>44</v>
      </c>
      <c r="H12" s="2">
        <v>44930</v>
      </c>
      <c r="I12" s="2">
        <v>44962</v>
      </c>
      <c r="J12" s="1">
        <v>4295.8</v>
      </c>
      <c r="K12" s="1">
        <v>0.67369999999999997</v>
      </c>
      <c r="L12" s="1">
        <v>2894.08</v>
      </c>
      <c r="M12" s="1">
        <v>228677</v>
      </c>
      <c r="N12" s="1">
        <v>46629</v>
      </c>
      <c r="O12" s="1">
        <v>48638.18</v>
      </c>
      <c r="P12" s="1">
        <v>2023</v>
      </c>
      <c r="Q12" s="1" t="s">
        <v>56</v>
      </c>
      <c r="R12" s="1" t="s">
        <v>40</v>
      </c>
    </row>
    <row r="13" spans="1:18" x14ac:dyDescent="0.35">
      <c r="A13" s="3" t="s">
        <v>106</v>
      </c>
      <c r="B13" s="3"/>
      <c r="C13" s="1" t="s">
        <v>28</v>
      </c>
      <c r="D13" s="1" t="s">
        <v>58</v>
      </c>
      <c r="E13" s="1" t="s">
        <v>51</v>
      </c>
      <c r="F13" s="1" t="s">
        <v>38</v>
      </c>
      <c r="G13" s="1" t="s">
        <v>23</v>
      </c>
      <c r="H13" s="2">
        <v>44932</v>
      </c>
      <c r="I13" s="2">
        <v>44959</v>
      </c>
      <c r="J13" s="1">
        <v>44295.24</v>
      </c>
      <c r="K13" s="1">
        <v>0.85399999999999998</v>
      </c>
      <c r="L13" s="1">
        <v>37828.129999999997</v>
      </c>
      <c r="M13" s="1">
        <v>126041</v>
      </c>
      <c r="N13" s="1">
        <v>12523</v>
      </c>
      <c r="O13" s="1">
        <v>74800.44</v>
      </c>
      <c r="P13" s="1">
        <v>2023</v>
      </c>
      <c r="Q13" s="1" t="s">
        <v>56</v>
      </c>
      <c r="R13" s="1" t="s">
        <v>40</v>
      </c>
    </row>
    <row r="14" spans="1:18" x14ac:dyDescent="0.35">
      <c r="A14" s="3" t="s">
        <v>115</v>
      </c>
      <c r="B14" s="3"/>
      <c r="C14" s="1" t="s">
        <v>48</v>
      </c>
      <c r="D14" s="1" t="s">
        <v>58</v>
      </c>
      <c r="E14" s="1" t="s">
        <v>63</v>
      </c>
      <c r="F14" s="1" t="s">
        <v>22</v>
      </c>
      <c r="G14" s="1" t="s">
        <v>23</v>
      </c>
      <c r="H14" s="2">
        <v>44933</v>
      </c>
      <c r="I14" s="2">
        <v>44977</v>
      </c>
      <c r="J14" s="1">
        <v>23557.34</v>
      </c>
      <c r="K14" s="1">
        <v>0.36499999999999999</v>
      </c>
      <c r="L14" s="1">
        <v>8598.43</v>
      </c>
      <c r="M14" s="1">
        <v>122369</v>
      </c>
      <c r="N14" s="1">
        <v>437</v>
      </c>
      <c r="O14" s="1">
        <v>90681.82</v>
      </c>
      <c r="P14" s="1">
        <v>2023</v>
      </c>
      <c r="Q14" s="1" t="s">
        <v>56</v>
      </c>
      <c r="R14" s="1" t="s">
        <v>40</v>
      </c>
    </row>
    <row r="15" spans="1:18" x14ac:dyDescent="0.35">
      <c r="A15" s="3" t="s">
        <v>55</v>
      </c>
      <c r="B15" s="3"/>
      <c r="C15" s="1" t="s">
        <v>28</v>
      </c>
      <c r="D15" s="1" t="s">
        <v>29</v>
      </c>
      <c r="E15" s="1" t="s">
        <v>37</v>
      </c>
      <c r="F15" s="1" t="s">
        <v>38</v>
      </c>
      <c r="G15" s="1" t="s">
        <v>23</v>
      </c>
      <c r="H15" s="2">
        <v>44934</v>
      </c>
      <c r="I15" s="2">
        <v>44962</v>
      </c>
      <c r="J15" s="1">
        <v>39327.61</v>
      </c>
      <c r="K15" s="1">
        <v>0.61399999999999999</v>
      </c>
      <c r="L15" s="1">
        <v>24147.15</v>
      </c>
      <c r="M15" s="1">
        <v>290608</v>
      </c>
      <c r="N15" s="1">
        <v>43267</v>
      </c>
      <c r="O15" s="1">
        <v>69802.27</v>
      </c>
      <c r="P15" s="1">
        <v>2023</v>
      </c>
      <c r="Q15" s="1" t="s">
        <v>56</v>
      </c>
      <c r="R15" s="1" t="s">
        <v>40</v>
      </c>
    </row>
    <row r="16" spans="1:18" x14ac:dyDescent="0.35">
      <c r="A16" s="3" t="s">
        <v>107</v>
      </c>
      <c r="B16" s="3"/>
      <c r="C16" s="1" t="s">
        <v>35</v>
      </c>
      <c r="D16" s="1" t="s">
        <v>36</v>
      </c>
      <c r="E16" s="1" t="s">
        <v>63</v>
      </c>
      <c r="F16" s="1" t="s">
        <v>38</v>
      </c>
      <c r="G16" s="1" t="s">
        <v>52</v>
      </c>
      <c r="H16" s="2">
        <v>44936</v>
      </c>
      <c r="I16" s="2">
        <v>44995</v>
      </c>
      <c r="J16" s="1">
        <v>7781.33</v>
      </c>
      <c r="K16" s="1">
        <v>0.7802</v>
      </c>
      <c r="L16" s="1">
        <v>6070.99</v>
      </c>
      <c r="M16" s="1">
        <v>354625</v>
      </c>
      <c r="N16" s="1">
        <v>23530</v>
      </c>
      <c r="O16" s="1">
        <v>224159.27</v>
      </c>
      <c r="P16" s="1">
        <v>2023</v>
      </c>
      <c r="Q16" s="1" t="s">
        <v>56</v>
      </c>
      <c r="R16" s="1" t="s">
        <v>40</v>
      </c>
    </row>
    <row r="17" spans="1:18" x14ac:dyDescent="0.35">
      <c r="A17" s="3" t="s">
        <v>78</v>
      </c>
      <c r="B17" s="3"/>
      <c r="C17" s="1" t="s">
        <v>35</v>
      </c>
      <c r="D17" s="1" t="s">
        <v>29</v>
      </c>
      <c r="E17" s="1" t="s">
        <v>59</v>
      </c>
      <c r="F17" s="1" t="s">
        <v>38</v>
      </c>
      <c r="G17" s="1" t="s">
        <v>31</v>
      </c>
      <c r="H17" s="2">
        <v>44936</v>
      </c>
      <c r="I17" s="2">
        <v>44955</v>
      </c>
      <c r="J17" s="1">
        <v>37414.080000000002</v>
      </c>
      <c r="K17" s="1">
        <v>0.91249999999999998</v>
      </c>
      <c r="L17" s="1">
        <v>34140.35</v>
      </c>
      <c r="M17" s="1">
        <v>723612</v>
      </c>
      <c r="N17" s="1">
        <v>46577</v>
      </c>
      <c r="O17" s="1">
        <v>92666.15</v>
      </c>
      <c r="P17" s="1">
        <v>2023</v>
      </c>
      <c r="Q17" s="1" t="s">
        <v>56</v>
      </c>
      <c r="R17" s="1" t="s">
        <v>40</v>
      </c>
    </row>
    <row r="18" spans="1:18" x14ac:dyDescent="0.35">
      <c r="A18" s="3" t="s">
        <v>70</v>
      </c>
      <c r="B18" s="3"/>
      <c r="C18" s="1" t="s">
        <v>19</v>
      </c>
      <c r="D18" s="1" t="s">
        <v>29</v>
      </c>
      <c r="E18" s="1" t="s">
        <v>43</v>
      </c>
      <c r="F18" s="1" t="s">
        <v>22</v>
      </c>
      <c r="G18" s="1" t="s">
        <v>49</v>
      </c>
      <c r="H18" s="2">
        <v>44936</v>
      </c>
      <c r="I18" s="2">
        <v>44944</v>
      </c>
      <c r="J18" s="1">
        <v>14037.96</v>
      </c>
      <c r="K18" s="1">
        <v>1.1467000000000001</v>
      </c>
      <c r="L18" s="1">
        <v>16097.33</v>
      </c>
      <c r="M18" s="1">
        <v>707640</v>
      </c>
      <c r="N18" s="1">
        <v>38271</v>
      </c>
      <c r="O18" s="1">
        <v>198355.76</v>
      </c>
      <c r="P18" s="1">
        <v>2023</v>
      </c>
      <c r="Q18" s="1" t="s">
        <v>56</v>
      </c>
      <c r="R18" s="1" t="s">
        <v>40</v>
      </c>
    </row>
    <row r="19" spans="1:18" x14ac:dyDescent="0.35">
      <c r="A19" s="3" t="s">
        <v>106</v>
      </c>
      <c r="B19" s="3"/>
      <c r="C19" s="1" t="s">
        <v>35</v>
      </c>
      <c r="D19" s="1" t="s">
        <v>58</v>
      </c>
      <c r="E19" s="1" t="s">
        <v>21</v>
      </c>
      <c r="F19" s="1" t="s">
        <v>30</v>
      </c>
      <c r="G19" s="1" t="s">
        <v>31</v>
      </c>
      <c r="H19" s="2">
        <v>44939</v>
      </c>
      <c r="I19" s="2">
        <v>44980</v>
      </c>
      <c r="J19" s="1">
        <v>41722.33</v>
      </c>
      <c r="K19" s="1">
        <v>0.50560000000000005</v>
      </c>
      <c r="L19" s="1">
        <v>21094.81</v>
      </c>
      <c r="M19" s="1">
        <v>812598</v>
      </c>
      <c r="N19" s="1">
        <v>12055</v>
      </c>
      <c r="O19" s="1">
        <v>120092.36</v>
      </c>
      <c r="P19" s="1">
        <v>2023</v>
      </c>
      <c r="Q19" s="1" t="s">
        <v>56</v>
      </c>
      <c r="R19" s="1" t="s">
        <v>40</v>
      </c>
    </row>
    <row r="20" spans="1:18" x14ac:dyDescent="0.35">
      <c r="A20" s="3" t="s">
        <v>18</v>
      </c>
      <c r="B20" s="3"/>
      <c r="C20" s="1" t="s">
        <v>19</v>
      </c>
      <c r="D20" s="1" t="s">
        <v>36</v>
      </c>
      <c r="E20" s="1" t="s">
        <v>43</v>
      </c>
      <c r="F20" s="1" t="s">
        <v>30</v>
      </c>
      <c r="G20" s="1" t="s">
        <v>31</v>
      </c>
      <c r="H20" s="2">
        <v>44939</v>
      </c>
      <c r="I20" s="2">
        <v>44962</v>
      </c>
      <c r="J20" s="1">
        <v>46433.9</v>
      </c>
      <c r="K20" s="1">
        <v>0.54410000000000003</v>
      </c>
      <c r="L20" s="1">
        <v>25264.68</v>
      </c>
      <c r="M20" s="1">
        <v>721451</v>
      </c>
      <c r="N20" s="1">
        <v>20788</v>
      </c>
      <c r="O20" s="1">
        <v>240631.87</v>
      </c>
      <c r="P20" s="1">
        <v>2023</v>
      </c>
      <c r="Q20" s="1" t="s">
        <v>56</v>
      </c>
      <c r="R20" s="1" t="s">
        <v>40</v>
      </c>
    </row>
    <row r="21" spans="1:18" x14ac:dyDescent="0.35">
      <c r="A21" s="3" t="s">
        <v>99</v>
      </c>
      <c r="B21" s="3"/>
      <c r="C21" s="1" t="s">
        <v>19</v>
      </c>
      <c r="D21" s="1" t="s">
        <v>69</v>
      </c>
      <c r="E21" s="1" t="s">
        <v>43</v>
      </c>
      <c r="F21" s="1" t="s">
        <v>30</v>
      </c>
      <c r="G21" s="1" t="s">
        <v>49</v>
      </c>
      <c r="H21" s="2">
        <v>44940</v>
      </c>
      <c r="I21" s="2">
        <v>44958</v>
      </c>
      <c r="J21" s="1">
        <v>33131.72</v>
      </c>
      <c r="K21" s="1">
        <v>1.1148</v>
      </c>
      <c r="L21" s="1">
        <v>36935.24</v>
      </c>
      <c r="M21" s="1">
        <v>882496</v>
      </c>
      <c r="N21" s="1">
        <v>5340</v>
      </c>
      <c r="O21" s="1">
        <v>119674.49</v>
      </c>
      <c r="P21" s="1">
        <v>2023</v>
      </c>
      <c r="Q21" s="1" t="s">
        <v>56</v>
      </c>
      <c r="R21" s="1" t="s">
        <v>40</v>
      </c>
    </row>
    <row r="22" spans="1:18" x14ac:dyDescent="0.35">
      <c r="A22" s="3" t="s">
        <v>103</v>
      </c>
      <c r="B22" s="3"/>
      <c r="C22" s="1" t="s">
        <v>48</v>
      </c>
      <c r="D22" s="1" t="s">
        <v>36</v>
      </c>
      <c r="E22" s="1" t="s">
        <v>59</v>
      </c>
      <c r="F22" s="1" t="s">
        <v>22</v>
      </c>
      <c r="G22" s="1" t="s">
        <v>44</v>
      </c>
      <c r="H22" s="2">
        <v>44940</v>
      </c>
      <c r="I22" s="2">
        <v>44953</v>
      </c>
      <c r="J22" s="1">
        <v>26390.37</v>
      </c>
      <c r="K22" s="1">
        <v>0.45390000000000003</v>
      </c>
      <c r="L22" s="1">
        <v>11978.59</v>
      </c>
      <c r="M22" s="1">
        <v>518453</v>
      </c>
      <c r="N22" s="1">
        <v>27100</v>
      </c>
      <c r="O22" s="1">
        <v>88376.71</v>
      </c>
      <c r="P22" s="1">
        <v>2023</v>
      </c>
      <c r="Q22" s="1" t="s">
        <v>56</v>
      </c>
      <c r="R22" s="1" t="s">
        <v>40</v>
      </c>
    </row>
    <row r="23" spans="1:18" x14ac:dyDescent="0.35">
      <c r="A23" s="3" t="s">
        <v>99</v>
      </c>
      <c r="B23" s="3"/>
      <c r="C23" s="1" t="s">
        <v>28</v>
      </c>
      <c r="D23" s="1" t="s">
        <v>58</v>
      </c>
      <c r="E23" s="1" t="s">
        <v>51</v>
      </c>
      <c r="F23" s="1" t="s">
        <v>38</v>
      </c>
      <c r="G23" s="1" t="s">
        <v>23</v>
      </c>
      <c r="H23" s="2">
        <v>44941</v>
      </c>
      <c r="I23" s="2">
        <v>44962</v>
      </c>
      <c r="J23" s="1">
        <v>11571.4</v>
      </c>
      <c r="K23" s="1">
        <v>1.1079000000000001</v>
      </c>
      <c r="L23" s="1">
        <v>12819.95</v>
      </c>
      <c r="M23" s="1">
        <v>837630</v>
      </c>
      <c r="N23" s="1">
        <v>26181</v>
      </c>
      <c r="O23" s="1">
        <v>129119.6</v>
      </c>
      <c r="P23" s="1">
        <v>2023</v>
      </c>
      <c r="Q23" s="1" t="s">
        <v>56</v>
      </c>
      <c r="R23" s="1" t="s">
        <v>40</v>
      </c>
    </row>
    <row r="24" spans="1:18" x14ac:dyDescent="0.35">
      <c r="A24" s="3" t="s">
        <v>87</v>
      </c>
      <c r="B24" s="3"/>
      <c r="C24" s="1" t="s">
        <v>28</v>
      </c>
      <c r="D24" s="1" t="s">
        <v>69</v>
      </c>
      <c r="E24" s="1" t="s">
        <v>51</v>
      </c>
      <c r="F24" s="1" t="s">
        <v>30</v>
      </c>
      <c r="G24" s="1" t="s">
        <v>44</v>
      </c>
      <c r="H24" s="2">
        <v>44943</v>
      </c>
      <c r="I24" s="2">
        <v>44982</v>
      </c>
      <c r="J24" s="1">
        <v>33208.559999999998</v>
      </c>
      <c r="K24" s="1">
        <v>1.0428999999999999</v>
      </c>
      <c r="L24" s="1">
        <v>34633.21</v>
      </c>
      <c r="M24" s="1">
        <v>994630</v>
      </c>
      <c r="N24" s="1">
        <v>38324</v>
      </c>
      <c r="O24" s="1">
        <v>31078.47</v>
      </c>
      <c r="P24" s="1">
        <v>2023</v>
      </c>
      <c r="Q24" s="1" t="s">
        <v>56</v>
      </c>
      <c r="R24" s="1" t="s">
        <v>40</v>
      </c>
    </row>
    <row r="25" spans="1:18" x14ac:dyDescent="0.35">
      <c r="A25" s="3" t="s">
        <v>114</v>
      </c>
      <c r="B25" s="3"/>
      <c r="C25" s="1" t="s">
        <v>35</v>
      </c>
      <c r="D25" s="1" t="s">
        <v>29</v>
      </c>
      <c r="E25" s="1" t="s">
        <v>21</v>
      </c>
      <c r="F25" s="1" t="s">
        <v>30</v>
      </c>
      <c r="G25" s="1" t="s">
        <v>52</v>
      </c>
      <c r="H25" s="2">
        <v>44943</v>
      </c>
      <c r="I25" s="2">
        <v>44964</v>
      </c>
      <c r="J25" s="1">
        <v>28112.27</v>
      </c>
      <c r="K25" s="1">
        <v>0.70499999999999996</v>
      </c>
      <c r="L25" s="1">
        <v>19819.150000000001</v>
      </c>
      <c r="M25" s="1">
        <v>764987</v>
      </c>
      <c r="N25" s="1">
        <v>27466</v>
      </c>
      <c r="O25" s="1">
        <v>77322.11</v>
      </c>
      <c r="P25" s="1">
        <v>2023</v>
      </c>
      <c r="Q25" s="1" t="s">
        <v>56</v>
      </c>
      <c r="R25" s="1" t="s">
        <v>40</v>
      </c>
    </row>
    <row r="26" spans="1:18" x14ac:dyDescent="0.35">
      <c r="A26" s="3" t="s">
        <v>50</v>
      </c>
      <c r="B26" s="3"/>
      <c r="C26" s="1" t="s">
        <v>35</v>
      </c>
      <c r="D26" s="1" t="s">
        <v>29</v>
      </c>
      <c r="E26" s="1" t="s">
        <v>51</v>
      </c>
      <c r="F26" s="1" t="s">
        <v>38</v>
      </c>
      <c r="G26" s="1" t="s">
        <v>23</v>
      </c>
      <c r="H26" s="2">
        <v>44944</v>
      </c>
      <c r="I26" s="2">
        <v>44979</v>
      </c>
      <c r="J26" s="1">
        <v>18062.29</v>
      </c>
      <c r="K26" s="1">
        <v>0.83240000000000003</v>
      </c>
      <c r="L26" s="1">
        <v>15035.05</v>
      </c>
      <c r="M26" s="1">
        <v>155766</v>
      </c>
      <c r="N26" s="1">
        <v>29062</v>
      </c>
      <c r="O26" s="1">
        <v>222982.96</v>
      </c>
      <c r="P26" s="1">
        <v>2023</v>
      </c>
      <c r="Q26" s="1" t="s">
        <v>56</v>
      </c>
      <c r="R26" s="1" t="s">
        <v>40</v>
      </c>
    </row>
    <row r="27" spans="1:18" x14ac:dyDescent="0.35">
      <c r="A27" s="3" t="s">
        <v>108</v>
      </c>
      <c r="B27" s="3"/>
      <c r="C27" s="1" t="s">
        <v>19</v>
      </c>
      <c r="D27" s="1" t="s">
        <v>36</v>
      </c>
      <c r="E27" s="1" t="s">
        <v>63</v>
      </c>
      <c r="F27" s="1" t="s">
        <v>38</v>
      </c>
      <c r="G27" s="1" t="s">
        <v>23</v>
      </c>
      <c r="H27" s="2">
        <v>44945</v>
      </c>
      <c r="I27" s="2">
        <v>44972</v>
      </c>
      <c r="J27" s="1">
        <v>44164.4</v>
      </c>
      <c r="K27" s="1">
        <v>0.43490000000000001</v>
      </c>
      <c r="L27" s="1">
        <v>19207.099999999999</v>
      </c>
      <c r="M27" s="1">
        <v>176309</v>
      </c>
      <c r="N27" s="1">
        <v>11550</v>
      </c>
      <c r="O27" s="1">
        <v>207847.43</v>
      </c>
      <c r="P27" s="1">
        <v>2023</v>
      </c>
      <c r="Q27" s="1" t="s">
        <v>56</v>
      </c>
      <c r="R27" s="1" t="s">
        <v>40</v>
      </c>
    </row>
    <row r="28" spans="1:18" x14ac:dyDescent="0.35">
      <c r="A28" s="3" t="s">
        <v>109</v>
      </c>
      <c r="B28" s="3"/>
      <c r="C28" s="1" t="s">
        <v>28</v>
      </c>
      <c r="D28" s="1" t="s">
        <v>69</v>
      </c>
      <c r="E28" s="1" t="s">
        <v>37</v>
      </c>
      <c r="F28" s="1" t="s">
        <v>38</v>
      </c>
      <c r="G28" s="1" t="s">
        <v>23</v>
      </c>
      <c r="H28" s="2">
        <v>44946</v>
      </c>
      <c r="I28" s="2">
        <v>44980</v>
      </c>
      <c r="J28" s="1">
        <v>46136.959999999999</v>
      </c>
      <c r="K28" s="1">
        <v>1.0359</v>
      </c>
      <c r="L28" s="1">
        <v>47793.279999999999</v>
      </c>
      <c r="M28" s="1">
        <v>613727</v>
      </c>
      <c r="N28" s="1">
        <v>28233</v>
      </c>
      <c r="O28" s="1">
        <v>145482.92000000001</v>
      </c>
      <c r="P28" s="1">
        <v>2023</v>
      </c>
      <c r="Q28" s="1" t="s">
        <v>56</v>
      </c>
      <c r="R28" s="1" t="s">
        <v>40</v>
      </c>
    </row>
    <row r="29" spans="1:18" x14ac:dyDescent="0.35">
      <c r="A29" s="3" t="s">
        <v>72</v>
      </c>
      <c r="B29" s="3"/>
      <c r="C29" s="1" t="s">
        <v>48</v>
      </c>
      <c r="D29" s="1" t="s">
        <v>69</v>
      </c>
      <c r="E29" s="1" t="s">
        <v>43</v>
      </c>
      <c r="F29" s="1" t="s">
        <v>38</v>
      </c>
      <c r="G29" s="1" t="s">
        <v>49</v>
      </c>
      <c r="H29" s="2">
        <v>44946</v>
      </c>
      <c r="I29" s="2">
        <v>44968</v>
      </c>
      <c r="J29" s="1">
        <v>28149.69</v>
      </c>
      <c r="K29" s="1">
        <v>0.70750000000000002</v>
      </c>
      <c r="L29" s="1">
        <v>19915.91</v>
      </c>
      <c r="M29" s="1">
        <v>116440</v>
      </c>
      <c r="N29" s="1">
        <v>16242</v>
      </c>
      <c r="O29" s="1">
        <v>191929.68</v>
      </c>
      <c r="P29" s="1">
        <v>2023</v>
      </c>
      <c r="Q29" s="1" t="s">
        <v>56</v>
      </c>
      <c r="R29" s="1" t="s">
        <v>40</v>
      </c>
    </row>
    <row r="30" spans="1:18" x14ac:dyDescent="0.35">
      <c r="A30" s="3" t="s">
        <v>105</v>
      </c>
      <c r="B30" s="3"/>
      <c r="C30" s="1" t="s">
        <v>19</v>
      </c>
      <c r="D30" s="1" t="s">
        <v>20</v>
      </c>
      <c r="E30" s="1" t="s">
        <v>21</v>
      </c>
      <c r="F30" s="1" t="s">
        <v>22</v>
      </c>
      <c r="G30" s="1" t="s">
        <v>49</v>
      </c>
      <c r="H30" s="2">
        <v>44948</v>
      </c>
      <c r="I30" s="2">
        <v>44956</v>
      </c>
      <c r="J30" s="1">
        <v>2291.34</v>
      </c>
      <c r="K30" s="1">
        <v>0.94040000000000001</v>
      </c>
      <c r="L30" s="1">
        <v>2154.7800000000002</v>
      </c>
      <c r="M30" s="1">
        <v>215703</v>
      </c>
      <c r="N30" s="1">
        <v>35108</v>
      </c>
      <c r="O30" s="1">
        <v>153994.03</v>
      </c>
      <c r="P30" s="1">
        <v>2023</v>
      </c>
      <c r="Q30" s="1" t="s">
        <v>56</v>
      </c>
      <c r="R30" s="1" t="s">
        <v>40</v>
      </c>
    </row>
    <row r="31" spans="1:18" x14ac:dyDescent="0.35">
      <c r="A31" s="3" t="s">
        <v>114</v>
      </c>
      <c r="B31" s="3"/>
      <c r="C31" s="1" t="s">
        <v>35</v>
      </c>
      <c r="D31" s="1" t="s">
        <v>29</v>
      </c>
      <c r="E31" s="1" t="s">
        <v>37</v>
      </c>
      <c r="F31" s="1" t="s">
        <v>38</v>
      </c>
      <c r="G31" s="1" t="s">
        <v>44</v>
      </c>
      <c r="H31" s="2">
        <v>44950</v>
      </c>
      <c r="I31" s="2">
        <v>44990</v>
      </c>
      <c r="J31" s="1">
        <v>32708.23</v>
      </c>
      <c r="K31" s="1">
        <v>0.75570000000000004</v>
      </c>
      <c r="L31" s="1">
        <v>24717.61</v>
      </c>
      <c r="M31" s="1">
        <v>960895</v>
      </c>
      <c r="N31" s="1">
        <v>5931</v>
      </c>
      <c r="O31" s="1">
        <v>243661.26</v>
      </c>
      <c r="P31" s="1">
        <v>2023</v>
      </c>
      <c r="Q31" s="1" t="s">
        <v>56</v>
      </c>
      <c r="R31" s="1" t="s">
        <v>40</v>
      </c>
    </row>
    <row r="32" spans="1:18" x14ac:dyDescent="0.35">
      <c r="A32" s="3" t="s">
        <v>70</v>
      </c>
      <c r="B32" s="3"/>
      <c r="C32" s="1" t="s">
        <v>35</v>
      </c>
      <c r="D32" s="1" t="s">
        <v>29</v>
      </c>
      <c r="E32" s="1" t="s">
        <v>63</v>
      </c>
      <c r="F32" s="1" t="s">
        <v>30</v>
      </c>
      <c r="G32" s="1" t="s">
        <v>23</v>
      </c>
      <c r="H32" s="2">
        <v>44952</v>
      </c>
      <c r="I32" s="2">
        <v>44990</v>
      </c>
      <c r="J32" s="1">
        <v>41283.339999999997</v>
      </c>
      <c r="K32" s="1">
        <v>0.45619999999999999</v>
      </c>
      <c r="L32" s="1">
        <v>18833.46</v>
      </c>
      <c r="M32" s="1">
        <v>851814</v>
      </c>
      <c r="N32" s="1">
        <v>33440</v>
      </c>
      <c r="O32" s="1">
        <v>114161.44</v>
      </c>
      <c r="P32" s="1">
        <v>2023</v>
      </c>
      <c r="Q32" s="1" t="s">
        <v>56</v>
      </c>
      <c r="R32" s="1" t="s">
        <v>40</v>
      </c>
    </row>
    <row r="33" spans="1:18" x14ac:dyDescent="0.35">
      <c r="A33" s="3" t="s">
        <v>96</v>
      </c>
      <c r="B33" s="3"/>
      <c r="C33" s="1" t="s">
        <v>19</v>
      </c>
      <c r="D33" s="1" t="s">
        <v>69</v>
      </c>
      <c r="E33" s="1" t="s">
        <v>51</v>
      </c>
      <c r="F33" s="1" t="s">
        <v>22</v>
      </c>
      <c r="G33" s="1" t="s">
        <v>31</v>
      </c>
      <c r="H33" s="2">
        <v>44953</v>
      </c>
      <c r="I33" s="2">
        <v>44996</v>
      </c>
      <c r="J33" s="1">
        <v>13127.39</v>
      </c>
      <c r="K33" s="1">
        <v>0.33139999999999997</v>
      </c>
      <c r="L33" s="1">
        <v>4350.42</v>
      </c>
      <c r="M33" s="1">
        <v>567286</v>
      </c>
      <c r="N33" s="1">
        <v>7308</v>
      </c>
      <c r="O33" s="1">
        <v>172574.92</v>
      </c>
      <c r="P33" s="1">
        <v>2023</v>
      </c>
      <c r="Q33" s="1" t="s">
        <v>56</v>
      </c>
      <c r="R33" s="1" t="s">
        <v>40</v>
      </c>
    </row>
    <row r="34" spans="1:18" x14ac:dyDescent="0.35">
      <c r="A34" s="3" t="s">
        <v>81</v>
      </c>
      <c r="B34" s="3"/>
      <c r="C34" s="1" t="s">
        <v>19</v>
      </c>
      <c r="D34" s="1" t="s">
        <v>36</v>
      </c>
      <c r="E34" s="1" t="s">
        <v>63</v>
      </c>
      <c r="F34" s="1" t="s">
        <v>38</v>
      </c>
      <c r="G34" s="1" t="s">
        <v>49</v>
      </c>
      <c r="H34" s="2">
        <v>44953</v>
      </c>
      <c r="I34" s="2">
        <v>44981</v>
      </c>
      <c r="J34" s="1">
        <v>28147.05</v>
      </c>
      <c r="K34" s="1">
        <v>0.44900000000000001</v>
      </c>
      <c r="L34" s="1">
        <v>12638.03</v>
      </c>
      <c r="M34" s="1">
        <v>852700</v>
      </c>
      <c r="N34" s="1">
        <v>36252</v>
      </c>
      <c r="O34" s="1">
        <v>36793.949999999997</v>
      </c>
      <c r="P34" s="1">
        <v>2023</v>
      </c>
      <c r="Q34" s="1" t="s">
        <v>56</v>
      </c>
      <c r="R34" s="1" t="s">
        <v>40</v>
      </c>
    </row>
    <row r="35" spans="1:18" x14ac:dyDescent="0.35">
      <c r="A35" s="3" t="s">
        <v>102</v>
      </c>
      <c r="B35" s="3"/>
      <c r="C35" s="1" t="s">
        <v>48</v>
      </c>
      <c r="D35" s="1" t="s">
        <v>20</v>
      </c>
      <c r="E35" s="1" t="s">
        <v>21</v>
      </c>
      <c r="F35" s="1" t="s">
        <v>22</v>
      </c>
      <c r="G35" s="1" t="s">
        <v>44</v>
      </c>
      <c r="H35" s="2">
        <v>44953</v>
      </c>
      <c r="I35" s="2">
        <v>44967</v>
      </c>
      <c r="J35" s="1">
        <v>39735</v>
      </c>
      <c r="K35" s="1">
        <v>1.0105</v>
      </c>
      <c r="L35" s="1">
        <v>40152.22</v>
      </c>
      <c r="M35" s="1">
        <v>554172</v>
      </c>
      <c r="N35" s="1">
        <v>48678</v>
      </c>
      <c r="O35" s="1">
        <v>151986.69</v>
      </c>
      <c r="P35" s="1">
        <v>2023</v>
      </c>
      <c r="Q35" s="1" t="s">
        <v>56</v>
      </c>
      <c r="R35" s="1" t="s">
        <v>40</v>
      </c>
    </row>
    <row r="36" spans="1:18" x14ac:dyDescent="0.35">
      <c r="A36" s="3" t="s">
        <v>72</v>
      </c>
      <c r="B36" s="3"/>
      <c r="C36" s="1" t="s">
        <v>48</v>
      </c>
      <c r="D36" s="1" t="s">
        <v>29</v>
      </c>
      <c r="E36" s="1" t="s">
        <v>63</v>
      </c>
      <c r="F36" s="1" t="s">
        <v>30</v>
      </c>
      <c r="G36" s="1" t="s">
        <v>49</v>
      </c>
      <c r="H36" s="2">
        <v>44955</v>
      </c>
      <c r="I36" s="2">
        <v>44984</v>
      </c>
      <c r="J36" s="1">
        <v>3432.9</v>
      </c>
      <c r="K36" s="1">
        <v>1.026</v>
      </c>
      <c r="L36" s="1">
        <v>3522.16</v>
      </c>
      <c r="M36" s="1">
        <v>827711</v>
      </c>
      <c r="N36" s="1">
        <v>14145</v>
      </c>
      <c r="O36" s="1">
        <v>214992.24</v>
      </c>
      <c r="P36" s="1">
        <v>2023</v>
      </c>
      <c r="Q36" s="1" t="s">
        <v>56</v>
      </c>
      <c r="R36" s="1" t="s">
        <v>40</v>
      </c>
    </row>
    <row r="37" spans="1:18" x14ac:dyDescent="0.35">
      <c r="A37" s="3" t="s">
        <v>78</v>
      </c>
      <c r="B37" s="3"/>
      <c r="C37" s="1" t="s">
        <v>35</v>
      </c>
      <c r="D37" s="1" t="s">
        <v>58</v>
      </c>
      <c r="E37" s="1" t="s">
        <v>59</v>
      </c>
      <c r="F37" s="1" t="s">
        <v>22</v>
      </c>
      <c r="G37" s="1" t="s">
        <v>49</v>
      </c>
      <c r="H37" s="2">
        <v>44956</v>
      </c>
      <c r="I37" s="2">
        <v>44991</v>
      </c>
      <c r="J37" s="1">
        <v>33432.39</v>
      </c>
      <c r="K37" s="1">
        <v>0.54859999999999998</v>
      </c>
      <c r="L37" s="1">
        <v>18341.009999999998</v>
      </c>
      <c r="M37" s="1">
        <v>288479</v>
      </c>
      <c r="N37" s="1">
        <v>7854</v>
      </c>
      <c r="O37" s="1">
        <v>232097.29</v>
      </c>
      <c r="P37" s="1">
        <v>2023</v>
      </c>
      <c r="Q37" s="1" t="s">
        <v>56</v>
      </c>
      <c r="R37" s="1" t="s">
        <v>40</v>
      </c>
    </row>
    <row r="38" spans="1:18" x14ac:dyDescent="0.35">
      <c r="A38" s="3" t="s">
        <v>91</v>
      </c>
      <c r="B38" s="3"/>
      <c r="C38" s="1" t="s">
        <v>48</v>
      </c>
      <c r="D38" s="1" t="s">
        <v>20</v>
      </c>
      <c r="E38" s="1" t="s">
        <v>43</v>
      </c>
      <c r="F38" s="1" t="s">
        <v>22</v>
      </c>
      <c r="G38" s="1" t="s">
        <v>49</v>
      </c>
      <c r="H38" s="2">
        <v>44956</v>
      </c>
      <c r="I38" s="2">
        <v>44985</v>
      </c>
      <c r="J38" s="1">
        <v>17470.349999999999</v>
      </c>
      <c r="K38" s="1">
        <v>0.81820000000000004</v>
      </c>
      <c r="L38" s="1">
        <v>14294.24</v>
      </c>
      <c r="M38" s="1">
        <v>433956</v>
      </c>
      <c r="N38" s="1">
        <v>47559</v>
      </c>
      <c r="O38" s="1">
        <v>45435.96</v>
      </c>
      <c r="P38" s="1">
        <v>2023</v>
      </c>
      <c r="Q38" s="1" t="s">
        <v>56</v>
      </c>
      <c r="R38" s="1" t="s">
        <v>40</v>
      </c>
    </row>
    <row r="39" spans="1:18" x14ac:dyDescent="0.35">
      <c r="A39" s="3" t="s">
        <v>72</v>
      </c>
      <c r="B39" s="3"/>
      <c r="C39" s="1" t="s">
        <v>28</v>
      </c>
      <c r="D39" s="1" t="s">
        <v>36</v>
      </c>
      <c r="E39" s="1" t="s">
        <v>21</v>
      </c>
      <c r="F39" s="1" t="s">
        <v>30</v>
      </c>
      <c r="G39" s="1" t="s">
        <v>49</v>
      </c>
      <c r="H39" s="2">
        <v>44961</v>
      </c>
      <c r="I39" s="2">
        <v>44973</v>
      </c>
      <c r="J39" s="1">
        <v>12801.92</v>
      </c>
      <c r="K39" s="1">
        <v>0.59150000000000003</v>
      </c>
      <c r="L39" s="1">
        <v>7572.34</v>
      </c>
      <c r="M39" s="1">
        <v>731403</v>
      </c>
      <c r="N39" s="1">
        <v>39169</v>
      </c>
      <c r="O39" s="1">
        <v>238866.06</v>
      </c>
      <c r="P39" s="1">
        <v>2023</v>
      </c>
      <c r="Q39" s="1" t="s">
        <v>39</v>
      </c>
      <c r="R39" s="1" t="s">
        <v>40</v>
      </c>
    </row>
    <row r="40" spans="1:18" x14ac:dyDescent="0.35">
      <c r="A40" s="3" t="s">
        <v>103</v>
      </c>
      <c r="B40" s="3"/>
      <c r="C40" s="1" t="s">
        <v>19</v>
      </c>
      <c r="D40" s="1" t="s">
        <v>36</v>
      </c>
      <c r="E40" s="1" t="s">
        <v>37</v>
      </c>
      <c r="F40" s="1" t="s">
        <v>38</v>
      </c>
      <c r="G40" s="1" t="s">
        <v>52</v>
      </c>
      <c r="H40" s="2">
        <v>44964</v>
      </c>
      <c r="I40" s="2">
        <v>44978</v>
      </c>
      <c r="J40" s="1">
        <v>42837.64</v>
      </c>
      <c r="K40" s="1">
        <v>0.80369999999999997</v>
      </c>
      <c r="L40" s="1">
        <v>34428.61</v>
      </c>
      <c r="M40" s="1">
        <v>888721</v>
      </c>
      <c r="N40" s="1">
        <v>39636</v>
      </c>
      <c r="O40" s="1">
        <v>78118.179999999993</v>
      </c>
      <c r="P40" s="1">
        <v>2023</v>
      </c>
      <c r="Q40" s="1" t="s">
        <v>39</v>
      </c>
      <c r="R40" s="1" t="s">
        <v>40</v>
      </c>
    </row>
    <row r="41" spans="1:18" x14ac:dyDescent="0.35">
      <c r="A41" s="3" t="s">
        <v>86</v>
      </c>
      <c r="B41" s="3"/>
      <c r="C41" s="1" t="s">
        <v>48</v>
      </c>
      <c r="D41" s="1" t="s">
        <v>69</v>
      </c>
      <c r="E41" s="1" t="s">
        <v>37</v>
      </c>
      <c r="F41" s="1" t="s">
        <v>30</v>
      </c>
      <c r="G41" s="1" t="s">
        <v>49</v>
      </c>
      <c r="H41" s="2">
        <v>44965</v>
      </c>
      <c r="I41" s="2">
        <v>45024</v>
      </c>
      <c r="J41" s="1">
        <v>37746.81</v>
      </c>
      <c r="K41" s="1">
        <v>0.53539999999999999</v>
      </c>
      <c r="L41" s="1">
        <v>20209.64</v>
      </c>
      <c r="M41" s="1">
        <v>402505</v>
      </c>
      <c r="N41" s="1">
        <v>39849</v>
      </c>
      <c r="O41" s="1">
        <v>159667.04</v>
      </c>
      <c r="P41" s="1">
        <v>2023</v>
      </c>
      <c r="Q41" s="1" t="s">
        <v>39</v>
      </c>
      <c r="R41" s="1" t="s">
        <v>40</v>
      </c>
    </row>
    <row r="42" spans="1:18" x14ac:dyDescent="0.35">
      <c r="A42" s="3" t="s">
        <v>104</v>
      </c>
      <c r="B42" s="3"/>
      <c r="C42" s="1" t="s">
        <v>48</v>
      </c>
      <c r="D42" s="1" t="s">
        <v>36</v>
      </c>
      <c r="E42" s="1" t="s">
        <v>51</v>
      </c>
      <c r="F42" s="1" t="s">
        <v>22</v>
      </c>
      <c r="G42" s="1" t="s">
        <v>52</v>
      </c>
      <c r="H42" s="2">
        <v>44965</v>
      </c>
      <c r="I42" s="2">
        <v>45004</v>
      </c>
      <c r="J42" s="1">
        <v>10771.3</v>
      </c>
      <c r="K42" s="1">
        <v>0.45400000000000001</v>
      </c>
      <c r="L42" s="1">
        <v>4890.17</v>
      </c>
      <c r="M42" s="1">
        <v>24760</v>
      </c>
      <c r="N42" s="1">
        <v>21216</v>
      </c>
      <c r="O42" s="1">
        <v>190427.7</v>
      </c>
      <c r="P42" s="1">
        <v>2023</v>
      </c>
      <c r="Q42" s="1" t="s">
        <v>39</v>
      </c>
      <c r="R42" s="1" t="s">
        <v>40</v>
      </c>
    </row>
    <row r="43" spans="1:18" x14ac:dyDescent="0.35">
      <c r="A43" s="3" t="s">
        <v>89</v>
      </c>
      <c r="B43" s="3"/>
      <c r="C43" s="1" t="s">
        <v>28</v>
      </c>
      <c r="D43" s="1" t="s">
        <v>20</v>
      </c>
      <c r="E43" s="1" t="s">
        <v>37</v>
      </c>
      <c r="F43" s="1" t="s">
        <v>38</v>
      </c>
      <c r="G43" s="1" t="s">
        <v>49</v>
      </c>
      <c r="H43" s="2">
        <v>44965</v>
      </c>
      <c r="I43" s="2">
        <v>44999</v>
      </c>
      <c r="J43" s="1">
        <v>33230.620000000003</v>
      </c>
      <c r="K43" s="1">
        <v>0.51270000000000004</v>
      </c>
      <c r="L43" s="1">
        <v>17037.34</v>
      </c>
      <c r="M43" s="1">
        <v>549764</v>
      </c>
      <c r="N43" s="1">
        <v>27701</v>
      </c>
      <c r="O43" s="1">
        <v>70321.63</v>
      </c>
      <c r="P43" s="1">
        <v>2023</v>
      </c>
      <c r="Q43" s="1" t="s">
        <v>39</v>
      </c>
      <c r="R43" s="1" t="s">
        <v>40</v>
      </c>
    </row>
    <row r="44" spans="1:18" x14ac:dyDescent="0.35">
      <c r="A44" s="3" t="s">
        <v>70</v>
      </c>
      <c r="B44" s="3"/>
      <c r="C44" s="1" t="s">
        <v>28</v>
      </c>
      <c r="D44" s="1" t="s">
        <v>69</v>
      </c>
      <c r="E44" s="1" t="s">
        <v>51</v>
      </c>
      <c r="F44" s="1" t="s">
        <v>22</v>
      </c>
      <c r="G44" s="1" t="s">
        <v>23</v>
      </c>
      <c r="H44" s="2">
        <v>44965</v>
      </c>
      <c r="I44" s="2">
        <v>44981</v>
      </c>
      <c r="J44" s="1">
        <v>14495.29</v>
      </c>
      <c r="K44" s="1">
        <v>0.1812</v>
      </c>
      <c r="L44" s="1">
        <v>2626.55</v>
      </c>
      <c r="M44" s="1">
        <v>648221</v>
      </c>
      <c r="N44" s="1">
        <v>44717</v>
      </c>
      <c r="O44" s="1">
        <v>174947.01</v>
      </c>
      <c r="P44" s="1">
        <v>2023</v>
      </c>
      <c r="Q44" s="1" t="s">
        <v>39</v>
      </c>
      <c r="R44" s="1" t="s">
        <v>40</v>
      </c>
    </row>
    <row r="45" spans="1:18" x14ac:dyDescent="0.35">
      <c r="A45" s="3" t="s">
        <v>113</v>
      </c>
      <c r="B45" s="3"/>
      <c r="C45" s="1" t="s">
        <v>48</v>
      </c>
      <c r="D45" s="1" t="s">
        <v>36</v>
      </c>
      <c r="E45" s="1" t="s">
        <v>21</v>
      </c>
      <c r="F45" s="1" t="s">
        <v>22</v>
      </c>
      <c r="G45" s="1" t="s">
        <v>23</v>
      </c>
      <c r="H45" s="2">
        <v>44966</v>
      </c>
      <c r="I45" s="2">
        <v>44994</v>
      </c>
      <c r="J45" s="1">
        <v>2413.0100000000002</v>
      </c>
      <c r="K45" s="1">
        <v>1.0742</v>
      </c>
      <c r="L45" s="1">
        <v>2592.06</v>
      </c>
      <c r="M45" s="1">
        <v>170633</v>
      </c>
      <c r="N45" s="1">
        <v>46344</v>
      </c>
      <c r="O45" s="1">
        <v>185368.06</v>
      </c>
      <c r="P45" s="1">
        <v>2023</v>
      </c>
      <c r="Q45" s="1" t="s">
        <v>39</v>
      </c>
      <c r="R45" s="1" t="s">
        <v>40</v>
      </c>
    </row>
    <row r="46" spans="1:18" x14ac:dyDescent="0.35">
      <c r="A46" s="3" t="s">
        <v>119</v>
      </c>
      <c r="B46" s="3"/>
      <c r="C46" s="1" t="s">
        <v>19</v>
      </c>
      <c r="D46" s="1" t="s">
        <v>36</v>
      </c>
      <c r="E46" s="1" t="s">
        <v>43</v>
      </c>
      <c r="F46" s="1" t="s">
        <v>30</v>
      </c>
      <c r="G46" s="1" t="s">
        <v>31</v>
      </c>
      <c r="H46" s="2">
        <v>44969</v>
      </c>
      <c r="I46" s="2">
        <v>45011</v>
      </c>
      <c r="J46" s="1">
        <v>48448.18</v>
      </c>
      <c r="K46" s="1">
        <v>1.0620000000000001</v>
      </c>
      <c r="L46" s="1">
        <v>51451.97</v>
      </c>
      <c r="M46" s="1">
        <v>867115</v>
      </c>
      <c r="N46" s="1">
        <v>12580</v>
      </c>
      <c r="O46" s="1">
        <v>52267.24</v>
      </c>
      <c r="P46" s="1">
        <v>2023</v>
      </c>
      <c r="Q46" s="1" t="s">
        <v>39</v>
      </c>
      <c r="R46" s="1" t="s">
        <v>40</v>
      </c>
    </row>
    <row r="47" spans="1:18" x14ac:dyDescent="0.35">
      <c r="A47" s="3" t="s">
        <v>87</v>
      </c>
      <c r="B47" s="3"/>
      <c r="C47" s="1" t="s">
        <v>35</v>
      </c>
      <c r="D47" s="1" t="s">
        <v>29</v>
      </c>
      <c r="E47" s="1" t="s">
        <v>21</v>
      </c>
      <c r="F47" s="1" t="s">
        <v>30</v>
      </c>
      <c r="G47" s="1" t="s">
        <v>44</v>
      </c>
      <c r="H47" s="2">
        <v>44969</v>
      </c>
      <c r="I47" s="2">
        <v>44974</v>
      </c>
      <c r="J47" s="1">
        <v>29063.21</v>
      </c>
      <c r="K47" s="1">
        <v>0.47899999999999998</v>
      </c>
      <c r="L47" s="1">
        <v>13921.28</v>
      </c>
      <c r="M47" s="1">
        <v>584122</v>
      </c>
      <c r="N47" s="1">
        <v>5678</v>
      </c>
      <c r="O47" s="1">
        <v>79649.33</v>
      </c>
      <c r="P47" s="1">
        <v>2023</v>
      </c>
      <c r="Q47" s="1" t="s">
        <v>39</v>
      </c>
      <c r="R47" s="1" t="s">
        <v>40</v>
      </c>
    </row>
    <row r="48" spans="1:18" x14ac:dyDescent="0.35">
      <c r="A48" s="3" t="s">
        <v>91</v>
      </c>
      <c r="B48" s="3"/>
      <c r="C48" s="1" t="s">
        <v>48</v>
      </c>
      <c r="D48" s="1" t="s">
        <v>36</v>
      </c>
      <c r="E48" s="1" t="s">
        <v>37</v>
      </c>
      <c r="F48" s="1" t="s">
        <v>22</v>
      </c>
      <c r="G48" s="1" t="s">
        <v>31</v>
      </c>
      <c r="H48" s="2">
        <v>44970</v>
      </c>
      <c r="I48" s="2">
        <v>45027</v>
      </c>
      <c r="J48" s="1">
        <v>41486.17</v>
      </c>
      <c r="K48" s="1">
        <v>1.0032000000000001</v>
      </c>
      <c r="L48" s="1">
        <v>41618.93</v>
      </c>
      <c r="M48" s="1">
        <v>328677</v>
      </c>
      <c r="N48" s="1">
        <v>32481</v>
      </c>
      <c r="O48" s="1">
        <v>142023.85999999999</v>
      </c>
      <c r="P48" s="1">
        <v>2023</v>
      </c>
      <c r="Q48" s="1" t="s">
        <v>39</v>
      </c>
      <c r="R48" s="1" t="s">
        <v>40</v>
      </c>
    </row>
    <row r="49" spans="1:18" x14ac:dyDescent="0.35">
      <c r="A49" s="3" t="s">
        <v>94</v>
      </c>
      <c r="B49" s="3"/>
      <c r="C49" s="1" t="s">
        <v>48</v>
      </c>
      <c r="D49" s="1" t="s">
        <v>69</v>
      </c>
      <c r="E49" s="1" t="s">
        <v>37</v>
      </c>
      <c r="F49" s="1" t="s">
        <v>30</v>
      </c>
      <c r="G49" s="1" t="s">
        <v>31</v>
      </c>
      <c r="H49" s="2">
        <v>44971</v>
      </c>
      <c r="I49" s="2">
        <v>44980</v>
      </c>
      <c r="J49" s="1">
        <v>44387.54</v>
      </c>
      <c r="K49" s="1">
        <v>0.49919999999999998</v>
      </c>
      <c r="L49" s="1">
        <v>22158.26</v>
      </c>
      <c r="M49" s="1">
        <v>814829</v>
      </c>
      <c r="N49" s="1">
        <v>39347</v>
      </c>
      <c r="O49" s="1">
        <v>127396.13</v>
      </c>
      <c r="P49" s="1">
        <v>2023</v>
      </c>
      <c r="Q49" s="1" t="s">
        <v>39</v>
      </c>
      <c r="R49" s="1" t="s">
        <v>40</v>
      </c>
    </row>
    <row r="50" spans="1:18" x14ac:dyDescent="0.35">
      <c r="A50" s="3" t="s">
        <v>84</v>
      </c>
      <c r="B50" s="3"/>
      <c r="C50" s="1" t="s">
        <v>28</v>
      </c>
      <c r="D50" s="1" t="s">
        <v>20</v>
      </c>
      <c r="E50" s="1" t="s">
        <v>37</v>
      </c>
      <c r="F50" s="1" t="s">
        <v>22</v>
      </c>
      <c r="G50" s="1" t="s">
        <v>23</v>
      </c>
      <c r="H50" s="2">
        <v>44972</v>
      </c>
      <c r="I50" s="2">
        <v>44977</v>
      </c>
      <c r="J50" s="1">
        <v>17344.27</v>
      </c>
      <c r="K50" s="1">
        <v>0.16569999999999999</v>
      </c>
      <c r="L50" s="1">
        <v>2873.95</v>
      </c>
      <c r="M50" s="1">
        <v>284680</v>
      </c>
      <c r="N50" s="1">
        <v>10689</v>
      </c>
      <c r="O50" s="1">
        <v>186601.57</v>
      </c>
      <c r="P50" s="1">
        <v>2023</v>
      </c>
      <c r="Q50" s="1" t="s">
        <v>39</v>
      </c>
      <c r="R50" s="1" t="s">
        <v>40</v>
      </c>
    </row>
    <row r="51" spans="1:18" x14ac:dyDescent="0.35">
      <c r="A51" s="3" t="s">
        <v>57</v>
      </c>
      <c r="B51" s="3"/>
      <c r="C51" s="1" t="s">
        <v>19</v>
      </c>
      <c r="D51" s="1" t="s">
        <v>29</v>
      </c>
      <c r="E51" s="1" t="s">
        <v>21</v>
      </c>
      <c r="F51" s="1" t="s">
        <v>30</v>
      </c>
      <c r="G51" s="1" t="s">
        <v>49</v>
      </c>
      <c r="H51" s="2">
        <v>44973</v>
      </c>
      <c r="I51" s="2">
        <v>45014</v>
      </c>
      <c r="J51" s="1">
        <v>3978.88</v>
      </c>
      <c r="K51" s="1">
        <v>1.1672</v>
      </c>
      <c r="L51" s="1">
        <v>4644.1499999999996</v>
      </c>
      <c r="M51" s="1">
        <v>209429</v>
      </c>
      <c r="N51" s="1">
        <v>48643</v>
      </c>
      <c r="O51" s="1">
        <v>204560.71</v>
      </c>
      <c r="P51" s="1">
        <v>2023</v>
      </c>
      <c r="Q51" s="1" t="s">
        <v>39</v>
      </c>
      <c r="R51" s="1" t="s">
        <v>40</v>
      </c>
    </row>
    <row r="52" spans="1:18" x14ac:dyDescent="0.35">
      <c r="A52" s="3" t="s">
        <v>117</v>
      </c>
      <c r="B52" s="3"/>
      <c r="C52" s="1" t="s">
        <v>19</v>
      </c>
      <c r="D52" s="1" t="s">
        <v>69</v>
      </c>
      <c r="E52" s="1" t="s">
        <v>21</v>
      </c>
      <c r="F52" s="1" t="s">
        <v>22</v>
      </c>
      <c r="G52" s="1" t="s">
        <v>52</v>
      </c>
      <c r="H52" s="2">
        <v>44973</v>
      </c>
      <c r="I52" s="2">
        <v>45005</v>
      </c>
      <c r="J52" s="1">
        <v>17881.91</v>
      </c>
      <c r="K52" s="1">
        <v>8.5900000000000004E-2</v>
      </c>
      <c r="L52" s="1">
        <v>1536.06</v>
      </c>
      <c r="M52" s="1">
        <v>73182</v>
      </c>
      <c r="N52" s="1">
        <v>4623</v>
      </c>
      <c r="O52" s="1">
        <v>246603.63</v>
      </c>
      <c r="P52" s="1">
        <v>2023</v>
      </c>
      <c r="Q52" s="1" t="s">
        <v>39</v>
      </c>
      <c r="R52" s="1" t="s">
        <v>40</v>
      </c>
    </row>
    <row r="53" spans="1:18" x14ac:dyDescent="0.35">
      <c r="A53" s="3" t="s">
        <v>50</v>
      </c>
      <c r="B53" s="3"/>
      <c r="C53" s="1" t="s">
        <v>48</v>
      </c>
      <c r="D53" s="1" t="s">
        <v>69</v>
      </c>
      <c r="E53" s="1" t="s">
        <v>43</v>
      </c>
      <c r="F53" s="1" t="s">
        <v>38</v>
      </c>
      <c r="G53" s="1" t="s">
        <v>52</v>
      </c>
      <c r="H53" s="2">
        <v>44973</v>
      </c>
      <c r="I53" s="2">
        <v>44980</v>
      </c>
      <c r="J53" s="1">
        <v>7714.78</v>
      </c>
      <c r="K53" s="1">
        <v>0.40629999999999999</v>
      </c>
      <c r="L53" s="1">
        <v>3134.52</v>
      </c>
      <c r="M53" s="1">
        <v>506756</v>
      </c>
      <c r="N53" s="1">
        <v>34134</v>
      </c>
      <c r="O53" s="1">
        <v>116962.2</v>
      </c>
      <c r="P53" s="1">
        <v>2023</v>
      </c>
      <c r="Q53" s="1" t="s">
        <v>39</v>
      </c>
      <c r="R53" s="1" t="s">
        <v>40</v>
      </c>
    </row>
    <row r="54" spans="1:18" x14ac:dyDescent="0.35">
      <c r="A54" s="3" t="s">
        <v>88</v>
      </c>
      <c r="B54" s="3"/>
      <c r="C54" s="1" t="s">
        <v>48</v>
      </c>
      <c r="D54" s="1" t="s">
        <v>36</v>
      </c>
      <c r="E54" s="1" t="s">
        <v>51</v>
      </c>
      <c r="F54" s="1" t="s">
        <v>38</v>
      </c>
      <c r="G54" s="1" t="s">
        <v>52</v>
      </c>
      <c r="H54" s="2">
        <v>44974</v>
      </c>
      <c r="I54" s="2">
        <v>45027</v>
      </c>
      <c r="J54" s="1">
        <v>31185.37</v>
      </c>
      <c r="K54" s="1">
        <v>0.23499999999999999</v>
      </c>
      <c r="L54" s="1">
        <v>7328.56</v>
      </c>
      <c r="M54" s="1">
        <v>571479</v>
      </c>
      <c r="N54" s="1">
        <v>19379</v>
      </c>
      <c r="O54" s="1">
        <v>198449.01</v>
      </c>
      <c r="P54" s="1">
        <v>2023</v>
      </c>
      <c r="Q54" s="1" t="s">
        <v>39</v>
      </c>
      <c r="R54" s="1" t="s">
        <v>40</v>
      </c>
    </row>
    <row r="55" spans="1:18" x14ac:dyDescent="0.35">
      <c r="A55" s="3" t="s">
        <v>104</v>
      </c>
      <c r="B55" s="3"/>
      <c r="C55" s="1" t="s">
        <v>28</v>
      </c>
      <c r="D55" s="1" t="s">
        <v>20</v>
      </c>
      <c r="E55" s="1" t="s">
        <v>51</v>
      </c>
      <c r="F55" s="1" t="s">
        <v>22</v>
      </c>
      <c r="G55" s="1" t="s">
        <v>52</v>
      </c>
      <c r="H55" s="2">
        <v>44974</v>
      </c>
      <c r="I55" s="2">
        <v>44999</v>
      </c>
      <c r="J55" s="1">
        <v>40011.03</v>
      </c>
      <c r="K55" s="1">
        <v>0.35909999999999997</v>
      </c>
      <c r="L55" s="1">
        <v>14367.96</v>
      </c>
      <c r="M55" s="1">
        <v>403049</v>
      </c>
      <c r="N55" s="1">
        <v>28325</v>
      </c>
      <c r="O55" s="1">
        <v>40664.6</v>
      </c>
      <c r="P55" s="1">
        <v>2023</v>
      </c>
      <c r="Q55" s="1" t="s">
        <v>39</v>
      </c>
      <c r="R55" s="1" t="s">
        <v>40</v>
      </c>
    </row>
    <row r="56" spans="1:18" x14ac:dyDescent="0.35">
      <c r="A56" s="3" t="s">
        <v>62</v>
      </c>
      <c r="B56" s="3"/>
      <c r="C56" s="1" t="s">
        <v>48</v>
      </c>
      <c r="D56" s="1" t="s">
        <v>36</v>
      </c>
      <c r="E56" s="1" t="s">
        <v>59</v>
      </c>
      <c r="F56" s="1" t="s">
        <v>30</v>
      </c>
      <c r="G56" s="1" t="s">
        <v>31</v>
      </c>
      <c r="H56" s="2">
        <v>44975</v>
      </c>
      <c r="I56" s="2">
        <v>45032</v>
      </c>
      <c r="J56" s="1">
        <v>1509.41</v>
      </c>
      <c r="K56" s="1">
        <v>0.1351</v>
      </c>
      <c r="L56" s="1">
        <v>203.92</v>
      </c>
      <c r="M56" s="1">
        <v>348542</v>
      </c>
      <c r="N56" s="1">
        <v>45162</v>
      </c>
      <c r="O56" s="1">
        <v>182442.07</v>
      </c>
      <c r="P56" s="1">
        <v>2023</v>
      </c>
      <c r="Q56" s="1" t="s">
        <v>39</v>
      </c>
      <c r="R56" s="1" t="s">
        <v>40</v>
      </c>
    </row>
    <row r="57" spans="1:18" x14ac:dyDescent="0.35">
      <c r="A57" s="3" t="s">
        <v>105</v>
      </c>
      <c r="B57" s="3"/>
      <c r="C57" s="1" t="s">
        <v>35</v>
      </c>
      <c r="D57" s="1" t="s">
        <v>20</v>
      </c>
      <c r="E57" s="1" t="s">
        <v>21</v>
      </c>
      <c r="F57" s="1" t="s">
        <v>22</v>
      </c>
      <c r="G57" s="1" t="s">
        <v>49</v>
      </c>
      <c r="H57" s="2">
        <v>44976</v>
      </c>
      <c r="I57" s="2">
        <v>45005</v>
      </c>
      <c r="J57" s="1">
        <v>22472.79</v>
      </c>
      <c r="K57" s="1">
        <v>0.50939999999999996</v>
      </c>
      <c r="L57" s="1">
        <v>11447.64</v>
      </c>
      <c r="M57" s="1">
        <v>184418</v>
      </c>
      <c r="N57" s="1">
        <v>27233</v>
      </c>
      <c r="O57" s="1">
        <v>125805.09</v>
      </c>
      <c r="P57" s="1">
        <v>2023</v>
      </c>
      <c r="Q57" s="1" t="s">
        <v>39</v>
      </c>
      <c r="R57" s="1" t="s">
        <v>40</v>
      </c>
    </row>
    <row r="58" spans="1:18" x14ac:dyDescent="0.35">
      <c r="A58" s="3" t="s">
        <v>119</v>
      </c>
      <c r="B58" s="3"/>
      <c r="C58" s="1" t="s">
        <v>48</v>
      </c>
      <c r="D58" s="1" t="s">
        <v>20</v>
      </c>
      <c r="E58" s="1" t="s">
        <v>63</v>
      </c>
      <c r="F58" s="1" t="s">
        <v>30</v>
      </c>
      <c r="G58" s="1" t="s">
        <v>49</v>
      </c>
      <c r="H58" s="2">
        <v>44977</v>
      </c>
      <c r="I58" s="2">
        <v>45033</v>
      </c>
      <c r="J58" s="1">
        <v>25202.78</v>
      </c>
      <c r="K58" s="1">
        <v>6.5699999999999995E-2</v>
      </c>
      <c r="L58" s="1">
        <v>1655.82</v>
      </c>
      <c r="M58" s="1">
        <v>297745</v>
      </c>
      <c r="N58" s="1">
        <v>27706</v>
      </c>
      <c r="O58" s="1">
        <v>34218.46</v>
      </c>
      <c r="P58" s="1">
        <v>2023</v>
      </c>
      <c r="Q58" s="1" t="s">
        <v>39</v>
      </c>
      <c r="R58" s="1" t="s">
        <v>40</v>
      </c>
    </row>
    <row r="59" spans="1:18" x14ac:dyDescent="0.35">
      <c r="A59" s="3" t="s">
        <v>77</v>
      </c>
      <c r="B59" s="3"/>
      <c r="C59" s="1" t="s">
        <v>19</v>
      </c>
      <c r="D59" s="1" t="s">
        <v>29</v>
      </c>
      <c r="E59" s="1" t="s">
        <v>21</v>
      </c>
      <c r="F59" s="1" t="s">
        <v>38</v>
      </c>
      <c r="G59" s="1" t="s">
        <v>49</v>
      </c>
      <c r="H59" s="2">
        <v>44978</v>
      </c>
      <c r="I59" s="2">
        <v>45026</v>
      </c>
      <c r="J59" s="1">
        <v>36847.35</v>
      </c>
      <c r="K59" s="1">
        <v>0.47749999999999998</v>
      </c>
      <c r="L59" s="1">
        <v>17594.61</v>
      </c>
      <c r="M59" s="1">
        <v>477262</v>
      </c>
      <c r="N59" s="1">
        <v>49438</v>
      </c>
      <c r="O59" s="1">
        <v>150807.39000000001</v>
      </c>
      <c r="P59" s="1">
        <v>2023</v>
      </c>
      <c r="Q59" s="1" t="s">
        <v>39</v>
      </c>
      <c r="R59" s="1" t="s">
        <v>40</v>
      </c>
    </row>
    <row r="60" spans="1:18" x14ac:dyDescent="0.35">
      <c r="A60" s="3" t="s">
        <v>72</v>
      </c>
      <c r="B60" s="3"/>
      <c r="C60" s="1" t="s">
        <v>19</v>
      </c>
      <c r="D60" s="1" t="s">
        <v>20</v>
      </c>
      <c r="E60" s="1" t="s">
        <v>51</v>
      </c>
      <c r="F60" s="1" t="s">
        <v>22</v>
      </c>
      <c r="G60" s="1" t="s">
        <v>52</v>
      </c>
      <c r="H60" s="2">
        <v>44979</v>
      </c>
      <c r="I60" s="2">
        <v>44991</v>
      </c>
      <c r="J60" s="1">
        <v>19764.79</v>
      </c>
      <c r="K60" s="1">
        <v>0.56379999999999997</v>
      </c>
      <c r="L60" s="1">
        <v>11143.39</v>
      </c>
      <c r="M60" s="1">
        <v>52859</v>
      </c>
      <c r="N60" s="1">
        <v>24058</v>
      </c>
      <c r="O60" s="1">
        <v>94776.08</v>
      </c>
      <c r="P60" s="1">
        <v>2023</v>
      </c>
      <c r="Q60" s="1" t="s">
        <v>39</v>
      </c>
      <c r="R60" s="1" t="s">
        <v>40</v>
      </c>
    </row>
    <row r="61" spans="1:18" x14ac:dyDescent="0.35">
      <c r="A61" s="3" t="s">
        <v>95</v>
      </c>
      <c r="B61" s="3"/>
      <c r="C61" s="1" t="s">
        <v>35</v>
      </c>
      <c r="D61" s="1" t="s">
        <v>20</v>
      </c>
      <c r="E61" s="1" t="s">
        <v>43</v>
      </c>
      <c r="F61" s="1" t="s">
        <v>22</v>
      </c>
      <c r="G61" s="1" t="s">
        <v>49</v>
      </c>
      <c r="H61" s="2">
        <v>44980</v>
      </c>
      <c r="I61" s="2">
        <v>44993</v>
      </c>
      <c r="J61" s="1">
        <v>37344.18</v>
      </c>
      <c r="K61" s="1">
        <v>0.63600000000000001</v>
      </c>
      <c r="L61" s="1">
        <v>23750.9</v>
      </c>
      <c r="M61" s="1">
        <v>791886</v>
      </c>
      <c r="N61" s="1">
        <v>4265</v>
      </c>
      <c r="O61" s="1">
        <v>121680.26</v>
      </c>
      <c r="P61" s="1">
        <v>2023</v>
      </c>
      <c r="Q61" s="1" t="s">
        <v>39</v>
      </c>
      <c r="R61" s="1" t="s">
        <v>40</v>
      </c>
    </row>
    <row r="62" spans="1:18" x14ac:dyDescent="0.35">
      <c r="A62" s="3" t="s">
        <v>64</v>
      </c>
      <c r="B62" s="3"/>
      <c r="C62" s="1" t="s">
        <v>19</v>
      </c>
      <c r="D62" s="1" t="s">
        <v>36</v>
      </c>
      <c r="E62" s="1" t="s">
        <v>51</v>
      </c>
      <c r="F62" s="1" t="s">
        <v>38</v>
      </c>
      <c r="G62" s="1" t="s">
        <v>31</v>
      </c>
      <c r="H62" s="2">
        <v>44981</v>
      </c>
      <c r="I62" s="2">
        <v>44998</v>
      </c>
      <c r="J62" s="1">
        <v>6521.28</v>
      </c>
      <c r="K62" s="1">
        <v>0.18759999999999999</v>
      </c>
      <c r="L62" s="1">
        <v>1223.3900000000001</v>
      </c>
      <c r="M62" s="1">
        <v>894769</v>
      </c>
      <c r="N62" s="1">
        <v>31191</v>
      </c>
      <c r="O62" s="1">
        <v>126891.14</v>
      </c>
      <c r="P62" s="1">
        <v>2023</v>
      </c>
      <c r="Q62" s="1" t="s">
        <v>39</v>
      </c>
      <c r="R62" s="1" t="s">
        <v>40</v>
      </c>
    </row>
    <row r="63" spans="1:18" x14ac:dyDescent="0.35">
      <c r="A63" s="3" t="s">
        <v>109</v>
      </c>
      <c r="B63" s="3"/>
      <c r="C63" s="1" t="s">
        <v>28</v>
      </c>
      <c r="D63" s="1" t="s">
        <v>58</v>
      </c>
      <c r="E63" s="1" t="s">
        <v>37</v>
      </c>
      <c r="F63" s="1" t="s">
        <v>38</v>
      </c>
      <c r="G63" s="1" t="s">
        <v>23</v>
      </c>
      <c r="H63" s="2">
        <v>44981</v>
      </c>
      <c r="I63" s="2">
        <v>44998</v>
      </c>
      <c r="J63" s="1">
        <v>8282.42</v>
      </c>
      <c r="K63" s="1">
        <v>0.28349999999999997</v>
      </c>
      <c r="L63" s="1">
        <v>2348.0700000000002</v>
      </c>
      <c r="M63" s="1">
        <v>47604</v>
      </c>
      <c r="N63" s="1">
        <v>30918</v>
      </c>
      <c r="O63" s="1">
        <v>68754.87</v>
      </c>
      <c r="P63" s="1">
        <v>2023</v>
      </c>
      <c r="Q63" s="1" t="s">
        <v>39</v>
      </c>
      <c r="R63" s="1" t="s">
        <v>40</v>
      </c>
    </row>
    <row r="64" spans="1:18" x14ac:dyDescent="0.35">
      <c r="A64" s="3" t="s">
        <v>86</v>
      </c>
      <c r="B64" s="3"/>
      <c r="C64" s="1" t="s">
        <v>48</v>
      </c>
      <c r="D64" s="1" t="s">
        <v>69</v>
      </c>
      <c r="E64" s="1" t="s">
        <v>59</v>
      </c>
      <c r="F64" s="1" t="s">
        <v>22</v>
      </c>
      <c r="G64" s="1" t="s">
        <v>52</v>
      </c>
      <c r="H64" s="2">
        <v>44982</v>
      </c>
      <c r="I64" s="2">
        <v>45031</v>
      </c>
      <c r="J64" s="1">
        <v>6194.48</v>
      </c>
      <c r="K64" s="1">
        <v>0.70209999999999995</v>
      </c>
      <c r="L64" s="1">
        <v>4349.1400000000003</v>
      </c>
      <c r="M64" s="1">
        <v>509988</v>
      </c>
      <c r="N64" s="1">
        <v>39023</v>
      </c>
      <c r="O64" s="1">
        <v>218266.86</v>
      </c>
      <c r="P64" s="1">
        <v>2023</v>
      </c>
      <c r="Q64" s="1" t="s">
        <v>39</v>
      </c>
      <c r="R64" s="1" t="s">
        <v>40</v>
      </c>
    </row>
    <row r="65" spans="1:18" x14ac:dyDescent="0.35">
      <c r="A65" s="3" t="s">
        <v>99</v>
      </c>
      <c r="B65" s="3"/>
      <c r="C65" s="1" t="s">
        <v>19</v>
      </c>
      <c r="D65" s="1" t="s">
        <v>69</v>
      </c>
      <c r="E65" s="1" t="s">
        <v>37</v>
      </c>
      <c r="F65" s="1" t="s">
        <v>22</v>
      </c>
      <c r="G65" s="1" t="s">
        <v>49</v>
      </c>
      <c r="H65" s="2">
        <v>44984</v>
      </c>
      <c r="I65" s="2">
        <v>44999</v>
      </c>
      <c r="J65" s="1">
        <v>13654.72</v>
      </c>
      <c r="K65" s="1">
        <v>0.22420000000000001</v>
      </c>
      <c r="L65" s="1">
        <v>3061.39</v>
      </c>
      <c r="M65" s="1">
        <v>435151</v>
      </c>
      <c r="N65" s="1">
        <v>39379</v>
      </c>
      <c r="O65" s="1">
        <v>242464.7</v>
      </c>
      <c r="P65" s="1">
        <v>2023</v>
      </c>
      <c r="Q65" s="1" t="s">
        <v>39</v>
      </c>
      <c r="R65" s="1" t="s">
        <v>40</v>
      </c>
    </row>
    <row r="66" spans="1:18" x14ac:dyDescent="0.35">
      <c r="A66" s="3" t="s">
        <v>81</v>
      </c>
      <c r="B66" s="3"/>
      <c r="C66" s="1" t="s">
        <v>48</v>
      </c>
      <c r="D66" s="1" t="s">
        <v>69</v>
      </c>
      <c r="E66" s="1" t="s">
        <v>59</v>
      </c>
      <c r="F66" s="1" t="s">
        <v>30</v>
      </c>
      <c r="G66" s="1" t="s">
        <v>49</v>
      </c>
      <c r="H66" s="2">
        <v>44985</v>
      </c>
      <c r="I66" s="2">
        <v>44998</v>
      </c>
      <c r="J66" s="1">
        <v>22489.24</v>
      </c>
      <c r="K66" s="1">
        <v>0.3463</v>
      </c>
      <c r="L66" s="1">
        <v>7788.02</v>
      </c>
      <c r="M66" s="1">
        <v>339384</v>
      </c>
      <c r="N66" s="1">
        <v>23015</v>
      </c>
      <c r="O66" s="1">
        <v>152591.92000000001</v>
      </c>
      <c r="P66" s="1">
        <v>2023</v>
      </c>
      <c r="Q66" s="1" t="s">
        <v>39</v>
      </c>
      <c r="R66" s="1" t="s">
        <v>40</v>
      </c>
    </row>
    <row r="67" spans="1:18" x14ac:dyDescent="0.35">
      <c r="A67" s="3" t="s">
        <v>83</v>
      </c>
      <c r="B67" s="3"/>
      <c r="C67" s="1" t="s">
        <v>48</v>
      </c>
      <c r="D67" s="1" t="s">
        <v>69</v>
      </c>
      <c r="E67" s="1" t="s">
        <v>51</v>
      </c>
      <c r="F67" s="1" t="s">
        <v>22</v>
      </c>
      <c r="G67" s="1" t="s">
        <v>49</v>
      </c>
      <c r="H67" s="2">
        <v>44986</v>
      </c>
      <c r="I67" s="2">
        <v>45026</v>
      </c>
      <c r="J67" s="1">
        <v>21221.200000000001</v>
      </c>
      <c r="K67" s="1">
        <v>0.50560000000000005</v>
      </c>
      <c r="L67" s="1">
        <v>10729.44</v>
      </c>
      <c r="M67" s="1">
        <v>565736</v>
      </c>
      <c r="N67" s="1">
        <v>8887</v>
      </c>
      <c r="O67" s="1">
        <v>100162.67</v>
      </c>
      <c r="P67" s="1">
        <v>2023</v>
      </c>
      <c r="Q67" s="1" t="s">
        <v>60</v>
      </c>
      <c r="R67" s="1" t="s">
        <v>40</v>
      </c>
    </row>
    <row r="68" spans="1:18" x14ac:dyDescent="0.35">
      <c r="A68" s="3" t="s">
        <v>70</v>
      </c>
      <c r="B68" s="3"/>
      <c r="C68" s="1" t="s">
        <v>48</v>
      </c>
      <c r="D68" s="1" t="s">
        <v>29</v>
      </c>
      <c r="E68" s="1" t="s">
        <v>21</v>
      </c>
      <c r="F68" s="1" t="s">
        <v>22</v>
      </c>
      <c r="G68" s="1" t="s">
        <v>49</v>
      </c>
      <c r="H68" s="2">
        <v>44988</v>
      </c>
      <c r="I68" s="2">
        <v>45010</v>
      </c>
      <c r="J68" s="1">
        <v>42874.14</v>
      </c>
      <c r="K68" s="1">
        <v>0.46689999999999998</v>
      </c>
      <c r="L68" s="1">
        <v>20017.939999999999</v>
      </c>
      <c r="M68" s="1">
        <v>29764</v>
      </c>
      <c r="N68" s="1">
        <v>25173</v>
      </c>
      <c r="O68" s="1">
        <v>99242.5</v>
      </c>
      <c r="P68" s="1">
        <v>2023</v>
      </c>
      <c r="Q68" s="1" t="s">
        <v>60</v>
      </c>
      <c r="R68" s="1" t="s">
        <v>40</v>
      </c>
    </row>
    <row r="69" spans="1:18" x14ac:dyDescent="0.35">
      <c r="A69" s="3" t="s">
        <v>113</v>
      </c>
      <c r="B69" s="3"/>
      <c r="C69" s="1" t="s">
        <v>19</v>
      </c>
      <c r="D69" s="1" t="s">
        <v>58</v>
      </c>
      <c r="E69" s="1" t="s">
        <v>63</v>
      </c>
      <c r="F69" s="1" t="s">
        <v>38</v>
      </c>
      <c r="G69" s="1" t="s">
        <v>52</v>
      </c>
      <c r="H69" s="2">
        <v>44990</v>
      </c>
      <c r="I69" s="2">
        <v>45046</v>
      </c>
      <c r="J69" s="1">
        <v>18713.150000000001</v>
      </c>
      <c r="K69" s="1">
        <v>0.52180000000000004</v>
      </c>
      <c r="L69" s="1">
        <v>9764.52</v>
      </c>
      <c r="M69" s="1">
        <v>506405</v>
      </c>
      <c r="N69" s="1">
        <v>14086</v>
      </c>
      <c r="O69" s="1">
        <v>18248.990000000002</v>
      </c>
      <c r="P69" s="1">
        <v>2023</v>
      </c>
      <c r="Q69" s="1" t="s">
        <v>60</v>
      </c>
      <c r="R69" s="1" t="s">
        <v>40</v>
      </c>
    </row>
    <row r="70" spans="1:18" x14ac:dyDescent="0.35">
      <c r="A70" s="3" t="s">
        <v>86</v>
      </c>
      <c r="B70" s="3"/>
      <c r="C70" s="1" t="s">
        <v>28</v>
      </c>
      <c r="D70" s="1" t="s">
        <v>20</v>
      </c>
      <c r="E70" s="1" t="s">
        <v>43</v>
      </c>
      <c r="F70" s="1" t="s">
        <v>30</v>
      </c>
      <c r="G70" s="1" t="s">
        <v>49</v>
      </c>
      <c r="H70" s="2">
        <v>44992</v>
      </c>
      <c r="I70" s="2">
        <v>45042</v>
      </c>
      <c r="J70" s="1">
        <v>45535.15</v>
      </c>
      <c r="K70" s="1">
        <v>0.95630000000000004</v>
      </c>
      <c r="L70" s="1">
        <v>43545.26</v>
      </c>
      <c r="M70" s="1">
        <v>203871</v>
      </c>
      <c r="N70" s="1">
        <v>26663</v>
      </c>
      <c r="O70" s="1">
        <v>204152.64</v>
      </c>
      <c r="P70" s="1">
        <v>2023</v>
      </c>
      <c r="Q70" s="1" t="s">
        <v>60</v>
      </c>
      <c r="R70" s="1" t="s">
        <v>40</v>
      </c>
    </row>
    <row r="71" spans="1:18" x14ac:dyDescent="0.35">
      <c r="A71" s="3" t="s">
        <v>78</v>
      </c>
      <c r="B71" s="3"/>
      <c r="C71" s="1" t="s">
        <v>19</v>
      </c>
      <c r="D71" s="1" t="s">
        <v>69</v>
      </c>
      <c r="E71" s="1" t="s">
        <v>43</v>
      </c>
      <c r="F71" s="1" t="s">
        <v>22</v>
      </c>
      <c r="G71" s="1" t="s">
        <v>23</v>
      </c>
      <c r="H71" s="2">
        <v>44992</v>
      </c>
      <c r="I71" s="2">
        <v>45027</v>
      </c>
      <c r="J71" s="1">
        <v>27873.25</v>
      </c>
      <c r="K71" s="1">
        <v>4.1399999999999999E-2</v>
      </c>
      <c r="L71" s="1">
        <v>1153.95</v>
      </c>
      <c r="M71" s="1">
        <v>426297</v>
      </c>
      <c r="N71" s="1">
        <v>34439</v>
      </c>
      <c r="O71" s="1">
        <v>192424.11</v>
      </c>
      <c r="P71" s="1">
        <v>2023</v>
      </c>
      <c r="Q71" s="1" t="s">
        <v>60</v>
      </c>
      <c r="R71" s="1" t="s">
        <v>40</v>
      </c>
    </row>
    <row r="72" spans="1:18" x14ac:dyDescent="0.35">
      <c r="A72" s="3" t="s">
        <v>86</v>
      </c>
      <c r="B72" s="3"/>
      <c r="C72" s="1" t="s">
        <v>48</v>
      </c>
      <c r="D72" s="1" t="s">
        <v>29</v>
      </c>
      <c r="E72" s="1" t="s">
        <v>59</v>
      </c>
      <c r="F72" s="1" t="s">
        <v>22</v>
      </c>
      <c r="G72" s="1" t="s">
        <v>52</v>
      </c>
      <c r="H72" s="2">
        <v>44994</v>
      </c>
      <c r="I72" s="2">
        <v>45018</v>
      </c>
      <c r="J72" s="1">
        <v>35768.9</v>
      </c>
      <c r="K72" s="1">
        <v>0.49</v>
      </c>
      <c r="L72" s="1">
        <v>17526.759999999998</v>
      </c>
      <c r="M72" s="1">
        <v>828430</v>
      </c>
      <c r="N72" s="1">
        <v>34459</v>
      </c>
      <c r="O72" s="1">
        <v>220436.48000000001</v>
      </c>
      <c r="P72" s="1">
        <v>2023</v>
      </c>
      <c r="Q72" s="1" t="s">
        <v>60</v>
      </c>
      <c r="R72" s="1" t="s">
        <v>40</v>
      </c>
    </row>
    <row r="73" spans="1:18" x14ac:dyDescent="0.35">
      <c r="A73" s="3" t="s">
        <v>57</v>
      </c>
      <c r="B73" s="3"/>
      <c r="C73" s="1" t="s">
        <v>28</v>
      </c>
      <c r="D73" s="1" t="s">
        <v>58</v>
      </c>
      <c r="E73" s="1" t="s">
        <v>59</v>
      </c>
      <c r="F73" s="1" t="s">
        <v>38</v>
      </c>
      <c r="G73" s="1" t="s">
        <v>52</v>
      </c>
      <c r="H73" s="2">
        <v>44994</v>
      </c>
      <c r="I73" s="2">
        <v>45012</v>
      </c>
      <c r="J73" s="1">
        <v>45743.67</v>
      </c>
      <c r="K73" s="1">
        <v>0.68489999999999995</v>
      </c>
      <c r="L73" s="1">
        <v>31329.84</v>
      </c>
      <c r="M73" s="1">
        <v>762787</v>
      </c>
      <c r="N73" s="1">
        <v>20722</v>
      </c>
      <c r="O73" s="1">
        <v>57093.5</v>
      </c>
      <c r="P73" s="1">
        <v>2023</v>
      </c>
      <c r="Q73" s="1" t="s">
        <v>60</v>
      </c>
      <c r="R73" s="1" t="s">
        <v>40</v>
      </c>
    </row>
    <row r="74" spans="1:18" x14ac:dyDescent="0.35">
      <c r="A74" s="3" t="s">
        <v>107</v>
      </c>
      <c r="B74" s="3"/>
      <c r="C74" s="1" t="s">
        <v>28</v>
      </c>
      <c r="D74" s="1" t="s">
        <v>29</v>
      </c>
      <c r="E74" s="1" t="s">
        <v>43</v>
      </c>
      <c r="F74" s="1" t="s">
        <v>30</v>
      </c>
      <c r="G74" s="1" t="s">
        <v>44</v>
      </c>
      <c r="H74" s="2">
        <v>44994</v>
      </c>
      <c r="I74" s="2">
        <v>45005</v>
      </c>
      <c r="J74" s="1">
        <v>34200.660000000003</v>
      </c>
      <c r="K74" s="1">
        <v>0.67549999999999999</v>
      </c>
      <c r="L74" s="1">
        <v>23102.55</v>
      </c>
      <c r="M74" s="1">
        <v>319242</v>
      </c>
      <c r="N74" s="1">
        <v>25099</v>
      </c>
      <c r="O74" s="1">
        <v>103412.35</v>
      </c>
      <c r="P74" s="1">
        <v>2023</v>
      </c>
      <c r="Q74" s="1" t="s">
        <v>60</v>
      </c>
      <c r="R74" s="1" t="s">
        <v>40</v>
      </c>
    </row>
    <row r="75" spans="1:18" x14ac:dyDescent="0.35">
      <c r="A75" s="3" t="s">
        <v>94</v>
      </c>
      <c r="B75" s="3"/>
      <c r="C75" s="1" t="s">
        <v>28</v>
      </c>
      <c r="D75" s="1" t="s">
        <v>36</v>
      </c>
      <c r="E75" s="1" t="s">
        <v>43</v>
      </c>
      <c r="F75" s="1" t="s">
        <v>38</v>
      </c>
      <c r="G75" s="1" t="s">
        <v>49</v>
      </c>
      <c r="H75" s="2">
        <v>44995</v>
      </c>
      <c r="I75" s="2">
        <v>45000</v>
      </c>
      <c r="J75" s="1">
        <v>8498.08</v>
      </c>
      <c r="K75" s="1">
        <v>1.0570999999999999</v>
      </c>
      <c r="L75" s="1">
        <v>8983.32</v>
      </c>
      <c r="M75" s="1">
        <v>555073</v>
      </c>
      <c r="N75" s="1">
        <v>6448</v>
      </c>
      <c r="O75" s="1">
        <v>65565.490000000005</v>
      </c>
      <c r="P75" s="1">
        <v>2023</v>
      </c>
      <c r="Q75" s="1" t="s">
        <v>60</v>
      </c>
      <c r="R75" s="1" t="s">
        <v>40</v>
      </c>
    </row>
    <row r="76" spans="1:18" x14ac:dyDescent="0.35">
      <c r="A76" s="3" t="s">
        <v>102</v>
      </c>
      <c r="B76" s="3"/>
      <c r="C76" s="1" t="s">
        <v>28</v>
      </c>
      <c r="D76" s="1" t="s">
        <v>58</v>
      </c>
      <c r="E76" s="1" t="s">
        <v>51</v>
      </c>
      <c r="F76" s="1" t="s">
        <v>30</v>
      </c>
      <c r="G76" s="1" t="s">
        <v>52</v>
      </c>
      <c r="H76" s="2">
        <v>44996</v>
      </c>
      <c r="I76" s="2">
        <v>45056</v>
      </c>
      <c r="J76" s="1">
        <v>3189.44</v>
      </c>
      <c r="K76" s="1">
        <v>0.58260000000000001</v>
      </c>
      <c r="L76" s="1">
        <v>1858.17</v>
      </c>
      <c r="M76" s="1">
        <v>334745</v>
      </c>
      <c r="N76" s="1">
        <v>37177</v>
      </c>
      <c r="O76" s="1">
        <v>115831.73</v>
      </c>
      <c r="P76" s="1">
        <v>2023</v>
      </c>
      <c r="Q76" s="1" t="s">
        <v>60</v>
      </c>
      <c r="R76" s="1" t="s">
        <v>40</v>
      </c>
    </row>
    <row r="77" spans="1:18" x14ac:dyDescent="0.35">
      <c r="A77" s="3" t="s">
        <v>113</v>
      </c>
      <c r="B77" s="3"/>
      <c r="C77" s="1" t="s">
        <v>28</v>
      </c>
      <c r="D77" s="1" t="s">
        <v>36</v>
      </c>
      <c r="E77" s="1" t="s">
        <v>51</v>
      </c>
      <c r="F77" s="1" t="s">
        <v>38</v>
      </c>
      <c r="G77" s="1" t="s">
        <v>31</v>
      </c>
      <c r="H77" s="2">
        <v>44996</v>
      </c>
      <c r="I77" s="2">
        <v>45034</v>
      </c>
      <c r="J77" s="1">
        <v>27660.02</v>
      </c>
      <c r="K77" s="1">
        <v>0.94579999999999997</v>
      </c>
      <c r="L77" s="1">
        <v>26160.85</v>
      </c>
      <c r="M77" s="1">
        <v>542280</v>
      </c>
      <c r="N77" s="1">
        <v>36416</v>
      </c>
      <c r="O77" s="1">
        <v>9981.91</v>
      </c>
      <c r="P77" s="1">
        <v>2023</v>
      </c>
      <c r="Q77" s="1" t="s">
        <v>60</v>
      </c>
      <c r="R77" s="1" t="s">
        <v>40</v>
      </c>
    </row>
    <row r="78" spans="1:18" x14ac:dyDescent="0.35">
      <c r="A78" s="3" t="s">
        <v>66</v>
      </c>
      <c r="B78" s="3"/>
      <c r="C78" s="1" t="s">
        <v>19</v>
      </c>
      <c r="D78" s="1" t="s">
        <v>69</v>
      </c>
      <c r="E78" s="1" t="s">
        <v>59</v>
      </c>
      <c r="F78" s="1" t="s">
        <v>22</v>
      </c>
      <c r="G78" s="1" t="s">
        <v>44</v>
      </c>
      <c r="H78" s="2">
        <v>44997</v>
      </c>
      <c r="I78" s="2">
        <v>45055</v>
      </c>
      <c r="J78" s="1">
        <v>38492.71</v>
      </c>
      <c r="K78" s="1">
        <v>0.25650000000000001</v>
      </c>
      <c r="L78" s="1">
        <v>9873.3799999999992</v>
      </c>
      <c r="M78" s="1">
        <v>236441</v>
      </c>
      <c r="N78" s="1">
        <v>15369</v>
      </c>
      <c r="O78" s="1">
        <v>85497.09</v>
      </c>
      <c r="P78" s="1">
        <v>2023</v>
      </c>
      <c r="Q78" s="1" t="s">
        <v>60</v>
      </c>
      <c r="R78" s="1" t="s">
        <v>40</v>
      </c>
    </row>
    <row r="79" spans="1:18" x14ac:dyDescent="0.35">
      <c r="A79" s="3" t="s">
        <v>120</v>
      </c>
      <c r="B79" s="3"/>
      <c r="C79" s="1" t="s">
        <v>28</v>
      </c>
      <c r="D79" s="1" t="s">
        <v>29</v>
      </c>
      <c r="E79" s="1" t="s">
        <v>37</v>
      </c>
      <c r="F79" s="1" t="s">
        <v>30</v>
      </c>
      <c r="G79" s="1" t="s">
        <v>31</v>
      </c>
      <c r="H79" s="2">
        <v>44997</v>
      </c>
      <c r="I79" s="2">
        <v>45035</v>
      </c>
      <c r="J79" s="1">
        <v>8596.25</v>
      </c>
      <c r="K79" s="1">
        <v>0.3619</v>
      </c>
      <c r="L79" s="1">
        <v>3110.98</v>
      </c>
      <c r="M79" s="1">
        <v>286141</v>
      </c>
      <c r="N79" s="1">
        <v>35594</v>
      </c>
      <c r="O79" s="1">
        <v>94942.61</v>
      </c>
      <c r="P79" s="1">
        <v>2023</v>
      </c>
      <c r="Q79" s="1" t="s">
        <v>60</v>
      </c>
      <c r="R79" s="1" t="s">
        <v>40</v>
      </c>
    </row>
    <row r="80" spans="1:18" x14ac:dyDescent="0.35">
      <c r="A80" s="3" t="s">
        <v>105</v>
      </c>
      <c r="B80" s="3"/>
      <c r="C80" s="1" t="s">
        <v>28</v>
      </c>
      <c r="D80" s="1" t="s">
        <v>58</v>
      </c>
      <c r="E80" s="1" t="s">
        <v>63</v>
      </c>
      <c r="F80" s="1" t="s">
        <v>22</v>
      </c>
      <c r="G80" s="1" t="s">
        <v>31</v>
      </c>
      <c r="H80" s="2">
        <v>44998</v>
      </c>
      <c r="I80" s="2">
        <v>45012</v>
      </c>
      <c r="J80" s="1">
        <v>37307.480000000003</v>
      </c>
      <c r="K80" s="1">
        <v>1.1665000000000001</v>
      </c>
      <c r="L80" s="1">
        <v>43519.18</v>
      </c>
      <c r="M80" s="1">
        <v>106214</v>
      </c>
      <c r="N80" s="1">
        <v>48997</v>
      </c>
      <c r="O80" s="1">
        <v>134968.26</v>
      </c>
      <c r="P80" s="1">
        <v>2023</v>
      </c>
      <c r="Q80" s="1" t="s">
        <v>60</v>
      </c>
      <c r="R80" s="1" t="s">
        <v>40</v>
      </c>
    </row>
    <row r="81" spans="1:18" x14ac:dyDescent="0.35">
      <c r="A81" s="3" t="s">
        <v>111</v>
      </c>
      <c r="B81" s="3"/>
      <c r="C81" s="1" t="s">
        <v>48</v>
      </c>
      <c r="D81" s="1" t="s">
        <v>58</v>
      </c>
      <c r="E81" s="1" t="s">
        <v>59</v>
      </c>
      <c r="F81" s="1" t="s">
        <v>38</v>
      </c>
      <c r="G81" s="1" t="s">
        <v>49</v>
      </c>
      <c r="H81" s="2">
        <v>44999</v>
      </c>
      <c r="I81" s="2">
        <v>45044</v>
      </c>
      <c r="J81" s="1">
        <v>36901.07</v>
      </c>
      <c r="K81" s="1">
        <v>1.1944999999999999</v>
      </c>
      <c r="L81" s="1">
        <v>44078.33</v>
      </c>
      <c r="M81" s="1">
        <v>740650</v>
      </c>
      <c r="N81" s="1">
        <v>42408</v>
      </c>
      <c r="O81" s="1">
        <v>52193.72</v>
      </c>
      <c r="P81" s="1">
        <v>2023</v>
      </c>
      <c r="Q81" s="1" t="s">
        <v>60</v>
      </c>
      <c r="R81" s="1" t="s">
        <v>40</v>
      </c>
    </row>
    <row r="82" spans="1:18" x14ac:dyDescent="0.35">
      <c r="A82" s="3" t="s">
        <v>81</v>
      </c>
      <c r="B82" s="3"/>
      <c r="C82" s="1" t="s">
        <v>35</v>
      </c>
      <c r="D82" s="1" t="s">
        <v>29</v>
      </c>
      <c r="E82" s="1" t="s">
        <v>21</v>
      </c>
      <c r="F82" s="1" t="s">
        <v>22</v>
      </c>
      <c r="G82" s="1" t="s">
        <v>52</v>
      </c>
      <c r="H82" s="2">
        <v>44999</v>
      </c>
      <c r="I82" s="2">
        <v>45018</v>
      </c>
      <c r="J82" s="1">
        <v>19770.43</v>
      </c>
      <c r="K82" s="1">
        <v>0.87960000000000005</v>
      </c>
      <c r="L82" s="1">
        <v>17390.07</v>
      </c>
      <c r="M82" s="1">
        <v>117402</v>
      </c>
      <c r="N82" s="1">
        <v>6863</v>
      </c>
      <c r="O82" s="1">
        <v>81771.11</v>
      </c>
      <c r="P82" s="1">
        <v>2023</v>
      </c>
      <c r="Q82" s="1" t="s">
        <v>60</v>
      </c>
      <c r="R82" s="1" t="s">
        <v>40</v>
      </c>
    </row>
    <row r="83" spans="1:18" x14ac:dyDescent="0.35">
      <c r="A83" s="3" t="s">
        <v>112</v>
      </c>
      <c r="B83" s="3"/>
      <c r="C83" s="1" t="s">
        <v>19</v>
      </c>
      <c r="D83" s="1" t="s">
        <v>36</v>
      </c>
      <c r="E83" s="1" t="s">
        <v>63</v>
      </c>
      <c r="F83" s="1" t="s">
        <v>30</v>
      </c>
      <c r="G83" s="1" t="s">
        <v>44</v>
      </c>
      <c r="H83" s="2">
        <v>45001</v>
      </c>
      <c r="I83" s="2">
        <v>45012</v>
      </c>
      <c r="J83" s="1">
        <v>28293</v>
      </c>
      <c r="K83" s="1">
        <v>7.1999999999999995E-2</v>
      </c>
      <c r="L83" s="1">
        <v>2037.1</v>
      </c>
      <c r="M83" s="1">
        <v>986292</v>
      </c>
      <c r="N83" s="1">
        <v>15490</v>
      </c>
      <c r="O83" s="1">
        <v>120378.44</v>
      </c>
      <c r="P83" s="1">
        <v>2023</v>
      </c>
      <c r="Q83" s="1" t="s">
        <v>60</v>
      </c>
      <c r="R83" s="1" t="s">
        <v>40</v>
      </c>
    </row>
    <row r="84" spans="1:18" x14ac:dyDescent="0.35">
      <c r="A84" s="3" t="s">
        <v>87</v>
      </c>
      <c r="B84" s="3"/>
      <c r="C84" s="1" t="s">
        <v>28</v>
      </c>
      <c r="D84" s="1" t="s">
        <v>69</v>
      </c>
      <c r="E84" s="1" t="s">
        <v>21</v>
      </c>
      <c r="F84" s="1" t="s">
        <v>30</v>
      </c>
      <c r="G84" s="1" t="s">
        <v>52</v>
      </c>
      <c r="H84" s="2">
        <v>45002</v>
      </c>
      <c r="I84" s="2">
        <v>45054</v>
      </c>
      <c r="J84" s="1">
        <v>46115.46</v>
      </c>
      <c r="K84" s="1">
        <v>1.1404000000000001</v>
      </c>
      <c r="L84" s="1">
        <v>52590.07</v>
      </c>
      <c r="M84" s="1">
        <v>964911</v>
      </c>
      <c r="N84" s="1">
        <v>26896</v>
      </c>
      <c r="O84" s="1">
        <v>159553.84</v>
      </c>
      <c r="P84" s="1">
        <v>2023</v>
      </c>
      <c r="Q84" s="1" t="s">
        <v>60</v>
      </c>
      <c r="R84" s="1" t="s">
        <v>40</v>
      </c>
    </row>
    <row r="85" spans="1:18" x14ac:dyDescent="0.35">
      <c r="A85" s="3" t="s">
        <v>81</v>
      </c>
      <c r="B85" s="3"/>
      <c r="C85" s="1" t="s">
        <v>48</v>
      </c>
      <c r="D85" s="1" t="s">
        <v>69</v>
      </c>
      <c r="E85" s="1" t="s">
        <v>63</v>
      </c>
      <c r="F85" s="1" t="s">
        <v>22</v>
      </c>
      <c r="G85" s="1" t="s">
        <v>49</v>
      </c>
      <c r="H85" s="2">
        <v>45002</v>
      </c>
      <c r="I85" s="2">
        <v>45041</v>
      </c>
      <c r="J85" s="1">
        <v>11444.56</v>
      </c>
      <c r="K85" s="1">
        <v>0.3256</v>
      </c>
      <c r="L85" s="1">
        <v>3726.35</v>
      </c>
      <c r="M85" s="1">
        <v>988593</v>
      </c>
      <c r="N85" s="1">
        <v>22972</v>
      </c>
      <c r="O85" s="1">
        <v>220811.72</v>
      </c>
      <c r="P85" s="1">
        <v>2023</v>
      </c>
      <c r="Q85" s="1" t="s">
        <v>60</v>
      </c>
      <c r="R85" s="1" t="s">
        <v>40</v>
      </c>
    </row>
    <row r="86" spans="1:18" x14ac:dyDescent="0.35">
      <c r="A86" s="3" t="s">
        <v>78</v>
      </c>
      <c r="B86" s="3"/>
      <c r="C86" s="1" t="s">
        <v>35</v>
      </c>
      <c r="D86" s="1" t="s">
        <v>58</v>
      </c>
      <c r="E86" s="1" t="s">
        <v>51</v>
      </c>
      <c r="F86" s="1" t="s">
        <v>22</v>
      </c>
      <c r="G86" s="1" t="s">
        <v>44</v>
      </c>
      <c r="H86" s="2">
        <v>45003</v>
      </c>
      <c r="I86" s="2">
        <v>45043</v>
      </c>
      <c r="J86" s="1">
        <v>13493.4</v>
      </c>
      <c r="K86" s="1">
        <v>0.46429999999999999</v>
      </c>
      <c r="L86" s="1">
        <v>6264.99</v>
      </c>
      <c r="M86" s="1">
        <v>957556</v>
      </c>
      <c r="N86" s="1">
        <v>10803</v>
      </c>
      <c r="O86" s="1">
        <v>103014.55</v>
      </c>
      <c r="P86" s="1">
        <v>2023</v>
      </c>
      <c r="Q86" s="1" t="s">
        <v>60</v>
      </c>
      <c r="R86" s="1" t="s">
        <v>40</v>
      </c>
    </row>
    <row r="87" spans="1:18" x14ac:dyDescent="0.35">
      <c r="A87" s="3" t="s">
        <v>83</v>
      </c>
      <c r="B87" s="3"/>
      <c r="C87" s="1" t="s">
        <v>48</v>
      </c>
      <c r="D87" s="1" t="s">
        <v>20</v>
      </c>
      <c r="E87" s="1" t="s">
        <v>37</v>
      </c>
      <c r="F87" s="1" t="s">
        <v>38</v>
      </c>
      <c r="G87" s="1" t="s">
        <v>23</v>
      </c>
      <c r="H87" s="2">
        <v>45005</v>
      </c>
      <c r="I87" s="2">
        <v>45058</v>
      </c>
      <c r="J87" s="1">
        <v>6156</v>
      </c>
      <c r="K87" s="1">
        <v>0.92220000000000002</v>
      </c>
      <c r="L87" s="1">
        <v>5677.06</v>
      </c>
      <c r="M87" s="1">
        <v>351849</v>
      </c>
      <c r="N87" s="1">
        <v>26976</v>
      </c>
      <c r="O87" s="1">
        <v>115479.32</v>
      </c>
      <c r="P87" s="1">
        <v>2023</v>
      </c>
      <c r="Q87" s="1" t="s">
        <v>60</v>
      </c>
      <c r="R87" s="1" t="s">
        <v>40</v>
      </c>
    </row>
    <row r="88" spans="1:18" x14ac:dyDescent="0.35">
      <c r="A88" s="3" t="s">
        <v>91</v>
      </c>
      <c r="B88" s="3"/>
      <c r="C88" s="1" t="s">
        <v>19</v>
      </c>
      <c r="D88" s="1" t="s">
        <v>58</v>
      </c>
      <c r="E88" s="1" t="s">
        <v>43</v>
      </c>
      <c r="F88" s="1" t="s">
        <v>30</v>
      </c>
      <c r="G88" s="1" t="s">
        <v>52</v>
      </c>
      <c r="H88" s="2">
        <v>45005</v>
      </c>
      <c r="I88" s="2">
        <v>45051</v>
      </c>
      <c r="J88" s="1">
        <v>43348.25</v>
      </c>
      <c r="K88" s="1">
        <v>1.0278</v>
      </c>
      <c r="L88" s="1">
        <v>44553.33</v>
      </c>
      <c r="M88" s="1">
        <v>654883</v>
      </c>
      <c r="N88" s="1">
        <v>39033</v>
      </c>
      <c r="O88" s="1">
        <v>129231.62</v>
      </c>
      <c r="P88" s="1">
        <v>2023</v>
      </c>
      <c r="Q88" s="1" t="s">
        <v>60</v>
      </c>
      <c r="R88" s="1" t="s">
        <v>40</v>
      </c>
    </row>
    <row r="89" spans="1:18" x14ac:dyDescent="0.35">
      <c r="A89" s="3" t="s">
        <v>116</v>
      </c>
      <c r="B89" s="3"/>
      <c r="C89" s="1" t="s">
        <v>19</v>
      </c>
      <c r="D89" s="1" t="s">
        <v>69</v>
      </c>
      <c r="E89" s="1" t="s">
        <v>21</v>
      </c>
      <c r="F89" s="1" t="s">
        <v>30</v>
      </c>
      <c r="G89" s="1" t="s">
        <v>44</v>
      </c>
      <c r="H89" s="2">
        <v>45005</v>
      </c>
      <c r="I89" s="2">
        <v>45016</v>
      </c>
      <c r="J89" s="1">
        <v>9073.5400000000009</v>
      </c>
      <c r="K89" s="1">
        <v>0.14330000000000001</v>
      </c>
      <c r="L89" s="1">
        <v>1300.24</v>
      </c>
      <c r="M89" s="1">
        <v>165141</v>
      </c>
      <c r="N89" s="1">
        <v>32627</v>
      </c>
      <c r="O89" s="1">
        <v>41872.03</v>
      </c>
      <c r="P89" s="1">
        <v>2023</v>
      </c>
      <c r="Q89" s="1" t="s">
        <v>60</v>
      </c>
      <c r="R89" s="1" t="s">
        <v>40</v>
      </c>
    </row>
    <row r="90" spans="1:18" x14ac:dyDescent="0.35">
      <c r="A90" s="3" t="s">
        <v>94</v>
      </c>
      <c r="B90" s="3"/>
      <c r="C90" s="1" t="s">
        <v>48</v>
      </c>
      <c r="D90" s="1" t="s">
        <v>20</v>
      </c>
      <c r="E90" s="1" t="s">
        <v>43</v>
      </c>
      <c r="F90" s="1" t="s">
        <v>30</v>
      </c>
      <c r="G90" s="1" t="s">
        <v>49</v>
      </c>
      <c r="H90" s="2">
        <v>45006</v>
      </c>
      <c r="I90" s="2">
        <v>45048</v>
      </c>
      <c r="J90" s="1">
        <v>8468.67</v>
      </c>
      <c r="K90" s="1">
        <v>0.87949999999999995</v>
      </c>
      <c r="L90" s="1">
        <v>7448.2</v>
      </c>
      <c r="M90" s="1">
        <v>303586</v>
      </c>
      <c r="N90" s="1">
        <v>11786</v>
      </c>
      <c r="O90" s="1">
        <v>69419.72</v>
      </c>
      <c r="P90" s="1">
        <v>2023</v>
      </c>
      <c r="Q90" s="1" t="s">
        <v>60</v>
      </c>
      <c r="R90" s="1" t="s">
        <v>40</v>
      </c>
    </row>
    <row r="91" spans="1:18" x14ac:dyDescent="0.35">
      <c r="A91" s="3" t="s">
        <v>113</v>
      </c>
      <c r="B91" s="3"/>
      <c r="C91" s="1" t="s">
        <v>19</v>
      </c>
      <c r="D91" s="1" t="s">
        <v>29</v>
      </c>
      <c r="E91" s="1" t="s">
        <v>51</v>
      </c>
      <c r="F91" s="1" t="s">
        <v>30</v>
      </c>
      <c r="G91" s="1" t="s">
        <v>44</v>
      </c>
      <c r="H91" s="2">
        <v>45007</v>
      </c>
      <c r="I91" s="2">
        <v>45061</v>
      </c>
      <c r="J91" s="1">
        <v>3740.21</v>
      </c>
      <c r="K91" s="1">
        <v>0.9274</v>
      </c>
      <c r="L91" s="1">
        <v>3468.67</v>
      </c>
      <c r="M91" s="1">
        <v>374831</v>
      </c>
      <c r="N91" s="1">
        <v>28562</v>
      </c>
      <c r="O91" s="1">
        <v>107047.82</v>
      </c>
      <c r="P91" s="1">
        <v>2023</v>
      </c>
      <c r="Q91" s="1" t="s">
        <v>60</v>
      </c>
      <c r="R91" s="1" t="s">
        <v>40</v>
      </c>
    </row>
    <row r="92" spans="1:18" x14ac:dyDescent="0.35">
      <c r="A92" s="3" t="s">
        <v>66</v>
      </c>
      <c r="B92" s="3"/>
      <c r="C92" s="1" t="s">
        <v>48</v>
      </c>
      <c r="D92" s="1" t="s">
        <v>58</v>
      </c>
      <c r="E92" s="1" t="s">
        <v>51</v>
      </c>
      <c r="F92" s="1" t="s">
        <v>38</v>
      </c>
      <c r="G92" s="1" t="s">
        <v>49</v>
      </c>
      <c r="H92" s="2">
        <v>45007</v>
      </c>
      <c r="I92" s="2">
        <v>45051</v>
      </c>
      <c r="J92" s="1">
        <v>43671.14</v>
      </c>
      <c r="K92" s="1">
        <v>0.74750000000000005</v>
      </c>
      <c r="L92" s="1">
        <v>32644.18</v>
      </c>
      <c r="M92" s="1">
        <v>262528</v>
      </c>
      <c r="N92" s="1">
        <v>32715</v>
      </c>
      <c r="O92" s="1">
        <v>228643.11</v>
      </c>
      <c r="P92" s="1">
        <v>2023</v>
      </c>
      <c r="Q92" s="1" t="s">
        <v>60</v>
      </c>
      <c r="R92" s="1" t="s">
        <v>40</v>
      </c>
    </row>
    <row r="93" spans="1:18" x14ac:dyDescent="0.35">
      <c r="A93" s="3" t="s">
        <v>72</v>
      </c>
      <c r="B93" s="3"/>
      <c r="C93" s="1" t="s">
        <v>35</v>
      </c>
      <c r="D93" s="1" t="s">
        <v>29</v>
      </c>
      <c r="E93" s="1" t="s">
        <v>21</v>
      </c>
      <c r="F93" s="1" t="s">
        <v>38</v>
      </c>
      <c r="G93" s="1" t="s">
        <v>49</v>
      </c>
      <c r="H93" s="2">
        <v>45008</v>
      </c>
      <c r="I93" s="2">
        <v>45057</v>
      </c>
      <c r="J93" s="1">
        <v>39211.49</v>
      </c>
      <c r="K93" s="1">
        <v>0.1696</v>
      </c>
      <c r="L93" s="1">
        <v>6650.27</v>
      </c>
      <c r="M93" s="1">
        <v>897240</v>
      </c>
      <c r="N93" s="1">
        <v>39730</v>
      </c>
      <c r="O93" s="1">
        <v>119847.06</v>
      </c>
      <c r="P93" s="1">
        <v>2023</v>
      </c>
      <c r="Q93" s="1" t="s">
        <v>60</v>
      </c>
      <c r="R93" s="1" t="s">
        <v>40</v>
      </c>
    </row>
    <row r="94" spans="1:18" x14ac:dyDescent="0.35">
      <c r="A94" s="3" t="s">
        <v>62</v>
      </c>
      <c r="B94" s="3"/>
      <c r="C94" s="1" t="s">
        <v>28</v>
      </c>
      <c r="D94" s="1" t="s">
        <v>58</v>
      </c>
      <c r="E94" s="1" t="s">
        <v>59</v>
      </c>
      <c r="F94" s="1" t="s">
        <v>30</v>
      </c>
      <c r="G94" s="1" t="s">
        <v>52</v>
      </c>
      <c r="H94" s="2">
        <v>45008</v>
      </c>
      <c r="I94" s="2">
        <v>45035</v>
      </c>
      <c r="J94" s="1">
        <v>28462.400000000001</v>
      </c>
      <c r="K94" s="1">
        <v>0.10100000000000001</v>
      </c>
      <c r="L94" s="1">
        <v>2874.7</v>
      </c>
      <c r="M94" s="1">
        <v>389895</v>
      </c>
      <c r="N94" s="1">
        <v>42916</v>
      </c>
      <c r="O94" s="1">
        <v>123617.86</v>
      </c>
      <c r="P94" s="1">
        <v>2023</v>
      </c>
      <c r="Q94" s="1" t="s">
        <v>60</v>
      </c>
      <c r="R94" s="1" t="s">
        <v>40</v>
      </c>
    </row>
    <row r="95" spans="1:18" x14ac:dyDescent="0.35">
      <c r="A95" s="3" t="s">
        <v>98</v>
      </c>
      <c r="B95" s="3"/>
      <c r="C95" s="1" t="s">
        <v>48</v>
      </c>
      <c r="D95" s="1" t="s">
        <v>29</v>
      </c>
      <c r="E95" s="1" t="s">
        <v>59</v>
      </c>
      <c r="F95" s="1" t="s">
        <v>38</v>
      </c>
      <c r="G95" s="1" t="s">
        <v>31</v>
      </c>
      <c r="H95" s="2">
        <v>45010</v>
      </c>
      <c r="I95" s="2">
        <v>45051</v>
      </c>
      <c r="J95" s="1">
        <v>40575.97</v>
      </c>
      <c r="K95" s="1">
        <v>1.1883999999999999</v>
      </c>
      <c r="L95" s="1">
        <v>48220.480000000003</v>
      </c>
      <c r="M95" s="1">
        <v>246588</v>
      </c>
      <c r="N95" s="1">
        <v>45290</v>
      </c>
      <c r="O95" s="1">
        <v>108835.96</v>
      </c>
      <c r="P95" s="1">
        <v>2023</v>
      </c>
      <c r="Q95" s="1" t="s">
        <v>60</v>
      </c>
      <c r="R95" s="1" t="s">
        <v>40</v>
      </c>
    </row>
    <row r="96" spans="1:18" x14ac:dyDescent="0.35">
      <c r="A96" s="3" t="s">
        <v>111</v>
      </c>
      <c r="B96" s="3"/>
      <c r="C96" s="1" t="s">
        <v>28</v>
      </c>
      <c r="D96" s="1" t="s">
        <v>20</v>
      </c>
      <c r="E96" s="1" t="s">
        <v>43</v>
      </c>
      <c r="F96" s="1" t="s">
        <v>30</v>
      </c>
      <c r="G96" s="1" t="s">
        <v>49</v>
      </c>
      <c r="H96" s="2">
        <v>45010</v>
      </c>
      <c r="I96" s="2">
        <v>45020</v>
      </c>
      <c r="J96" s="1">
        <v>4047.49</v>
      </c>
      <c r="K96" s="1">
        <v>1.0672999999999999</v>
      </c>
      <c r="L96" s="1">
        <v>4319.8900000000003</v>
      </c>
      <c r="M96" s="1">
        <v>509387</v>
      </c>
      <c r="N96" s="1">
        <v>14176</v>
      </c>
      <c r="O96" s="1">
        <v>114310.2</v>
      </c>
      <c r="P96" s="1">
        <v>2023</v>
      </c>
      <c r="Q96" s="1" t="s">
        <v>60</v>
      </c>
      <c r="R96" s="1" t="s">
        <v>40</v>
      </c>
    </row>
    <row r="97" spans="1:18" x14ac:dyDescent="0.35">
      <c r="A97" s="3" t="s">
        <v>42</v>
      </c>
      <c r="B97" s="3"/>
      <c r="C97" s="1" t="s">
        <v>19</v>
      </c>
      <c r="D97" s="1" t="s">
        <v>36</v>
      </c>
      <c r="E97" s="1" t="s">
        <v>59</v>
      </c>
      <c r="F97" s="1" t="s">
        <v>38</v>
      </c>
      <c r="G97" s="1" t="s">
        <v>31</v>
      </c>
      <c r="H97" s="2">
        <v>45011</v>
      </c>
      <c r="I97" s="2">
        <v>45025</v>
      </c>
      <c r="J97" s="1">
        <v>31744.46</v>
      </c>
      <c r="K97" s="1">
        <v>0.76970000000000005</v>
      </c>
      <c r="L97" s="1">
        <v>24433.71</v>
      </c>
      <c r="M97" s="1">
        <v>617497</v>
      </c>
      <c r="N97" s="1">
        <v>6877</v>
      </c>
      <c r="O97" s="1">
        <v>32178.22</v>
      </c>
      <c r="P97" s="1">
        <v>2023</v>
      </c>
      <c r="Q97" s="1" t="s">
        <v>60</v>
      </c>
      <c r="R97" s="1" t="s">
        <v>40</v>
      </c>
    </row>
    <row r="98" spans="1:18" x14ac:dyDescent="0.35">
      <c r="A98" s="3" t="s">
        <v>88</v>
      </c>
      <c r="B98" s="3"/>
      <c r="C98" s="1" t="s">
        <v>48</v>
      </c>
      <c r="D98" s="1" t="s">
        <v>58</v>
      </c>
      <c r="E98" s="1" t="s">
        <v>63</v>
      </c>
      <c r="F98" s="1" t="s">
        <v>38</v>
      </c>
      <c r="G98" s="1" t="s">
        <v>49</v>
      </c>
      <c r="H98" s="2">
        <v>45012</v>
      </c>
      <c r="I98" s="2">
        <v>45058</v>
      </c>
      <c r="J98" s="1">
        <v>22002.03</v>
      </c>
      <c r="K98" s="1">
        <v>1.0416000000000001</v>
      </c>
      <c r="L98" s="1">
        <v>22917.31</v>
      </c>
      <c r="M98" s="1">
        <v>200556</v>
      </c>
      <c r="N98" s="1">
        <v>3395</v>
      </c>
      <c r="O98" s="1">
        <v>68738.3</v>
      </c>
      <c r="P98" s="1">
        <v>2023</v>
      </c>
      <c r="Q98" s="1" t="s">
        <v>60</v>
      </c>
      <c r="R98" s="1" t="s">
        <v>40</v>
      </c>
    </row>
    <row r="99" spans="1:18" x14ac:dyDescent="0.35">
      <c r="A99" s="3" t="s">
        <v>104</v>
      </c>
      <c r="B99" s="3"/>
      <c r="C99" s="1" t="s">
        <v>35</v>
      </c>
      <c r="D99" s="1" t="s">
        <v>29</v>
      </c>
      <c r="E99" s="1" t="s">
        <v>37</v>
      </c>
      <c r="F99" s="1" t="s">
        <v>30</v>
      </c>
      <c r="G99" s="1" t="s">
        <v>44</v>
      </c>
      <c r="H99" s="2">
        <v>45013</v>
      </c>
      <c r="I99" s="2">
        <v>45020</v>
      </c>
      <c r="J99" s="1">
        <v>27334.240000000002</v>
      </c>
      <c r="K99" s="1">
        <v>0.47410000000000002</v>
      </c>
      <c r="L99" s="1">
        <v>12959.16</v>
      </c>
      <c r="M99" s="1">
        <v>763800</v>
      </c>
      <c r="N99" s="1">
        <v>48600</v>
      </c>
      <c r="O99" s="1">
        <v>220569.53</v>
      </c>
      <c r="P99" s="1">
        <v>2023</v>
      </c>
      <c r="Q99" s="1" t="s">
        <v>60</v>
      </c>
      <c r="R99" s="1" t="s">
        <v>40</v>
      </c>
    </row>
    <row r="100" spans="1:18" x14ac:dyDescent="0.35">
      <c r="A100" s="3" t="s">
        <v>105</v>
      </c>
      <c r="B100" s="3"/>
      <c r="C100" s="1" t="s">
        <v>28</v>
      </c>
      <c r="D100" s="1" t="s">
        <v>36</v>
      </c>
      <c r="E100" s="1" t="s">
        <v>59</v>
      </c>
      <c r="F100" s="1" t="s">
        <v>38</v>
      </c>
      <c r="G100" s="1" t="s">
        <v>44</v>
      </c>
      <c r="H100" s="2">
        <v>45014</v>
      </c>
      <c r="I100" s="2">
        <v>45052</v>
      </c>
      <c r="J100" s="1">
        <v>35656.68</v>
      </c>
      <c r="K100" s="1">
        <v>0.875</v>
      </c>
      <c r="L100" s="1">
        <v>31199.599999999999</v>
      </c>
      <c r="M100" s="1">
        <v>546521</v>
      </c>
      <c r="N100" s="1">
        <v>40212</v>
      </c>
      <c r="O100" s="1">
        <v>237689.7</v>
      </c>
      <c r="P100" s="1">
        <v>2023</v>
      </c>
      <c r="Q100" s="1" t="s">
        <v>60</v>
      </c>
      <c r="R100" s="1" t="s">
        <v>40</v>
      </c>
    </row>
    <row r="101" spans="1:18" x14ac:dyDescent="0.35">
      <c r="A101" s="3" t="s">
        <v>114</v>
      </c>
      <c r="B101" s="3"/>
      <c r="C101" s="1" t="s">
        <v>28</v>
      </c>
      <c r="D101" s="1" t="s">
        <v>69</v>
      </c>
      <c r="E101" s="1" t="s">
        <v>37</v>
      </c>
      <c r="F101" s="1" t="s">
        <v>38</v>
      </c>
      <c r="G101" s="1" t="s">
        <v>31</v>
      </c>
      <c r="H101" s="2">
        <v>45014</v>
      </c>
      <c r="I101" s="2">
        <v>45030</v>
      </c>
      <c r="J101" s="1">
        <v>36857.129999999997</v>
      </c>
      <c r="K101" s="1">
        <v>1.1017999999999999</v>
      </c>
      <c r="L101" s="1">
        <v>40609.19</v>
      </c>
      <c r="M101" s="1">
        <v>977301</v>
      </c>
      <c r="N101" s="1">
        <v>26114</v>
      </c>
      <c r="O101" s="1">
        <v>193213.08</v>
      </c>
      <c r="P101" s="1">
        <v>2023</v>
      </c>
      <c r="Q101" s="1" t="s">
        <v>60</v>
      </c>
      <c r="R101" s="1" t="s">
        <v>40</v>
      </c>
    </row>
    <row r="102" spans="1:18" x14ac:dyDescent="0.35">
      <c r="A102" s="3" t="s">
        <v>106</v>
      </c>
      <c r="B102" s="3"/>
      <c r="C102" s="1" t="s">
        <v>19</v>
      </c>
      <c r="D102" s="1" t="s">
        <v>58</v>
      </c>
      <c r="E102" s="1" t="s">
        <v>37</v>
      </c>
      <c r="F102" s="1" t="s">
        <v>38</v>
      </c>
      <c r="G102" s="1" t="s">
        <v>44</v>
      </c>
      <c r="H102" s="2">
        <v>45014</v>
      </c>
      <c r="I102" s="2">
        <v>45022</v>
      </c>
      <c r="J102" s="1">
        <v>45919</v>
      </c>
      <c r="K102" s="1">
        <v>0.45910000000000001</v>
      </c>
      <c r="L102" s="1">
        <v>21081.41</v>
      </c>
      <c r="M102" s="1">
        <v>943320</v>
      </c>
      <c r="N102" s="1">
        <v>45540</v>
      </c>
      <c r="O102" s="1">
        <v>20931.91</v>
      </c>
      <c r="P102" s="1">
        <v>2023</v>
      </c>
      <c r="Q102" s="1" t="s">
        <v>60</v>
      </c>
      <c r="R102" s="1" t="s">
        <v>40</v>
      </c>
    </row>
    <row r="103" spans="1:18" x14ac:dyDescent="0.35">
      <c r="A103" s="3" t="s">
        <v>106</v>
      </c>
      <c r="B103" s="3"/>
      <c r="C103" s="1" t="s">
        <v>19</v>
      </c>
      <c r="D103" s="1" t="s">
        <v>69</v>
      </c>
      <c r="E103" s="1" t="s">
        <v>21</v>
      </c>
      <c r="F103" s="1" t="s">
        <v>30</v>
      </c>
      <c r="G103" s="1" t="s">
        <v>44</v>
      </c>
      <c r="H103" s="2">
        <v>45015</v>
      </c>
      <c r="I103" s="2">
        <v>45057</v>
      </c>
      <c r="J103" s="1">
        <v>2187.91</v>
      </c>
      <c r="K103" s="1">
        <v>1.1521999999999999</v>
      </c>
      <c r="L103" s="1">
        <v>2520.91</v>
      </c>
      <c r="M103" s="1">
        <v>110879</v>
      </c>
      <c r="N103" s="1">
        <v>13439</v>
      </c>
      <c r="O103" s="1">
        <v>13143.6</v>
      </c>
      <c r="P103" s="1">
        <v>2023</v>
      </c>
      <c r="Q103" s="1" t="s">
        <v>60</v>
      </c>
      <c r="R103" s="1" t="s">
        <v>40</v>
      </c>
    </row>
    <row r="104" spans="1:18" x14ac:dyDescent="0.35">
      <c r="A104" s="3" t="s">
        <v>79</v>
      </c>
      <c r="B104" s="3"/>
      <c r="C104" s="1" t="s">
        <v>48</v>
      </c>
      <c r="D104" s="1" t="s">
        <v>36</v>
      </c>
      <c r="E104" s="1" t="s">
        <v>63</v>
      </c>
      <c r="F104" s="1" t="s">
        <v>22</v>
      </c>
      <c r="G104" s="1" t="s">
        <v>52</v>
      </c>
      <c r="H104" s="2">
        <v>45015</v>
      </c>
      <c r="I104" s="2">
        <v>45051</v>
      </c>
      <c r="J104" s="1">
        <v>43975.39</v>
      </c>
      <c r="K104" s="1">
        <v>0.45219999999999999</v>
      </c>
      <c r="L104" s="1">
        <v>19885.669999999998</v>
      </c>
      <c r="M104" s="1">
        <v>879749</v>
      </c>
      <c r="N104" s="1">
        <v>19933</v>
      </c>
      <c r="O104" s="1">
        <v>57954.27</v>
      </c>
      <c r="P104" s="1">
        <v>2023</v>
      </c>
      <c r="Q104" s="1" t="s">
        <v>60</v>
      </c>
      <c r="R104" s="1" t="s">
        <v>40</v>
      </c>
    </row>
    <row r="105" spans="1:18" x14ac:dyDescent="0.35">
      <c r="A105" s="3" t="s">
        <v>104</v>
      </c>
      <c r="B105" s="3"/>
      <c r="C105" s="1" t="s">
        <v>19</v>
      </c>
      <c r="D105" s="1" t="s">
        <v>36</v>
      </c>
      <c r="E105" s="1" t="s">
        <v>37</v>
      </c>
      <c r="F105" s="1" t="s">
        <v>30</v>
      </c>
      <c r="G105" s="1" t="s">
        <v>31</v>
      </c>
      <c r="H105" s="2">
        <v>45015</v>
      </c>
      <c r="I105" s="2">
        <v>45037</v>
      </c>
      <c r="J105" s="1">
        <v>39203.97</v>
      </c>
      <c r="K105" s="1">
        <v>0.43020000000000003</v>
      </c>
      <c r="L105" s="1">
        <v>16865.55</v>
      </c>
      <c r="M105" s="1">
        <v>424337</v>
      </c>
      <c r="N105" s="1">
        <v>26671</v>
      </c>
      <c r="O105" s="1">
        <v>148589.64000000001</v>
      </c>
      <c r="P105" s="1">
        <v>2023</v>
      </c>
      <c r="Q105" s="1" t="s">
        <v>60</v>
      </c>
      <c r="R105" s="1" t="s">
        <v>40</v>
      </c>
    </row>
    <row r="106" spans="1:18" x14ac:dyDescent="0.35">
      <c r="A106" s="3" t="s">
        <v>68</v>
      </c>
      <c r="B106" s="3"/>
      <c r="C106" s="1" t="s">
        <v>35</v>
      </c>
      <c r="D106" s="1" t="s">
        <v>29</v>
      </c>
      <c r="E106" s="1" t="s">
        <v>59</v>
      </c>
      <c r="F106" s="1" t="s">
        <v>38</v>
      </c>
      <c r="G106" s="1" t="s">
        <v>23</v>
      </c>
      <c r="H106" s="2">
        <v>45015</v>
      </c>
      <c r="I106" s="2">
        <v>45026</v>
      </c>
      <c r="J106" s="1">
        <v>7860.64</v>
      </c>
      <c r="K106" s="1">
        <v>0.15659999999999999</v>
      </c>
      <c r="L106" s="1">
        <v>1230.98</v>
      </c>
      <c r="M106" s="1">
        <v>775470</v>
      </c>
      <c r="N106" s="1">
        <v>25267</v>
      </c>
      <c r="O106" s="1">
        <v>91126.23</v>
      </c>
      <c r="P106" s="1">
        <v>2023</v>
      </c>
      <c r="Q106" s="1" t="s">
        <v>60</v>
      </c>
      <c r="R106" s="1" t="s">
        <v>40</v>
      </c>
    </row>
    <row r="107" spans="1:18" x14ac:dyDescent="0.35">
      <c r="A107" s="3" t="s">
        <v>93</v>
      </c>
      <c r="B107" s="3"/>
      <c r="C107" s="1" t="s">
        <v>35</v>
      </c>
      <c r="D107" s="1" t="s">
        <v>29</v>
      </c>
      <c r="E107" s="1" t="s">
        <v>63</v>
      </c>
      <c r="F107" s="1" t="s">
        <v>38</v>
      </c>
      <c r="G107" s="1" t="s">
        <v>44</v>
      </c>
      <c r="H107" s="2">
        <v>45016</v>
      </c>
      <c r="I107" s="2">
        <v>45028</v>
      </c>
      <c r="J107" s="1">
        <v>5367.83</v>
      </c>
      <c r="K107" s="1">
        <v>0.89129999999999998</v>
      </c>
      <c r="L107" s="1">
        <v>4784.3500000000004</v>
      </c>
      <c r="M107" s="1">
        <v>992736</v>
      </c>
      <c r="N107" s="1">
        <v>12431</v>
      </c>
      <c r="O107" s="1">
        <v>187431.35</v>
      </c>
      <c r="P107" s="1">
        <v>2023</v>
      </c>
      <c r="Q107" s="1" t="s">
        <v>60</v>
      </c>
      <c r="R107" s="1" t="s">
        <v>40</v>
      </c>
    </row>
    <row r="108" spans="1:18" x14ac:dyDescent="0.35">
      <c r="A108" s="3" t="s">
        <v>87</v>
      </c>
      <c r="B108" s="3"/>
      <c r="C108" s="1" t="s">
        <v>35</v>
      </c>
      <c r="D108" s="1" t="s">
        <v>20</v>
      </c>
      <c r="E108" s="1" t="s">
        <v>21</v>
      </c>
      <c r="F108" s="1" t="s">
        <v>30</v>
      </c>
      <c r="G108" s="1" t="s">
        <v>31</v>
      </c>
      <c r="H108" s="2">
        <v>45019</v>
      </c>
      <c r="I108" s="2">
        <v>45074</v>
      </c>
      <c r="J108" s="1">
        <v>20334.150000000001</v>
      </c>
      <c r="K108" s="1">
        <v>0.32469999999999999</v>
      </c>
      <c r="L108" s="1">
        <v>6602.5</v>
      </c>
      <c r="M108" s="1">
        <v>139592</v>
      </c>
      <c r="N108" s="1">
        <v>29904</v>
      </c>
      <c r="O108" s="1">
        <v>95303.49</v>
      </c>
      <c r="P108" s="1">
        <v>2023</v>
      </c>
      <c r="Q108" s="1" t="s">
        <v>76</v>
      </c>
      <c r="R108" s="1" t="s">
        <v>46</v>
      </c>
    </row>
    <row r="109" spans="1:18" x14ac:dyDescent="0.35">
      <c r="A109" s="3" t="s">
        <v>116</v>
      </c>
      <c r="B109" s="3"/>
      <c r="C109" s="1" t="s">
        <v>35</v>
      </c>
      <c r="D109" s="1" t="s">
        <v>29</v>
      </c>
      <c r="E109" s="1" t="s">
        <v>37</v>
      </c>
      <c r="F109" s="1" t="s">
        <v>30</v>
      </c>
      <c r="G109" s="1" t="s">
        <v>52</v>
      </c>
      <c r="H109" s="2">
        <v>45019</v>
      </c>
      <c r="I109" s="2">
        <v>45034</v>
      </c>
      <c r="J109" s="1">
        <v>40572.25</v>
      </c>
      <c r="K109" s="1">
        <v>0.372</v>
      </c>
      <c r="L109" s="1">
        <v>15092.88</v>
      </c>
      <c r="M109" s="1">
        <v>748936</v>
      </c>
      <c r="N109" s="1">
        <v>45770</v>
      </c>
      <c r="O109" s="1">
        <v>152809.10999999999</v>
      </c>
      <c r="P109" s="1">
        <v>2023</v>
      </c>
      <c r="Q109" s="1" t="s">
        <v>76</v>
      </c>
      <c r="R109" s="1" t="s">
        <v>46</v>
      </c>
    </row>
    <row r="110" spans="1:18" x14ac:dyDescent="0.35">
      <c r="A110" s="3" t="s">
        <v>57</v>
      </c>
      <c r="B110" s="3"/>
      <c r="C110" s="1" t="s">
        <v>35</v>
      </c>
      <c r="D110" s="1" t="s">
        <v>58</v>
      </c>
      <c r="E110" s="1" t="s">
        <v>51</v>
      </c>
      <c r="F110" s="1" t="s">
        <v>22</v>
      </c>
      <c r="G110" s="1" t="s">
        <v>31</v>
      </c>
      <c r="H110" s="2">
        <v>45019</v>
      </c>
      <c r="I110" s="2">
        <v>45033</v>
      </c>
      <c r="J110" s="1">
        <v>1721.52</v>
      </c>
      <c r="K110" s="1">
        <v>0.26850000000000002</v>
      </c>
      <c r="L110" s="1">
        <v>462.23</v>
      </c>
      <c r="M110" s="1">
        <v>450656</v>
      </c>
      <c r="N110" s="1">
        <v>20519</v>
      </c>
      <c r="O110" s="1">
        <v>197502.71</v>
      </c>
      <c r="P110" s="1">
        <v>2023</v>
      </c>
      <c r="Q110" s="1" t="s">
        <v>76</v>
      </c>
      <c r="R110" s="1" t="s">
        <v>46</v>
      </c>
    </row>
    <row r="111" spans="1:18" x14ac:dyDescent="0.35">
      <c r="A111" s="3" t="s">
        <v>106</v>
      </c>
      <c r="B111" s="3"/>
      <c r="C111" s="1" t="s">
        <v>19</v>
      </c>
      <c r="D111" s="1" t="s">
        <v>20</v>
      </c>
      <c r="E111" s="1" t="s">
        <v>43</v>
      </c>
      <c r="F111" s="1" t="s">
        <v>30</v>
      </c>
      <c r="G111" s="1" t="s">
        <v>31</v>
      </c>
      <c r="H111" s="2">
        <v>45020</v>
      </c>
      <c r="I111" s="2">
        <v>45078</v>
      </c>
      <c r="J111" s="1">
        <v>5182.8500000000004</v>
      </c>
      <c r="K111" s="1">
        <v>0.52390000000000003</v>
      </c>
      <c r="L111" s="1">
        <v>2715.3</v>
      </c>
      <c r="M111" s="1">
        <v>790758</v>
      </c>
      <c r="N111" s="1">
        <v>48517</v>
      </c>
      <c r="O111" s="1">
        <v>96298.48</v>
      </c>
      <c r="P111" s="1">
        <v>2023</v>
      </c>
      <c r="Q111" s="1" t="s">
        <v>76</v>
      </c>
      <c r="R111" s="1" t="s">
        <v>46</v>
      </c>
    </row>
    <row r="112" spans="1:18" x14ac:dyDescent="0.35">
      <c r="A112" s="3" t="s">
        <v>108</v>
      </c>
      <c r="B112" s="3"/>
      <c r="C112" s="1" t="s">
        <v>19</v>
      </c>
      <c r="D112" s="1" t="s">
        <v>29</v>
      </c>
      <c r="E112" s="1" t="s">
        <v>43</v>
      </c>
      <c r="F112" s="1" t="s">
        <v>38</v>
      </c>
      <c r="G112" s="1" t="s">
        <v>49</v>
      </c>
      <c r="H112" s="2">
        <v>45020</v>
      </c>
      <c r="I112" s="2">
        <v>45076</v>
      </c>
      <c r="J112" s="1">
        <v>31131.26</v>
      </c>
      <c r="K112" s="1">
        <v>0.18060000000000001</v>
      </c>
      <c r="L112" s="1">
        <v>5622.31</v>
      </c>
      <c r="M112" s="1">
        <v>508560</v>
      </c>
      <c r="N112" s="1">
        <v>116</v>
      </c>
      <c r="O112" s="1">
        <v>84217.78</v>
      </c>
      <c r="P112" s="1">
        <v>2023</v>
      </c>
      <c r="Q112" s="1" t="s">
        <v>76</v>
      </c>
      <c r="R112" s="1" t="s">
        <v>46</v>
      </c>
    </row>
    <row r="113" spans="1:18" x14ac:dyDescent="0.35">
      <c r="A113" s="3" t="s">
        <v>112</v>
      </c>
      <c r="B113" s="3"/>
      <c r="C113" s="1" t="s">
        <v>48</v>
      </c>
      <c r="D113" s="1" t="s">
        <v>20</v>
      </c>
      <c r="E113" s="1" t="s">
        <v>37</v>
      </c>
      <c r="F113" s="1" t="s">
        <v>22</v>
      </c>
      <c r="G113" s="1" t="s">
        <v>49</v>
      </c>
      <c r="H113" s="2">
        <v>45020</v>
      </c>
      <c r="I113" s="2">
        <v>45068</v>
      </c>
      <c r="J113" s="1">
        <v>31313.599999999999</v>
      </c>
      <c r="K113" s="1">
        <v>1.1176999999999999</v>
      </c>
      <c r="L113" s="1">
        <v>34999.21</v>
      </c>
      <c r="M113" s="1">
        <v>806456</v>
      </c>
      <c r="N113" s="1">
        <v>41068</v>
      </c>
      <c r="O113" s="1">
        <v>19712.82</v>
      </c>
      <c r="P113" s="1">
        <v>2023</v>
      </c>
      <c r="Q113" s="1" t="s">
        <v>76</v>
      </c>
      <c r="R113" s="1" t="s">
        <v>46</v>
      </c>
    </row>
    <row r="114" spans="1:18" x14ac:dyDescent="0.35">
      <c r="A114" s="3" t="s">
        <v>50</v>
      </c>
      <c r="B114" s="3"/>
      <c r="C114" s="1" t="s">
        <v>19</v>
      </c>
      <c r="D114" s="1" t="s">
        <v>36</v>
      </c>
      <c r="E114" s="1" t="s">
        <v>59</v>
      </c>
      <c r="F114" s="1" t="s">
        <v>30</v>
      </c>
      <c r="G114" s="1" t="s">
        <v>44</v>
      </c>
      <c r="H114" s="2">
        <v>45021</v>
      </c>
      <c r="I114" s="2">
        <v>45060</v>
      </c>
      <c r="J114" s="1">
        <v>36504.65</v>
      </c>
      <c r="K114" s="1">
        <v>0.23669999999999999</v>
      </c>
      <c r="L114" s="1">
        <v>8640.65</v>
      </c>
      <c r="M114" s="1">
        <v>291502</v>
      </c>
      <c r="N114" s="1">
        <v>24818</v>
      </c>
      <c r="O114" s="1">
        <v>170049.62</v>
      </c>
      <c r="P114" s="1">
        <v>2023</v>
      </c>
      <c r="Q114" s="1" t="s">
        <v>76</v>
      </c>
      <c r="R114" s="1" t="s">
        <v>46</v>
      </c>
    </row>
    <row r="115" spans="1:18" x14ac:dyDescent="0.35">
      <c r="A115" s="3" t="s">
        <v>66</v>
      </c>
      <c r="B115" s="3"/>
      <c r="C115" s="1" t="s">
        <v>19</v>
      </c>
      <c r="D115" s="1" t="s">
        <v>36</v>
      </c>
      <c r="E115" s="1" t="s">
        <v>59</v>
      </c>
      <c r="F115" s="1" t="s">
        <v>38</v>
      </c>
      <c r="G115" s="1" t="s">
        <v>44</v>
      </c>
      <c r="H115" s="2">
        <v>45022</v>
      </c>
      <c r="I115" s="2">
        <v>45079</v>
      </c>
      <c r="J115" s="1">
        <v>47647.98</v>
      </c>
      <c r="K115" s="1">
        <v>0.28949999999999998</v>
      </c>
      <c r="L115" s="1">
        <v>13794.09</v>
      </c>
      <c r="M115" s="1">
        <v>335498</v>
      </c>
      <c r="N115" s="1">
        <v>14822</v>
      </c>
      <c r="O115" s="1">
        <v>202607.91</v>
      </c>
      <c r="P115" s="1">
        <v>2023</v>
      </c>
      <c r="Q115" s="1" t="s">
        <v>76</v>
      </c>
      <c r="R115" s="1" t="s">
        <v>46</v>
      </c>
    </row>
    <row r="116" spans="1:18" x14ac:dyDescent="0.35">
      <c r="A116" s="3" t="s">
        <v>75</v>
      </c>
      <c r="B116" s="3"/>
      <c r="C116" s="1" t="s">
        <v>19</v>
      </c>
      <c r="D116" s="1" t="s">
        <v>29</v>
      </c>
      <c r="E116" s="1" t="s">
        <v>21</v>
      </c>
      <c r="F116" s="1" t="s">
        <v>22</v>
      </c>
      <c r="G116" s="1" t="s">
        <v>49</v>
      </c>
      <c r="H116" s="2">
        <v>45022</v>
      </c>
      <c r="I116" s="2">
        <v>45075</v>
      </c>
      <c r="J116" s="1">
        <v>42586.09</v>
      </c>
      <c r="K116" s="1">
        <v>0.2079</v>
      </c>
      <c r="L116" s="1">
        <v>8853.65</v>
      </c>
      <c r="M116" s="1">
        <v>519231</v>
      </c>
      <c r="N116" s="1">
        <v>31646</v>
      </c>
      <c r="O116" s="1">
        <v>57368.09</v>
      </c>
      <c r="P116" s="1">
        <v>2023</v>
      </c>
      <c r="Q116" s="1" t="s">
        <v>76</v>
      </c>
      <c r="R116" s="1" t="s">
        <v>46</v>
      </c>
    </row>
    <row r="117" spans="1:18" x14ac:dyDescent="0.35">
      <c r="A117" s="3" t="s">
        <v>66</v>
      </c>
      <c r="B117" s="3"/>
      <c r="C117" s="1" t="s">
        <v>28</v>
      </c>
      <c r="D117" s="1" t="s">
        <v>69</v>
      </c>
      <c r="E117" s="1" t="s">
        <v>43</v>
      </c>
      <c r="F117" s="1" t="s">
        <v>30</v>
      </c>
      <c r="G117" s="1" t="s">
        <v>31</v>
      </c>
      <c r="H117" s="2">
        <v>45022</v>
      </c>
      <c r="I117" s="2">
        <v>45041</v>
      </c>
      <c r="J117" s="1">
        <v>49620.6</v>
      </c>
      <c r="K117" s="1">
        <v>1.0964</v>
      </c>
      <c r="L117" s="1">
        <v>54404.03</v>
      </c>
      <c r="M117" s="1">
        <v>493863</v>
      </c>
      <c r="N117" s="1">
        <v>7798</v>
      </c>
      <c r="O117" s="1">
        <v>163688.87</v>
      </c>
      <c r="P117" s="1">
        <v>2023</v>
      </c>
      <c r="Q117" s="1" t="s">
        <v>76</v>
      </c>
      <c r="R117" s="1" t="s">
        <v>46</v>
      </c>
    </row>
    <row r="118" spans="1:18" x14ac:dyDescent="0.35">
      <c r="A118" s="3" t="s">
        <v>107</v>
      </c>
      <c r="B118" s="3"/>
      <c r="C118" s="1" t="s">
        <v>19</v>
      </c>
      <c r="D118" s="1" t="s">
        <v>20</v>
      </c>
      <c r="E118" s="1" t="s">
        <v>21</v>
      </c>
      <c r="F118" s="1" t="s">
        <v>22</v>
      </c>
      <c r="G118" s="1" t="s">
        <v>52</v>
      </c>
      <c r="H118" s="2">
        <v>45022</v>
      </c>
      <c r="I118" s="2">
        <v>45032</v>
      </c>
      <c r="J118" s="1">
        <v>2256.37</v>
      </c>
      <c r="K118" s="1">
        <v>2.3699999999999999E-2</v>
      </c>
      <c r="L118" s="1">
        <v>53.48</v>
      </c>
      <c r="M118" s="1">
        <v>817437</v>
      </c>
      <c r="N118" s="1">
        <v>38981</v>
      </c>
      <c r="O118" s="1">
        <v>42496.91</v>
      </c>
      <c r="P118" s="1">
        <v>2023</v>
      </c>
      <c r="Q118" s="1" t="s">
        <v>76</v>
      </c>
      <c r="R118" s="1" t="s">
        <v>46</v>
      </c>
    </row>
    <row r="119" spans="1:18" x14ac:dyDescent="0.35">
      <c r="A119" s="3" t="s">
        <v>57</v>
      </c>
      <c r="B119" s="3"/>
      <c r="C119" s="1" t="s">
        <v>19</v>
      </c>
      <c r="D119" s="1" t="s">
        <v>58</v>
      </c>
      <c r="E119" s="1" t="s">
        <v>37</v>
      </c>
      <c r="F119" s="1" t="s">
        <v>38</v>
      </c>
      <c r="G119" s="1" t="s">
        <v>23</v>
      </c>
      <c r="H119" s="2">
        <v>45022</v>
      </c>
      <c r="I119" s="2">
        <v>45031</v>
      </c>
      <c r="J119" s="1">
        <v>25218.01</v>
      </c>
      <c r="K119" s="1">
        <v>0.44009999999999999</v>
      </c>
      <c r="L119" s="1">
        <v>11098.45</v>
      </c>
      <c r="M119" s="1">
        <v>889037</v>
      </c>
      <c r="N119" s="1">
        <v>13729</v>
      </c>
      <c r="O119" s="1">
        <v>100746.05</v>
      </c>
      <c r="P119" s="1">
        <v>2023</v>
      </c>
      <c r="Q119" s="1" t="s">
        <v>76</v>
      </c>
      <c r="R119" s="1" t="s">
        <v>46</v>
      </c>
    </row>
    <row r="120" spans="1:18" x14ac:dyDescent="0.35">
      <c r="A120" s="3" t="s">
        <v>67</v>
      </c>
      <c r="B120" s="3"/>
      <c r="C120" s="1" t="s">
        <v>48</v>
      </c>
      <c r="D120" s="1" t="s">
        <v>69</v>
      </c>
      <c r="E120" s="1" t="s">
        <v>63</v>
      </c>
      <c r="F120" s="1" t="s">
        <v>22</v>
      </c>
      <c r="G120" s="1" t="s">
        <v>44</v>
      </c>
      <c r="H120" s="2">
        <v>45023</v>
      </c>
      <c r="I120" s="2">
        <v>45030</v>
      </c>
      <c r="J120" s="1">
        <v>23558.12</v>
      </c>
      <c r="K120" s="1">
        <v>0.1958</v>
      </c>
      <c r="L120" s="1">
        <v>4612.68</v>
      </c>
      <c r="M120" s="1">
        <v>287860</v>
      </c>
      <c r="N120" s="1">
        <v>24157</v>
      </c>
      <c r="O120" s="1">
        <v>222958.21</v>
      </c>
      <c r="P120" s="1">
        <v>2023</v>
      </c>
      <c r="Q120" s="1" t="s">
        <v>76</v>
      </c>
      <c r="R120" s="1" t="s">
        <v>46</v>
      </c>
    </row>
    <row r="121" spans="1:18" x14ac:dyDescent="0.35">
      <c r="A121" s="3" t="s">
        <v>71</v>
      </c>
      <c r="B121" s="3"/>
      <c r="C121" s="1" t="s">
        <v>35</v>
      </c>
      <c r="D121" s="1" t="s">
        <v>58</v>
      </c>
      <c r="E121" s="1" t="s">
        <v>43</v>
      </c>
      <c r="F121" s="1" t="s">
        <v>30</v>
      </c>
      <c r="G121" s="1" t="s">
        <v>23</v>
      </c>
      <c r="H121" s="2">
        <v>45024</v>
      </c>
      <c r="I121" s="2">
        <v>45076</v>
      </c>
      <c r="J121" s="1">
        <v>29821.59</v>
      </c>
      <c r="K121" s="1">
        <v>0.47539999999999999</v>
      </c>
      <c r="L121" s="1">
        <v>14177.18</v>
      </c>
      <c r="M121" s="1">
        <v>881861</v>
      </c>
      <c r="N121" s="1">
        <v>39794</v>
      </c>
      <c r="O121" s="1">
        <v>215529.25</v>
      </c>
      <c r="P121" s="1">
        <v>2023</v>
      </c>
      <c r="Q121" s="1" t="s">
        <v>76</v>
      </c>
      <c r="R121" s="1" t="s">
        <v>46</v>
      </c>
    </row>
    <row r="122" spans="1:18" x14ac:dyDescent="0.35">
      <c r="A122" s="3" t="s">
        <v>72</v>
      </c>
      <c r="B122" s="3"/>
      <c r="C122" s="1" t="s">
        <v>35</v>
      </c>
      <c r="D122" s="1" t="s">
        <v>20</v>
      </c>
      <c r="E122" s="1" t="s">
        <v>21</v>
      </c>
      <c r="F122" s="1" t="s">
        <v>22</v>
      </c>
      <c r="G122" s="1" t="s">
        <v>49</v>
      </c>
      <c r="H122" s="2">
        <v>45025</v>
      </c>
      <c r="I122" s="2">
        <v>45052</v>
      </c>
      <c r="J122" s="1">
        <v>48733.78</v>
      </c>
      <c r="K122" s="1">
        <v>0.2238</v>
      </c>
      <c r="L122" s="1">
        <v>10906.62</v>
      </c>
      <c r="M122" s="1">
        <v>65021</v>
      </c>
      <c r="N122" s="1">
        <v>7790</v>
      </c>
      <c r="O122" s="1">
        <v>245167.81</v>
      </c>
      <c r="P122" s="1">
        <v>2023</v>
      </c>
      <c r="Q122" s="1" t="s">
        <v>76</v>
      </c>
      <c r="R122" s="1" t="s">
        <v>46</v>
      </c>
    </row>
    <row r="123" spans="1:18" x14ac:dyDescent="0.35">
      <c r="A123" s="3" t="s">
        <v>62</v>
      </c>
      <c r="B123" s="3"/>
      <c r="C123" s="1" t="s">
        <v>48</v>
      </c>
      <c r="D123" s="1" t="s">
        <v>20</v>
      </c>
      <c r="E123" s="1" t="s">
        <v>63</v>
      </c>
      <c r="F123" s="1" t="s">
        <v>38</v>
      </c>
      <c r="G123" s="1" t="s">
        <v>49</v>
      </c>
      <c r="H123" s="2">
        <v>45026</v>
      </c>
      <c r="I123" s="2">
        <v>45060</v>
      </c>
      <c r="J123" s="1">
        <v>16209.19</v>
      </c>
      <c r="K123" s="1">
        <v>0.77690000000000003</v>
      </c>
      <c r="L123" s="1">
        <v>12592.92</v>
      </c>
      <c r="M123" s="1">
        <v>813726</v>
      </c>
      <c r="N123" s="1">
        <v>30600</v>
      </c>
      <c r="O123" s="1">
        <v>120283.74</v>
      </c>
      <c r="P123" s="1">
        <v>2023</v>
      </c>
      <c r="Q123" s="1" t="s">
        <v>76</v>
      </c>
      <c r="R123" s="1" t="s">
        <v>46</v>
      </c>
    </row>
    <row r="124" spans="1:18" x14ac:dyDescent="0.35">
      <c r="A124" s="3" t="s">
        <v>68</v>
      </c>
      <c r="B124" s="3"/>
      <c r="C124" s="1" t="s">
        <v>48</v>
      </c>
      <c r="D124" s="1" t="s">
        <v>29</v>
      </c>
      <c r="E124" s="1" t="s">
        <v>63</v>
      </c>
      <c r="F124" s="1" t="s">
        <v>22</v>
      </c>
      <c r="G124" s="1" t="s">
        <v>52</v>
      </c>
      <c r="H124" s="2">
        <v>45026</v>
      </c>
      <c r="I124" s="2">
        <v>45035</v>
      </c>
      <c r="J124" s="1">
        <v>38913.440000000002</v>
      </c>
      <c r="K124" s="1">
        <v>0.50719999999999998</v>
      </c>
      <c r="L124" s="1">
        <v>19736.900000000001</v>
      </c>
      <c r="M124" s="1">
        <v>447090</v>
      </c>
      <c r="N124" s="1">
        <v>42994</v>
      </c>
      <c r="O124" s="1">
        <v>75643.360000000001</v>
      </c>
      <c r="P124" s="1">
        <v>2023</v>
      </c>
      <c r="Q124" s="1" t="s">
        <v>76</v>
      </c>
      <c r="R124" s="1" t="s">
        <v>46</v>
      </c>
    </row>
    <row r="125" spans="1:18" x14ac:dyDescent="0.35">
      <c r="A125" s="3" t="s">
        <v>111</v>
      </c>
      <c r="B125" s="3"/>
      <c r="C125" s="1" t="s">
        <v>35</v>
      </c>
      <c r="D125" s="1" t="s">
        <v>58</v>
      </c>
      <c r="E125" s="1" t="s">
        <v>37</v>
      </c>
      <c r="F125" s="1" t="s">
        <v>30</v>
      </c>
      <c r="G125" s="1" t="s">
        <v>52</v>
      </c>
      <c r="H125" s="2">
        <v>45027</v>
      </c>
      <c r="I125" s="2">
        <v>45083</v>
      </c>
      <c r="J125" s="1">
        <v>49084.6</v>
      </c>
      <c r="K125" s="1">
        <v>0.56869999999999998</v>
      </c>
      <c r="L125" s="1">
        <v>27914.41</v>
      </c>
      <c r="M125" s="1">
        <v>890521</v>
      </c>
      <c r="N125" s="1">
        <v>21086</v>
      </c>
      <c r="O125" s="1">
        <v>229010.97</v>
      </c>
      <c r="P125" s="1">
        <v>2023</v>
      </c>
      <c r="Q125" s="1" t="s">
        <v>76</v>
      </c>
      <c r="R125" s="1" t="s">
        <v>46</v>
      </c>
    </row>
    <row r="126" spans="1:18" x14ac:dyDescent="0.35">
      <c r="A126" s="3" t="s">
        <v>75</v>
      </c>
      <c r="B126" s="3"/>
      <c r="C126" s="1" t="s">
        <v>35</v>
      </c>
      <c r="D126" s="1" t="s">
        <v>36</v>
      </c>
      <c r="E126" s="1" t="s">
        <v>51</v>
      </c>
      <c r="F126" s="1" t="s">
        <v>38</v>
      </c>
      <c r="G126" s="1" t="s">
        <v>49</v>
      </c>
      <c r="H126" s="2">
        <v>45027</v>
      </c>
      <c r="I126" s="2">
        <v>45059</v>
      </c>
      <c r="J126" s="1">
        <v>12375.06</v>
      </c>
      <c r="K126" s="1">
        <v>0.10050000000000001</v>
      </c>
      <c r="L126" s="1">
        <v>1243.69</v>
      </c>
      <c r="M126" s="1">
        <v>644565</v>
      </c>
      <c r="N126" s="1">
        <v>40330</v>
      </c>
      <c r="O126" s="1">
        <v>238940.31</v>
      </c>
      <c r="P126" s="1">
        <v>2023</v>
      </c>
      <c r="Q126" s="1" t="s">
        <v>76</v>
      </c>
      <c r="R126" s="1" t="s">
        <v>46</v>
      </c>
    </row>
    <row r="127" spans="1:18" x14ac:dyDescent="0.35">
      <c r="A127" s="3" t="s">
        <v>90</v>
      </c>
      <c r="B127" s="3"/>
      <c r="C127" s="1" t="s">
        <v>28</v>
      </c>
      <c r="D127" s="1" t="s">
        <v>36</v>
      </c>
      <c r="E127" s="1" t="s">
        <v>21</v>
      </c>
      <c r="F127" s="1" t="s">
        <v>22</v>
      </c>
      <c r="G127" s="1" t="s">
        <v>52</v>
      </c>
      <c r="H127" s="2">
        <v>45027</v>
      </c>
      <c r="I127" s="2">
        <v>45047</v>
      </c>
      <c r="J127" s="1">
        <v>37149.65</v>
      </c>
      <c r="K127" s="1">
        <v>1.0451999999999999</v>
      </c>
      <c r="L127" s="1">
        <v>38828.81</v>
      </c>
      <c r="M127" s="1">
        <v>403774</v>
      </c>
      <c r="N127" s="1">
        <v>14561</v>
      </c>
      <c r="O127" s="1">
        <v>23014.78</v>
      </c>
      <c r="P127" s="1">
        <v>2023</v>
      </c>
      <c r="Q127" s="1" t="s">
        <v>76</v>
      </c>
      <c r="R127" s="1" t="s">
        <v>46</v>
      </c>
    </row>
    <row r="128" spans="1:18" x14ac:dyDescent="0.35">
      <c r="A128" s="3" t="s">
        <v>81</v>
      </c>
      <c r="B128" s="3"/>
      <c r="C128" s="1" t="s">
        <v>48</v>
      </c>
      <c r="D128" s="1" t="s">
        <v>69</v>
      </c>
      <c r="E128" s="1" t="s">
        <v>63</v>
      </c>
      <c r="F128" s="1" t="s">
        <v>30</v>
      </c>
      <c r="G128" s="1" t="s">
        <v>23</v>
      </c>
      <c r="H128" s="2">
        <v>45028</v>
      </c>
      <c r="I128" s="2">
        <v>45055</v>
      </c>
      <c r="J128" s="1">
        <v>14954.76</v>
      </c>
      <c r="K128" s="1">
        <v>0.15110000000000001</v>
      </c>
      <c r="L128" s="1">
        <v>2259.66</v>
      </c>
      <c r="M128" s="1">
        <v>297150</v>
      </c>
      <c r="N128" s="1">
        <v>31992</v>
      </c>
      <c r="O128" s="1">
        <v>112534.6</v>
      </c>
      <c r="P128" s="1">
        <v>2023</v>
      </c>
      <c r="Q128" s="1" t="s">
        <v>76</v>
      </c>
      <c r="R128" s="1" t="s">
        <v>46</v>
      </c>
    </row>
    <row r="129" spans="1:18" x14ac:dyDescent="0.35">
      <c r="A129" s="3" t="s">
        <v>89</v>
      </c>
      <c r="B129" s="3"/>
      <c r="C129" s="1" t="s">
        <v>35</v>
      </c>
      <c r="D129" s="1" t="s">
        <v>36</v>
      </c>
      <c r="E129" s="1" t="s">
        <v>63</v>
      </c>
      <c r="F129" s="1" t="s">
        <v>22</v>
      </c>
      <c r="G129" s="1" t="s">
        <v>44</v>
      </c>
      <c r="H129" s="2">
        <v>45028</v>
      </c>
      <c r="I129" s="2">
        <v>45035</v>
      </c>
      <c r="J129" s="1">
        <v>28979.599999999999</v>
      </c>
      <c r="K129" s="1">
        <v>1.0052000000000001</v>
      </c>
      <c r="L129" s="1">
        <v>29130.29</v>
      </c>
      <c r="M129" s="1">
        <v>699880</v>
      </c>
      <c r="N129" s="1">
        <v>32206</v>
      </c>
      <c r="O129" s="1">
        <v>133826.23000000001</v>
      </c>
      <c r="P129" s="1">
        <v>2023</v>
      </c>
      <c r="Q129" s="1" t="s">
        <v>76</v>
      </c>
      <c r="R129" s="1" t="s">
        <v>46</v>
      </c>
    </row>
    <row r="130" spans="1:18" x14ac:dyDescent="0.35">
      <c r="A130" s="3" t="s">
        <v>27</v>
      </c>
      <c r="B130" s="3"/>
      <c r="C130" s="1" t="s">
        <v>35</v>
      </c>
      <c r="D130" s="1" t="s">
        <v>58</v>
      </c>
      <c r="E130" s="1" t="s">
        <v>63</v>
      </c>
      <c r="F130" s="1" t="s">
        <v>38</v>
      </c>
      <c r="G130" s="1" t="s">
        <v>49</v>
      </c>
      <c r="H130" s="2">
        <v>45029</v>
      </c>
      <c r="I130" s="2">
        <v>45053</v>
      </c>
      <c r="J130" s="1">
        <v>40390.74</v>
      </c>
      <c r="K130" s="1">
        <v>0.40949999999999998</v>
      </c>
      <c r="L130" s="1">
        <v>16540.009999999998</v>
      </c>
      <c r="M130" s="1">
        <v>524496</v>
      </c>
      <c r="N130" s="1">
        <v>48256</v>
      </c>
      <c r="O130" s="1">
        <v>90941.36</v>
      </c>
      <c r="P130" s="1">
        <v>2023</v>
      </c>
      <c r="Q130" s="1" t="s">
        <v>76</v>
      </c>
      <c r="R130" s="1" t="s">
        <v>46</v>
      </c>
    </row>
    <row r="131" spans="1:18" x14ac:dyDescent="0.35">
      <c r="A131" s="3" t="s">
        <v>18</v>
      </c>
      <c r="B131" s="3"/>
      <c r="C131" s="1" t="s">
        <v>19</v>
      </c>
      <c r="D131" s="1" t="s">
        <v>29</v>
      </c>
      <c r="E131" s="1" t="s">
        <v>21</v>
      </c>
      <c r="F131" s="1" t="s">
        <v>30</v>
      </c>
      <c r="G131" s="1" t="s">
        <v>23</v>
      </c>
      <c r="H131" s="2">
        <v>45029</v>
      </c>
      <c r="I131" s="2">
        <v>45047</v>
      </c>
      <c r="J131" s="1">
        <v>25908.83</v>
      </c>
      <c r="K131" s="1">
        <v>0.94540000000000002</v>
      </c>
      <c r="L131" s="1">
        <v>24494.21</v>
      </c>
      <c r="M131" s="1">
        <v>849756</v>
      </c>
      <c r="N131" s="1">
        <v>36182</v>
      </c>
      <c r="O131" s="1">
        <v>155436.21</v>
      </c>
      <c r="P131" s="1">
        <v>2023</v>
      </c>
      <c r="Q131" s="1" t="s">
        <v>76</v>
      </c>
      <c r="R131" s="1" t="s">
        <v>46</v>
      </c>
    </row>
    <row r="132" spans="1:18" x14ac:dyDescent="0.35">
      <c r="A132" s="3" t="s">
        <v>70</v>
      </c>
      <c r="B132" s="3"/>
      <c r="C132" s="1" t="s">
        <v>28</v>
      </c>
      <c r="D132" s="1" t="s">
        <v>58</v>
      </c>
      <c r="E132" s="1" t="s">
        <v>59</v>
      </c>
      <c r="F132" s="1" t="s">
        <v>30</v>
      </c>
      <c r="G132" s="1" t="s">
        <v>52</v>
      </c>
      <c r="H132" s="2">
        <v>45030</v>
      </c>
      <c r="I132" s="2">
        <v>45073</v>
      </c>
      <c r="J132" s="1">
        <v>2645.24</v>
      </c>
      <c r="K132" s="1">
        <v>0.72140000000000004</v>
      </c>
      <c r="L132" s="1">
        <v>1908.28</v>
      </c>
      <c r="M132" s="1">
        <v>747449</v>
      </c>
      <c r="N132" s="1">
        <v>3290</v>
      </c>
      <c r="O132" s="1">
        <v>64959.87</v>
      </c>
      <c r="P132" s="1">
        <v>2023</v>
      </c>
      <c r="Q132" s="1" t="s">
        <v>76</v>
      </c>
      <c r="R132" s="1" t="s">
        <v>46</v>
      </c>
    </row>
    <row r="133" spans="1:18" x14ac:dyDescent="0.35">
      <c r="A133" s="3" t="s">
        <v>100</v>
      </c>
      <c r="B133" s="3"/>
      <c r="C133" s="1" t="s">
        <v>35</v>
      </c>
      <c r="D133" s="1" t="s">
        <v>69</v>
      </c>
      <c r="E133" s="1" t="s">
        <v>21</v>
      </c>
      <c r="F133" s="1" t="s">
        <v>30</v>
      </c>
      <c r="G133" s="1" t="s">
        <v>31</v>
      </c>
      <c r="H133" s="2">
        <v>45030</v>
      </c>
      <c r="I133" s="2">
        <v>45042</v>
      </c>
      <c r="J133" s="1">
        <v>25436.9</v>
      </c>
      <c r="K133" s="1">
        <v>7.1300000000000002E-2</v>
      </c>
      <c r="L133" s="1">
        <v>1813.65</v>
      </c>
      <c r="M133" s="1">
        <v>576795</v>
      </c>
      <c r="N133" s="1">
        <v>21787</v>
      </c>
      <c r="O133" s="1">
        <v>10522.91</v>
      </c>
      <c r="P133" s="1">
        <v>2023</v>
      </c>
      <c r="Q133" s="1" t="s">
        <v>76</v>
      </c>
      <c r="R133" s="1" t="s">
        <v>46</v>
      </c>
    </row>
    <row r="134" spans="1:18" x14ac:dyDescent="0.35">
      <c r="A134" s="3" t="s">
        <v>68</v>
      </c>
      <c r="B134" s="3"/>
      <c r="C134" s="1" t="s">
        <v>28</v>
      </c>
      <c r="D134" s="1" t="s">
        <v>29</v>
      </c>
      <c r="E134" s="1" t="s">
        <v>63</v>
      </c>
      <c r="F134" s="1" t="s">
        <v>30</v>
      </c>
      <c r="G134" s="1" t="s">
        <v>31</v>
      </c>
      <c r="H134" s="2">
        <v>45032</v>
      </c>
      <c r="I134" s="2">
        <v>45069</v>
      </c>
      <c r="J134" s="1">
        <v>44436.39</v>
      </c>
      <c r="K134" s="1">
        <v>0.50419999999999998</v>
      </c>
      <c r="L134" s="1">
        <v>22404.83</v>
      </c>
      <c r="M134" s="1">
        <v>11269</v>
      </c>
      <c r="N134" s="1">
        <v>14800</v>
      </c>
      <c r="O134" s="1">
        <v>10880.21</v>
      </c>
      <c r="P134" s="1">
        <v>2023</v>
      </c>
      <c r="Q134" s="1" t="s">
        <v>76</v>
      </c>
      <c r="R134" s="1" t="s">
        <v>46</v>
      </c>
    </row>
    <row r="135" spans="1:18" x14ac:dyDescent="0.35">
      <c r="A135" s="3" t="s">
        <v>107</v>
      </c>
      <c r="B135" s="3"/>
      <c r="C135" s="1" t="s">
        <v>28</v>
      </c>
      <c r="D135" s="1" t="s">
        <v>69</v>
      </c>
      <c r="E135" s="1" t="s">
        <v>43</v>
      </c>
      <c r="F135" s="1" t="s">
        <v>22</v>
      </c>
      <c r="G135" s="1" t="s">
        <v>52</v>
      </c>
      <c r="H135" s="2">
        <v>45033</v>
      </c>
      <c r="I135" s="2">
        <v>45064</v>
      </c>
      <c r="J135" s="1">
        <v>45650.11</v>
      </c>
      <c r="K135" s="1">
        <v>0.58440000000000003</v>
      </c>
      <c r="L135" s="1">
        <v>26677.919999999998</v>
      </c>
      <c r="M135" s="1">
        <v>606580</v>
      </c>
      <c r="N135" s="1">
        <v>44559</v>
      </c>
      <c r="O135" s="1">
        <v>112349.89</v>
      </c>
      <c r="P135" s="1">
        <v>2023</v>
      </c>
      <c r="Q135" s="1" t="s">
        <v>76</v>
      </c>
      <c r="R135" s="1" t="s">
        <v>46</v>
      </c>
    </row>
    <row r="136" spans="1:18" x14ac:dyDescent="0.35">
      <c r="A136" s="3" t="s">
        <v>81</v>
      </c>
      <c r="B136" s="3"/>
      <c r="C136" s="1" t="s">
        <v>28</v>
      </c>
      <c r="D136" s="1" t="s">
        <v>69</v>
      </c>
      <c r="E136" s="1" t="s">
        <v>21</v>
      </c>
      <c r="F136" s="1" t="s">
        <v>30</v>
      </c>
      <c r="G136" s="1" t="s">
        <v>49</v>
      </c>
      <c r="H136" s="2">
        <v>45035</v>
      </c>
      <c r="I136" s="2">
        <v>45076</v>
      </c>
      <c r="J136" s="1">
        <v>39197.69</v>
      </c>
      <c r="K136" s="1">
        <v>0.94499999999999995</v>
      </c>
      <c r="L136" s="1">
        <v>37041.82</v>
      </c>
      <c r="M136" s="1">
        <v>919613</v>
      </c>
      <c r="N136" s="1">
        <v>35203</v>
      </c>
      <c r="O136" s="1">
        <v>220633.27</v>
      </c>
      <c r="P136" s="1">
        <v>2023</v>
      </c>
      <c r="Q136" s="1" t="s">
        <v>76</v>
      </c>
      <c r="R136" s="1" t="s">
        <v>46</v>
      </c>
    </row>
    <row r="137" spans="1:18" x14ac:dyDescent="0.35">
      <c r="A137" s="3" t="s">
        <v>97</v>
      </c>
      <c r="B137" s="3"/>
      <c r="C137" s="1" t="s">
        <v>48</v>
      </c>
      <c r="D137" s="1" t="s">
        <v>58</v>
      </c>
      <c r="E137" s="1" t="s">
        <v>51</v>
      </c>
      <c r="F137" s="1" t="s">
        <v>38</v>
      </c>
      <c r="G137" s="1" t="s">
        <v>52</v>
      </c>
      <c r="H137" s="2">
        <v>45036</v>
      </c>
      <c r="I137" s="2">
        <v>45066</v>
      </c>
      <c r="J137" s="1">
        <v>1450.24</v>
      </c>
      <c r="K137" s="1">
        <v>1.0243</v>
      </c>
      <c r="L137" s="1">
        <v>1485.48</v>
      </c>
      <c r="M137" s="1">
        <v>341272</v>
      </c>
      <c r="N137" s="1">
        <v>9583</v>
      </c>
      <c r="O137" s="1">
        <v>204956.25</v>
      </c>
      <c r="P137" s="1">
        <v>2023</v>
      </c>
      <c r="Q137" s="1" t="s">
        <v>76</v>
      </c>
      <c r="R137" s="1" t="s">
        <v>46</v>
      </c>
    </row>
    <row r="138" spans="1:18" x14ac:dyDescent="0.35">
      <c r="A138" s="3" t="s">
        <v>106</v>
      </c>
      <c r="B138" s="3"/>
      <c r="C138" s="1" t="s">
        <v>35</v>
      </c>
      <c r="D138" s="1" t="s">
        <v>69</v>
      </c>
      <c r="E138" s="1" t="s">
        <v>21</v>
      </c>
      <c r="F138" s="1" t="s">
        <v>38</v>
      </c>
      <c r="G138" s="1" t="s">
        <v>44</v>
      </c>
      <c r="H138" s="2">
        <v>45037</v>
      </c>
      <c r="I138" s="2">
        <v>45048</v>
      </c>
      <c r="J138" s="1">
        <v>1602.14</v>
      </c>
      <c r="K138" s="1">
        <v>0.85880000000000001</v>
      </c>
      <c r="L138" s="1">
        <v>1375.92</v>
      </c>
      <c r="M138" s="1">
        <v>631686</v>
      </c>
      <c r="N138" s="1">
        <v>12788</v>
      </c>
      <c r="O138" s="1">
        <v>226570.65</v>
      </c>
      <c r="P138" s="1">
        <v>2023</v>
      </c>
      <c r="Q138" s="1" t="s">
        <v>76</v>
      </c>
      <c r="R138" s="1" t="s">
        <v>46</v>
      </c>
    </row>
    <row r="139" spans="1:18" x14ac:dyDescent="0.35">
      <c r="A139" s="3" t="s">
        <v>116</v>
      </c>
      <c r="B139" s="3"/>
      <c r="C139" s="1" t="s">
        <v>28</v>
      </c>
      <c r="D139" s="1" t="s">
        <v>69</v>
      </c>
      <c r="E139" s="1" t="s">
        <v>37</v>
      </c>
      <c r="F139" s="1" t="s">
        <v>22</v>
      </c>
      <c r="G139" s="1" t="s">
        <v>49</v>
      </c>
      <c r="H139" s="2">
        <v>45038</v>
      </c>
      <c r="I139" s="2">
        <v>45083</v>
      </c>
      <c r="J139" s="1">
        <v>29057.97</v>
      </c>
      <c r="K139" s="1">
        <v>0.95909999999999995</v>
      </c>
      <c r="L139" s="1">
        <v>27869.5</v>
      </c>
      <c r="M139" s="1">
        <v>863779</v>
      </c>
      <c r="N139" s="1">
        <v>9452</v>
      </c>
      <c r="O139" s="1">
        <v>70910.23</v>
      </c>
      <c r="P139" s="1">
        <v>2023</v>
      </c>
      <c r="Q139" s="1" t="s">
        <v>76</v>
      </c>
      <c r="R139" s="1" t="s">
        <v>46</v>
      </c>
    </row>
    <row r="140" spans="1:18" x14ac:dyDescent="0.35">
      <c r="A140" s="3" t="s">
        <v>77</v>
      </c>
      <c r="B140" s="3"/>
      <c r="C140" s="1" t="s">
        <v>19</v>
      </c>
      <c r="D140" s="1" t="s">
        <v>58</v>
      </c>
      <c r="E140" s="1" t="s">
        <v>43</v>
      </c>
      <c r="F140" s="1" t="s">
        <v>22</v>
      </c>
      <c r="G140" s="1" t="s">
        <v>31</v>
      </c>
      <c r="H140" s="2">
        <v>45038</v>
      </c>
      <c r="I140" s="2">
        <v>45081</v>
      </c>
      <c r="J140" s="1">
        <v>22293.62</v>
      </c>
      <c r="K140" s="1">
        <v>0.877</v>
      </c>
      <c r="L140" s="1">
        <v>19551.5</v>
      </c>
      <c r="M140" s="1">
        <v>338914</v>
      </c>
      <c r="N140" s="1">
        <v>28699</v>
      </c>
      <c r="O140" s="1">
        <v>153521.17000000001</v>
      </c>
      <c r="P140" s="1">
        <v>2023</v>
      </c>
      <c r="Q140" s="1" t="s">
        <v>76</v>
      </c>
      <c r="R140" s="1" t="s">
        <v>46</v>
      </c>
    </row>
    <row r="141" spans="1:18" x14ac:dyDescent="0.35">
      <c r="A141" s="3" t="s">
        <v>94</v>
      </c>
      <c r="B141" s="3"/>
      <c r="C141" s="1" t="s">
        <v>48</v>
      </c>
      <c r="D141" s="1" t="s">
        <v>36</v>
      </c>
      <c r="E141" s="1" t="s">
        <v>51</v>
      </c>
      <c r="F141" s="1" t="s">
        <v>30</v>
      </c>
      <c r="G141" s="1" t="s">
        <v>49</v>
      </c>
      <c r="H141" s="2">
        <v>45038</v>
      </c>
      <c r="I141" s="2">
        <v>45064</v>
      </c>
      <c r="J141" s="1">
        <v>28906.240000000002</v>
      </c>
      <c r="K141" s="1">
        <v>0.54730000000000001</v>
      </c>
      <c r="L141" s="1">
        <v>15820.39</v>
      </c>
      <c r="M141" s="1">
        <v>948206</v>
      </c>
      <c r="N141" s="1">
        <v>20065</v>
      </c>
      <c r="O141" s="1">
        <v>27844.17</v>
      </c>
      <c r="P141" s="1">
        <v>2023</v>
      </c>
      <c r="Q141" s="1" t="s">
        <v>76</v>
      </c>
      <c r="R141" s="1" t="s">
        <v>46</v>
      </c>
    </row>
    <row r="142" spans="1:18" x14ac:dyDescent="0.35">
      <c r="A142" s="3" t="s">
        <v>119</v>
      </c>
      <c r="B142" s="3"/>
      <c r="C142" s="1" t="s">
        <v>35</v>
      </c>
      <c r="D142" s="1" t="s">
        <v>36</v>
      </c>
      <c r="E142" s="1" t="s">
        <v>37</v>
      </c>
      <c r="F142" s="1" t="s">
        <v>22</v>
      </c>
      <c r="G142" s="1" t="s">
        <v>23</v>
      </c>
      <c r="H142" s="2">
        <v>45038</v>
      </c>
      <c r="I142" s="2">
        <v>45052</v>
      </c>
      <c r="J142" s="1">
        <v>27490.98</v>
      </c>
      <c r="K142" s="1">
        <v>0.5232</v>
      </c>
      <c r="L142" s="1">
        <v>14383.28</v>
      </c>
      <c r="M142" s="1">
        <v>653790</v>
      </c>
      <c r="N142" s="1">
        <v>42261</v>
      </c>
      <c r="O142" s="1">
        <v>31031.18</v>
      </c>
      <c r="P142" s="1">
        <v>2023</v>
      </c>
      <c r="Q142" s="1" t="s">
        <v>76</v>
      </c>
      <c r="R142" s="1" t="s">
        <v>46</v>
      </c>
    </row>
    <row r="143" spans="1:18" x14ac:dyDescent="0.35">
      <c r="A143" s="3" t="s">
        <v>79</v>
      </c>
      <c r="B143" s="3"/>
      <c r="C143" s="1" t="s">
        <v>35</v>
      </c>
      <c r="D143" s="1" t="s">
        <v>69</v>
      </c>
      <c r="E143" s="1" t="s">
        <v>63</v>
      </c>
      <c r="F143" s="1" t="s">
        <v>38</v>
      </c>
      <c r="G143" s="1" t="s">
        <v>23</v>
      </c>
      <c r="H143" s="2">
        <v>45039</v>
      </c>
      <c r="I143" s="2">
        <v>45051</v>
      </c>
      <c r="J143" s="1">
        <v>19109.71</v>
      </c>
      <c r="K143" s="1">
        <v>0.35460000000000003</v>
      </c>
      <c r="L143" s="1">
        <v>6776.3</v>
      </c>
      <c r="M143" s="1">
        <v>558171</v>
      </c>
      <c r="N143" s="1">
        <v>10146</v>
      </c>
      <c r="O143" s="1">
        <v>33846.839999999997</v>
      </c>
      <c r="P143" s="1">
        <v>2023</v>
      </c>
      <c r="Q143" s="1" t="s">
        <v>76</v>
      </c>
      <c r="R143" s="1" t="s">
        <v>46</v>
      </c>
    </row>
    <row r="144" spans="1:18" x14ac:dyDescent="0.35">
      <c r="A144" s="3" t="s">
        <v>115</v>
      </c>
      <c r="B144" s="3"/>
      <c r="C144" s="1" t="s">
        <v>19</v>
      </c>
      <c r="D144" s="1" t="s">
        <v>69</v>
      </c>
      <c r="E144" s="1" t="s">
        <v>51</v>
      </c>
      <c r="F144" s="1" t="s">
        <v>22</v>
      </c>
      <c r="G144" s="1" t="s">
        <v>49</v>
      </c>
      <c r="H144" s="2">
        <v>45040</v>
      </c>
      <c r="I144" s="2">
        <v>45098</v>
      </c>
      <c r="J144" s="1">
        <v>29133.49</v>
      </c>
      <c r="K144" s="1">
        <v>0.59799999999999998</v>
      </c>
      <c r="L144" s="1">
        <v>17421.830000000002</v>
      </c>
      <c r="M144" s="1">
        <v>104458</v>
      </c>
      <c r="N144" s="1">
        <v>33635</v>
      </c>
      <c r="O144" s="1">
        <v>23386.81</v>
      </c>
      <c r="P144" s="1">
        <v>2023</v>
      </c>
      <c r="Q144" s="1" t="s">
        <v>76</v>
      </c>
      <c r="R144" s="1" t="s">
        <v>46</v>
      </c>
    </row>
    <row r="145" spans="1:18" x14ac:dyDescent="0.35">
      <c r="A145" s="3" t="s">
        <v>71</v>
      </c>
      <c r="B145" s="3"/>
      <c r="C145" s="1" t="s">
        <v>28</v>
      </c>
      <c r="D145" s="1" t="s">
        <v>36</v>
      </c>
      <c r="E145" s="1" t="s">
        <v>37</v>
      </c>
      <c r="F145" s="1" t="s">
        <v>38</v>
      </c>
      <c r="G145" s="1" t="s">
        <v>44</v>
      </c>
      <c r="H145" s="2">
        <v>45040</v>
      </c>
      <c r="I145" s="2">
        <v>45094</v>
      </c>
      <c r="J145" s="1">
        <v>15116.98</v>
      </c>
      <c r="K145" s="1">
        <v>0.36840000000000001</v>
      </c>
      <c r="L145" s="1">
        <v>5569.1</v>
      </c>
      <c r="M145" s="1">
        <v>60068</v>
      </c>
      <c r="N145" s="1">
        <v>15726</v>
      </c>
      <c r="O145" s="1">
        <v>107857.26</v>
      </c>
      <c r="P145" s="1">
        <v>2023</v>
      </c>
      <c r="Q145" s="1" t="s">
        <v>76</v>
      </c>
      <c r="R145" s="1" t="s">
        <v>46</v>
      </c>
    </row>
    <row r="146" spans="1:18" x14ac:dyDescent="0.35">
      <c r="A146" s="3" t="s">
        <v>100</v>
      </c>
      <c r="B146" s="3"/>
      <c r="C146" s="1" t="s">
        <v>35</v>
      </c>
      <c r="D146" s="1" t="s">
        <v>36</v>
      </c>
      <c r="E146" s="1" t="s">
        <v>63</v>
      </c>
      <c r="F146" s="1" t="s">
        <v>30</v>
      </c>
      <c r="G146" s="1" t="s">
        <v>23</v>
      </c>
      <c r="H146" s="2">
        <v>45042</v>
      </c>
      <c r="I146" s="2">
        <v>45094</v>
      </c>
      <c r="J146" s="1">
        <v>3672.36</v>
      </c>
      <c r="K146" s="1">
        <v>1.1392</v>
      </c>
      <c r="L146" s="1">
        <v>4183.55</v>
      </c>
      <c r="M146" s="1">
        <v>981746</v>
      </c>
      <c r="N146" s="1">
        <v>9778</v>
      </c>
      <c r="O146" s="1">
        <v>217844.33</v>
      </c>
      <c r="P146" s="1">
        <v>2023</v>
      </c>
      <c r="Q146" s="1" t="s">
        <v>76</v>
      </c>
      <c r="R146" s="1" t="s">
        <v>46</v>
      </c>
    </row>
    <row r="147" spans="1:18" x14ac:dyDescent="0.35">
      <c r="A147" s="3" t="s">
        <v>96</v>
      </c>
      <c r="B147" s="3"/>
      <c r="C147" s="1" t="s">
        <v>35</v>
      </c>
      <c r="D147" s="1" t="s">
        <v>69</v>
      </c>
      <c r="E147" s="1" t="s">
        <v>43</v>
      </c>
      <c r="F147" s="1" t="s">
        <v>30</v>
      </c>
      <c r="G147" s="1" t="s">
        <v>49</v>
      </c>
      <c r="H147" s="2">
        <v>45043</v>
      </c>
      <c r="I147" s="2">
        <v>45095</v>
      </c>
      <c r="J147" s="1">
        <v>33417.339999999997</v>
      </c>
      <c r="K147" s="1">
        <v>0.22370000000000001</v>
      </c>
      <c r="L147" s="1">
        <v>7475.46</v>
      </c>
      <c r="M147" s="1">
        <v>201059</v>
      </c>
      <c r="N147" s="1">
        <v>25852</v>
      </c>
      <c r="O147" s="1">
        <v>16088.39</v>
      </c>
      <c r="P147" s="1">
        <v>2023</v>
      </c>
      <c r="Q147" s="1" t="s">
        <v>76</v>
      </c>
      <c r="R147" s="1" t="s">
        <v>46</v>
      </c>
    </row>
    <row r="148" spans="1:18" x14ac:dyDescent="0.35">
      <c r="A148" s="3" t="s">
        <v>86</v>
      </c>
      <c r="B148" s="3"/>
      <c r="C148" s="1" t="s">
        <v>28</v>
      </c>
      <c r="D148" s="1" t="s">
        <v>29</v>
      </c>
      <c r="E148" s="1" t="s">
        <v>21</v>
      </c>
      <c r="F148" s="1" t="s">
        <v>38</v>
      </c>
      <c r="G148" s="1" t="s">
        <v>23</v>
      </c>
      <c r="H148" s="2">
        <v>45043</v>
      </c>
      <c r="I148" s="2">
        <v>45084</v>
      </c>
      <c r="J148" s="1">
        <v>10790.2</v>
      </c>
      <c r="K148" s="1">
        <v>1.1967000000000001</v>
      </c>
      <c r="L148" s="1">
        <v>12912.63</v>
      </c>
      <c r="M148" s="1">
        <v>198667</v>
      </c>
      <c r="N148" s="1">
        <v>44776</v>
      </c>
      <c r="O148" s="1">
        <v>193066.39</v>
      </c>
      <c r="P148" s="1">
        <v>2023</v>
      </c>
      <c r="Q148" s="1" t="s">
        <v>76</v>
      </c>
      <c r="R148" s="1" t="s">
        <v>46</v>
      </c>
    </row>
    <row r="149" spans="1:18" x14ac:dyDescent="0.35">
      <c r="A149" s="3" t="s">
        <v>95</v>
      </c>
      <c r="B149" s="3"/>
      <c r="C149" s="1" t="s">
        <v>35</v>
      </c>
      <c r="D149" s="1" t="s">
        <v>58</v>
      </c>
      <c r="E149" s="1" t="s">
        <v>59</v>
      </c>
      <c r="F149" s="1" t="s">
        <v>30</v>
      </c>
      <c r="G149" s="1" t="s">
        <v>31</v>
      </c>
      <c r="H149" s="2">
        <v>45043</v>
      </c>
      <c r="I149" s="2">
        <v>45049</v>
      </c>
      <c r="J149" s="1">
        <v>37048.07</v>
      </c>
      <c r="K149" s="1">
        <v>0.60389999999999999</v>
      </c>
      <c r="L149" s="1">
        <v>22373.33</v>
      </c>
      <c r="M149" s="1">
        <v>415785</v>
      </c>
      <c r="N149" s="1">
        <v>36909</v>
      </c>
      <c r="O149" s="1">
        <v>33851.440000000002</v>
      </c>
      <c r="P149" s="1">
        <v>2023</v>
      </c>
      <c r="Q149" s="1" t="s">
        <v>76</v>
      </c>
      <c r="R149" s="1" t="s">
        <v>46</v>
      </c>
    </row>
    <row r="150" spans="1:18" x14ac:dyDescent="0.35">
      <c r="A150" s="3" t="s">
        <v>81</v>
      </c>
      <c r="B150" s="3"/>
      <c r="C150" s="1" t="s">
        <v>48</v>
      </c>
      <c r="D150" s="1" t="s">
        <v>58</v>
      </c>
      <c r="E150" s="1" t="s">
        <v>21</v>
      </c>
      <c r="F150" s="1" t="s">
        <v>38</v>
      </c>
      <c r="G150" s="1" t="s">
        <v>44</v>
      </c>
      <c r="H150" s="2">
        <v>45046</v>
      </c>
      <c r="I150" s="2">
        <v>45059</v>
      </c>
      <c r="J150" s="1">
        <v>3221.99</v>
      </c>
      <c r="K150" s="1">
        <v>5.4300000000000001E-2</v>
      </c>
      <c r="L150" s="1">
        <v>174.95</v>
      </c>
      <c r="M150" s="1">
        <v>526554</v>
      </c>
      <c r="N150" s="1">
        <v>7710</v>
      </c>
      <c r="O150" s="1">
        <v>28812.04</v>
      </c>
      <c r="P150" s="1">
        <v>2023</v>
      </c>
      <c r="Q150" s="1" t="s">
        <v>76</v>
      </c>
      <c r="R150" s="1" t="s">
        <v>46</v>
      </c>
    </row>
    <row r="151" spans="1:18" x14ac:dyDescent="0.35">
      <c r="A151" s="3" t="s">
        <v>64</v>
      </c>
      <c r="B151" s="3"/>
      <c r="C151" s="1" t="s">
        <v>35</v>
      </c>
      <c r="D151" s="1" t="s">
        <v>36</v>
      </c>
      <c r="E151" s="1" t="s">
        <v>59</v>
      </c>
      <c r="F151" s="1" t="s">
        <v>30</v>
      </c>
      <c r="G151" s="1" t="s">
        <v>23</v>
      </c>
      <c r="H151" s="2">
        <v>45047</v>
      </c>
      <c r="I151" s="2">
        <v>45073</v>
      </c>
      <c r="J151" s="1">
        <v>49693.24</v>
      </c>
      <c r="K151" s="1">
        <v>0.58589999999999998</v>
      </c>
      <c r="L151" s="1">
        <v>29115.27</v>
      </c>
      <c r="M151" s="1">
        <v>653830</v>
      </c>
      <c r="N151" s="1">
        <v>39421</v>
      </c>
      <c r="O151" s="1">
        <v>138888.28</v>
      </c>
      <c r="P151" s="1">
        <v>2023</v>
      </c>
      <c r="Q151" s="1" t="s">
        <v>45</v>
      </c>
      <c r="R151" s="1" t="s">
        <v>46</v>
      </c>
    </row>
    <row r="152" spans="1:18" x14ac:dyDescent="0.35">
      <c r="A152" s="3" t="s">
        <v>110</v>
      </c>
      <c r="B152" s="3"/>
      <c r="C152" s="1" t="s">
        <v>28</v>
      </c>
      <c r="D152" s="1" t="s">
        <v>20</v>
      </c>
      <c r="E152" s="1" t="s">
        <v>63</v>
      </c>
      <c r="F152" s="1" t="s">
        <v>30</v>
      </c>
      <c r="G152" s="1" t="s">
        <v>52</v>
      </c>
      <c r="H152" s="2">
        <v>45048</v>
      </c>
      <c r="I152" s="2">
        <v>45076</v>
      </c>
      <c r="J152" s="1">
        <v>46242.66</v>
      </c>
      <c r="K152" s="1">
        <v>1.1046</v>
      </c>
      <c r="L152" s="1">
        <v>51079.64</v>
      </c>
      <c r="M152" s="1">
        <v>949090</v>
      </c>
      <c r="N152" s="1">
        <v>2940</v>
      </c>
      <c r="O152" s="1">
        <v>153104.06</v>
      </c>
      <c r="P152" s="1">
        <v>2023</v>
      </c>
      <c r="Q152" s="1" t="s">
        <v>45</v>
      </c>
      <c r="R152" s="1" t="s">
        <v>46</v>
      </c>
    </row>
    <row r="153" spans="1:18" x14ac:dyDescent="0.35">
      <c r="A153" s="3" t="s">
        <v>64</v>
      </c>
      <c r="B153" s="3"/>
      <c r="C153" s="1" t="s">
        <v>19</v>
      </c>
      <c r="D153" s="1" t="s">
        <v>69</v>
      </c>
      <c r="E153" s="1" t="s">
        <v>59</v>
      </c>
      <c r="F153" s="1" t="s">
        <v>38</v>
      </c>
      <c r="G153" s="1" t="s">
        <v>52</v>
      </c>
      <c r="H153" s="2">
        <v>45049</v>
      </c>
      <c r="I153" s="2">
        <v>45063</v>
      </c>
      <c r="J153" s="1">
        <v>20345.759999999998</v>
      </c>
      <c r="K153" s="1">
        <v>0.83709999999999996</v>
      </c>
      <c r="L153" s="1">
        <v>17031.439999999999</v>
      </c>
      <c r="M153" s="1">
        <v>116663</v>
      </c>
      <c r="N153" s="1">
        <v>48690</v>
      </c>
      <c r="O153" s="1">
        <v>231696.13</v>
      </c>
      <c r="P153" s="1">
        <v>2023</v>
      </c>
      <c r="Q153" s="1" t="s">
        <v>45</v>
      </c>
      <c r="R153" s="1" t="s">
        <v>46</v>
      </c>
    </row>
    <row r="154" spans="1:18" x14ac:dyDescent="0.35">
      <c r="A154" s="3" t="s">
        <v>106</v>
      </c>
      <c r="B154" s="3"/>
      <c r="C154" s="1" t="s">
        <v>19</v>
      </c>
      <c r="D154" s="1" t="s">
        <v>58</v>
      </c>
      <c r="E154" s="1" t="s">
        <v>37</v>
      </c>
      <c r="F154" s="1" t="s">
        <v>30</v>
      </c>
      <c r="G154" s="1" t="s">
        <v>49</v>
      </c>
      <c r="H154" s="2">
        <v>45050</v>
      </c>
      <c r="I154" s="2">
        <v>45103</v>
      </c>
      <c r="J154" s="1">
        <v>23002.95</v>
      </c>
      <c r="K154" s="1">
        <v>1.1394</v>
      </c>
      <c r="L154" s="1">
        <v>26209.56</v>
      </c>
      <c r="M154" s="1">
        <v>185284</v>
      </c>
      <c r="N154" s="1">
        <v>13986</v>
      </c>
      <c r="O154" s="1">
        <v>203072.88</v>
      </c>
      <c r="P154" s="1">
        <v>2023</v>
      </c>
      <c r="Q154" s="1" t="s">
        <v>45</v>
      </c>
      <c r="R154" s="1" t="s">
        <v>46</v>
      </c>
    </row>
    <row r="155" spans="1:18" x14ac:dyDescent="0.35">
      <c r="A155" s="3" t="s">
        <v>105</v>
      </c>
      <c r="B155" s="3"/>
      <c r="C155" s="1" t="s">
        <v>19</v>
      </c>
      <c r="D155" s="1" t="s">
        <v>69</v>
      </c>
      <c r="E155" s="1" t="s">
        <v>63</v>
      </c>
      <c r="F155" s="1" t="s">
        <v>30</v>
      </c>
      <c r="G155" s="1" t="s">
        <v>31</v>
      </c>
      <c r="H155" s="2">
        <v>45050</v>
      </c>
      <c r="I155" s="2">
        <v>45099</v>
      </c>
      <c r="J155" s="1">
        <v>26392.05</v>
      </c>
      <c r="K155" s="1">
        <v>0.3856</v>
      </c>
      <c r="L155" s="1">
        <v>10176.77</v>
      </c>
      <c r="M155" s="1">
        <v>18827</v>
      </c>
      <c r="N155" s="1">
        <v>874</v>
      </c>
      <c r="O155" s="1">
        <v>170155.25</v>
      </c>
      <c r="P155" s="1">
        <v>2023</v>
      </c>
      <c r="Q155" s="1" t="s">
        <v>45</v>
      </c>
      <c r="R155" s="1" t="s">
        <v>46</v>
      </c>
    </row>
    <row r="156" spans="1:18" x14ac:dyDescent="0.35">
      <c r="A156" s="3" t="s">
        <v>90</v>
      </c>
      <c r="B156" s="3"/>
      <c r="C156" s="1" t="s">
        <v>48</v>
      </c>
      <c r="D156" s="1" t="s">
        <v>69</v>
      </c>
      <c r="E156" s="1" t="s">
        <v>37</v>
      </c>
      <c r="F156" s="1" t="s">
        <v>22</v>
      </c>
      <c r="G156" s="1" t="s">
        <v>31</v>
      </c>
      <c r="H156" s="2">
        <v>45050</v>
      </c>
      <c r="I156" s="2">
        <v>45098</v>
      </c>
      <c r="J156" s="1">
        <v>29222.38</v>
      </c>
      <c r="K156" s="1">
        <v>0.1734</v>
      </c>
      <c r="L156" s="1">
        <v>5067.16</v>
      </c>
      <c r="M156" s="1">
        <v>887057</v>
      </c>
      <c r="N156" s="1">
        <v>14074</v>
      </c>
      <c r="O156" s="1">
        <v>192235.83</v>
      </c>
      <c r="P156" s="1">
        <v>2023</v>
      </c>
      <c r="Q156" s="1" t="s">
        <v>45</v>
      </c>
      <c r="R156" s="1" t="s">
        <v>46</v>
      </c>
    </row>
    <row r="157" spans="1:18" x14ac:dyDescent="0.35">
      <c r="A157" s="3" t="s">
        <v>67</v>
      </c>
      <c r="B157" s="3"/>
      <c r="C157" s="1" t="s">
        <v>28</v>
      </c>
      <c r="D157" s="1" t="s">
        <v>36</v>
      </c>
      <c r="E157" s="1" t="s">
        <v>43</v>
      </c>
      <c r="F157" s="1" t="s">
        <v>30</v>
      </c>
      <c r="G157" s="1" t="s">
        <v>31</v>
      </c>
      <c r="H157" s="2">
        <v>45050</v>
      </c>
      <c r="I157" s="2">
        <v>45097</v>
      </c>
      <c r="J157" s="1">
        <v>46872.91</v>
      </c>
      <c r="K157" s="1">
        <v>0.22389999999999999</v>
      </c>
      <c r="L157" s="1">
        <v>10494.84</v>
      </c>
      <c r="M157" s="1">
        <v>29895</v>
      </c>
      <c r="N157" s="1">
        <v>18119</v>
      </c>
      <c r="O157" s="1">
        <v>197755.48</v>
      </c>
      <c r="P157" s="1">
        <v>2023</v>
      </c>
      <c r="Q157" s="1" t="s">
        <v>45</v>
      </c>
      <c r="R157" s="1" t="s">
        <v>46</v>
      </c>
    </row>
    <row r="158" spans="1:18" x14ac:dyDescent="0.35">
      <c r="A158" s="3" t="s">
        <v>82</v>
      </c>
      <c r="B158" s="3"/>
      <c r="C158" s="1" t="s">
        <v>28</v>
      </c>
      <c r="D158" s="1" t="s">
        <v>36</v>
      </c>
      <c r="E158" s="1" t="s">
        <v>63</v>
      </c>
      <c r="F158" s="1" t="s">
        <v>22</v>
      </c>
      <c r="G158" s="1" t="s">
        <v>49</v>
      </c>
      <c r="H158" s="2">
        <v>45050</v>
      </c>
      <c r="I158" s="2">
        <v>45091</v>
      </c>
      <c r="J158" s="1">
        <v>20082.04</v>
      </c>
      <c r="K158" s="1">
        <v>0.70079999999999998</v>
      </c>
      <c r="L158" s="1">
        <v>14073.49</v>
      </c>
      <c r="M158" s="1">
        <v>45739</v>
      </c>
      <c r="N158" s="1">
        <v>42377</v>
      </c>
      <c r="O158" s="1">
        <v>164353.47</v>
      </c>
      <c r="P158" s="1">
        <v>2023</v>
      </c>
      <c r="Q158" s="1" t="s">
        <v>45</v>
      </c>
      <c r="R158" s="1" t="s">
        <v>46</v>
      </c>
    </row>
    <row r="159" spans="1:18" x14ac:dyDescent="0.35">
      <c r="A159" s="3" t="s">
        <v>95</v>
      </c>
      <c r="B159" s="3"/>
      <c r="C159" s="1" t="s">
        <v>35</v>
      </c>
      <c r="D159" s="1" t="s">
        <v>29</v>
      </c>
      <c r="E159" s="1" t="s">
        <v>51</v>
      </c>
      <c r="F159" s="1" t="s">
        <v>30</v>
      </c>
      <c r="G159" s="1" t="s">
        <v>44</v>
      </c>
      <c r="H159" s="2">
        <v>45050</v>
      </c>
      <c r="I159" s="2">
        <v>45090</v>
      </c>
      <c r="J159" s="1">
        <v>11980.69</v>
      </c>
      <c r="K159" s="1">
        <v>0.31680000000000003</v>
      </c>
      <c r="L159" s="1">
        <v>3795.48</v>
      </c>
      <c r="M159" s="1">
        <v>366855</v>
      </c>
      <c r="N159" s="1">
        <v>23381</v>
      </c>
      <c r="O159" s="1">
        <v>193496.61</v>
      </c>
      <c r="P159" s="1">
        <v>2023</v>
      </c>
      <c r="Q159" s="1" t="s">
        <v>45</v>
      </c>
      <c r="R159" s="1" t="s">
        <v>46</v>
      </c>
    </row>
    <row r="160" spans="1:18" x14ac:dyDescent="0.35">
      <c r="A160" s="3" t="s">
        <v>107</v>
      </c>
      <c r="B160" s="3"/>
      <c r="C160" s="1" t="s">
        <v>48</v>
      </c>
      <c r="D160" s="1" t="s">
        <v>36</v>
      </c>
      <c r="E160" s="1" t="s">
        <v>37</v>
      </c>
      <c r="F160" s="1" t="s">
        <v>38</v>
      </c>
      <c r="G160" s="1" t="s">
        <v>49</v>
      </c>
      <c r="H160" s="2">
        <v>45050</v>
      </c>
      <c r="I160" s="2">
        <v>45063</v>
      </c>
      <c r="J160" s="1">
        <v>20662.87</v>
      </c>
      <c r="K160" s="1">
        <v>0.33589999999999998</v>
      </c>
      <c r="L160" s="1">
        <v>6940.66</v>
      </c>
      <c r="M160" s="1">
        <v>211512</v>
      </c>
      <c r="N160" s="1">
        <v>9681</v>
      </c>
      <c r="O160" s="1">
        <v>109444.23</v>
      </c>
      <c r="P160" s="1">
        <v>2023</v>
      </c>
      <c r="Q160" s="1" t="s">
        <v>45</v>
      </c>
      <c r="R160" s="1" t="s">
        <v>46</v>
      </c>
    </row>
    <row r="161" spans="1:18" x14ac:dyDescent="0.35">
      <c r="A161" s="3" t="s">
        <v>92</v>
      </c>
      <c r="B161" s="3"/>
      <c r="C161" s="1" t="s">
        <v>19</v>
      </c>
      <c r="D161" s="1" t="s">
        <v>69</v>
      </c>
      <c r="E161" s="1" t="s">
        <v>43</v>
      </c>
      <c r="F161" s="1" t="s">
        <v>38</v>
      </c>
      <c r="G161" s="1" t="s">
        <v>23</v>
      </c>
      <c r="H161" s="2">
        <v>45051</v>
      </c>
      <c r="I161" s="2">
        <v>45092</v>
      </c>
      <c r="J161" s="1">
        <v>27229.9</v>
      </c>
      <c r="K161" s="1">
        <v>1.19</v>
      </c>
      <c r="L161" s="1">
        <v>32403.58</v>
      </c>
      <c r="M161" s="1">
        <v>359636</v>
      </c>
      <c r="N161" s="1">
        <v>44784</v>
      </c>
      <c r="O161" s="1">
        <v>79192.88</v>
      </c>
      <c r="P161" s="1">
        <v>2023</v>
      </c>
      <c r="Q161" s="1" t="s">
        <v>45</v>
      </c>
      <c r="R161" s="1" t="s">
        <v>46</v>
      </c>
    </row>
    <row r="162" spans="1:18" x14ac:dyDescent="0.35">
      <c r="A162" s="3" t="s">
        <v>27</v>
      </c>
      <c r="B162" s="3"/>
      <c r="C162" s="1" t="s">
        <v>35</v>
      </c>
      <c r="D162" s="1" t="s">
        <v>20</v>
      </c>
      <c r="E162" s="1" t="s">
        <v>51</v>
      </c>
      <c r="F162" s="1" t="s">
        <v>38</v>
      </c>
      <c r="G162" s="1" t="s">
        <v>44</v>
      </c>
      <c r="H162" s="2">
        <v>45051</v>
      </c>
      <c r="I162" s="2">
        <v>45075</v>
      </c>
      <c r="J162" s="1">
        <v>20823.310000000001</v>
      </c>
      <c r="K162" s="1">
        <v>1.1794</v>
      </c>
      <c r="L162" s="1">
        <v>24559.01</v>
      </c>
      <c r="M162" s="1">
        <v>870116</v>
      </c>
      <c r="N162" s="1">
        <v>15496</v>
      </c>
      <c r="O162" s="1">
        <v>211221.6</v>
      </c>
      <c r="P162" s="1">
        <v>2023</v>
      </c>
      <c r="Q162" s="1" t="s">
        <v>45</v>
      </c>
      <c r="R162" s="1" t="s">
        <v>46</v>
      </c>
    </row>
    <row r="163" spans="1:18" x14ac:dyDescent="0.35">
      <c r="A163" s="3" t="s">
        <v>66</v>
      </c>
      <c r="B163" s="3"/>
      <c r="C163" s="1" t="s">
        <v>19</v>
      </c>
      <c r="D163" s="1" t="s">
        <v>20</v>
      </c>
      <c r="E163" s="1" t="s">
        <v>43</v>
      </c>
      <c r="F163" s="1" t="s">
        <v>38</v>
      </c>
      <c r="G163" s="1" t="s">
        <v>31</v>
      </c>
      <c r="H163" s="2">
        <v>45051</v>
      </c>
      <c r="I163" s="2">
        <v>45057</v>
      </c>
      <c r="J163" s="1">
        <v>20823.55</v>
      </c>
      <c r="K163" s="1">
        <v>0.60429999999999995</v>
      </c>
      <c r="L163" s="1">
        <v>12583.67</v>
      </c>
      <c r="M163" s="1">
        <v>162446</v>
      </c>
      <c r="N163" s="1">
        <v>30118</v>
      </c>
      <c r="O163" s="1">
        <v>232313.77</v>
      </c>
      <c r="P163" s="1">
        <v>2023</v>
      </c>
      <c r="Q163" s="1" t="s">
        <v>45</v>
      </c>
      <c r="R163" s="1" t="s">
        <v>46</v>
      </c>
    </row>
    <row r="164" spans="1:18" x14ac:dyDescent="0.35">
      <c r="A164" s="3" t="s">
        <v>90</v>
      </c>
      <c r="B164" s="3"/>
      <c r="C164" s="1" t="s">
        <v>35</v>
      </c>
      <c r="D164" s="1" t="s">
        <v>58</v>
      </c>
      <c r="E164" s="1" t="s">
        <v>63</v>
      </c>
      <c r="F164" s="1" t="s">
        <v>38</v>
      </c>
      <c r="G164" s="1" t="s">
        <v>44</v>
      </c>
      <c r="H164" s="2">
        <v>45052</v>
      </c>
      <c r="I164" s="2">
        <v>45071</v>
      </c>
      <c r="J164" s="1">
        <v>42067.35</v>
      </c>
      <c r="K164" s="1">
        <v>0.873</v>
      </c>
      <c r="L164" s="1">
        <v>36724.800000000003</v>
      </c>
      <c r="M164" s="1">
        <v>302047</v>
      </c>
      <c r="N164" s="1">
        <v>46859</v>
      </c>
      <c r="O164" s="1">
        <v>192663.18</v>
      </c>
      <c r="P164" s="1">
        <v>2023</v>
      </c>
      <c r="Q164" s="1" t="s">
        <v>45</v>
      </c>
      <c r="R164" s="1" t="s">
        <v>46</v>
      </c>
    </row>
    <row r="165" spans="1:18" x14ac:dyDescent="0.35">
      <c r="A165" s="3" t="s">
        <v>103</v>
      </c>
      <c r="B165" s="3"/>
      <c r="C165" s="1" t="s">
        <v>48</v>
      </c>
      <c r="D165" s="1" t="s">
        <v>69</v>
      </c>
      <c r="E165" s="1" t="s">
        <v>59</v>
      </c>
      <c r="F165" s="1" t="s">
        <v>38</v>
      </c>
      <c r="G165" s="1" t="s">
        <v>23</v>
      </c>
      <c r="H165" s="2">
        <v>45054</v>
      </c>
      <c r="I165" s="2">
        <v>45113</v>
      </c>
      <c r="J165" s="1">
        <v>8741.19</v>
      </c>
      <c r="K165" s="1">
        <v>0.55330000000000001</v>
      </c>
      <c r="L165" s="1">
        <v>4836.5</v>
      </c>
      <c r="M165" s="1">
        <v>458580</v>
      </c>
      <c r="N165" s="1">
        <v>13359</v>
      </c>
      <c r="O165" s="1">
        <v>248945.05</v>
      </c>
      <c r="P165" s="1">
        <v>2023</v>
      </c>
      <c r="Q165" s="1" t="s">
        <v>45</v>
      </c>
      <c r="R165" s="1" t="s">
        <v>46</v>
      </c>
    </row>
    <row r="166" spans="1:18" x14ac:dyDescent="0.35">
      <c r="A166" s="3" t="s">
        <v>87</v>
      </c>
      <c r="B166" s="3"/>
      <c r="C166" s="1" t="s">
        <v>19</v>
      </c>
      <c r="D166" s="1" t="s">
        <v>58</v>
      </c>
      <c r="E166" s="1" t="s">
        <v>21</v>
      </c>
      <c r="F166" s="1" t="s">
        <v>38</v>
      </c>
      <c r="G166" s="1" t="s">
        <v>49</v>
      </c>
      <c r="H166" s="2">
        <v>45055</v>
      </c>
      <c r="I166" s="2">
        <v>45107</v>
      </c>
      <c r="J166" s="1">
        <v>11381.35</v>
      </c>
      <c r="K166" s="1">
        <v>0.74670000000000003</v>
      </c>
      <c r="L166" s="1">
        <v>8498.4500000000007</v>
      </c>
      <c r="M166" s="1">
        <v>239540</v>
      </c>
      <c r="N166" s="1">
        <v>25809</v>
      </c>
      <c r="O166" s="1">
        <v>50004.97</v>
      </c>
      <c r="P166" s="1">
        <v>2023</v>
      </c>
      <c r="Q166" s="1" t="s">
        <v>45</v>
      </c>
      <c r="R166" s="1" t="s">
        <v>46</v>
      </c>
    </row>
    <row r="167" spans="1:18" x14ac:dyDescent="0.35">
      <c r="A167" s="3" t="s">
        <v>113</v>
      </c>
      <c r="B167" s="3"/>
      <c r="C167" s="1" t="s">
        <v>19</v>
      </c>
      <c r="D167" s="1" t="s">
        <v>36</v>
      </c>
      <c r="E167" s="1" t="s">
        <v>21</v>
      </c>
      <c r="F167" s="1" t="s">
        <v>38</v>
      </c>
      <c r="G167" s="1" t="s">
        <v>52</v>
      </c>
      <c r="H167" s="2">
        <v>45057</v>
      </c>
      <c r="I167" s="2">
        <v>45110</v>
      </c>
      <c r="J167" s="1">
        <v>1667.6</v>
      </c>
      <c r="K167" s="1">
        <v>0.62870000000000004</v>
      </c>
      <c r="L167" s="1">
        <v>1048.42</v>
      </c>
      <c r="M167" s="1">
        <v>137378</v>
      </c>
      <c r="N167" s="1">
        <v>10991</v>
      </c>
      <c r="O167" s="1">
        <v>53355.06</v>
      </c>
      <c r="P167" s="1">
        <v>2023</v>
      </c>
      <c r="Q167" s="1" t="s">
        <v>45</v>
      </c>
      <c r="R167" s="1" t="s">
        <v>46</v>
      </c>
    </row>
    <row r="168" spans="1:18" x14ac:dyDescent="0.35">
      <c r="A168" s="3" t="s">
        <v>91</v>
      </c>
      <c r="B168" s="3"/>
      <c r="C168" s="1" t="s">
        <v>48</v>
      </c>
      <c r="D168" s="1" t="s">
        <v>58</v>
      </c>
      <c r="E168" s="1" t="s">
        <v>37</v>
      </c>
      <c r="F168" s="1" t="s">
        <v>38</v>
      </c>
      <c r="G168" s="1" t="s">
        <v>44</v>
      </c>
      <c r="H168" s="2">
        <v>45057</v>
      </c>
      <c r="I168" s="2">
        <v>45093</v>
      </c>
      <c r="J168" s="1">
        <v>40044.22</v>
      </c>
      <c r="K168" s="1">
        <v>0.36859999999999998</v>
      </c>
      <c r="L168" s="1">
        <v>14760.3</v>
      </c>
      <c r="M168" s="1">
        <v>715756</v>
      </c>
      <c r="N168" s="1">
        <v>36062</v>
      </c>
      <c r="O168" s="1">
        <v>246868.8</v>
      </c>
      <c r="P168" s="1">
        <v>2023</v>
      </c>
      <c r="Q168" s="1" t="s">
        <v>45</v>
      </c>
      <c r="R168" s="1" t="s">
        <v>46</v>
      </c>
    </row>
    <row r="169" spans="1:18" x14ac:dyDescent="0.35">
      <c r="A169" s="3" t="s">
        <v>100</v>
      </c>
      <c r="B169" s="3"/>
      <c r="C169" s="1" t="s">
        <v>35</v>
      </c>
      <c r="D169" s="1" t="s">
        <v>20</v>
      </c>
      <c r="E169" s="1" t="s">
        <v>43</v>
      </c>
      <c r="F169" s="1" t="s">
        <v>30</v>
      </c>
      <c r="G169" s="1" t="s">
        <v>23</v>
      </c>
      <c r="H169" s="2">
        <v>45057</v>
      </c>
      <c r="I169" s="2">
        <v>45087</v>
      </c>
      <c r="J169" s="1">
        <v>35149.51</v>
      </c>
      <c r="K169" s="1">
        <v>0.29730000000000001</v>
      </c>
      <c r="L169" s="1">
        <v>10449.950000000001</v>
      </c>
      <c r="M169" s="1">
        <v>317643</v>
      </c>
      <c r="N169" s="1">
        <v>7900</v>
      </c>
      <c r="O169" s="1">
        <v>87518.03</v>
      </c>
      <c r="P169" s="1">
        <v>2023</v>
      </c>
      <c r="Q169" s="1" t="s">
        <v>45</v>
      </c>
      <c r="R169" s="1" t="s">
        <v>46</v>
      </c>
    </row>
    <row r="170" spans="1:18" x14ac:dyDescent="0.35">
      <c r="A170" s="3" t="s">
        <v>68</v>
      </c>
      <c r="B170" s="3"/>
      <c r="C170" s="1" t="s">
        <v>48</v>
      </c>
      <c r="D170" s="1" t="s">
        <v>20</v>
      </c>
      <c r="E170" s="1" t="s">
        <v>51</v>
      </c>
      <c r="F170" s="1" t="s">
        <v>30</v>
      </c>
      <c r="G170" s="1" t="s">
        <v>52</v>
      </c>
      <c r="H170" s="2">
        <v>45058</v>
      </c>
      <c r="I170" s="2">
        <v>45105</v>
      </c>
      <c r="J170" s="1">
        <v>24288.84</v>
      </c>
      <c r="K170" s="1">
        <v>0.6643</v>
      </c>
      <c r="L170" s="1">
        <v>16135.08</v>
      </c>
      <c r="M170" s="1">
        <v>287932</v>
      </c>
      <c r="N170" s="1">
        <v>34681</v>
      </c>
      <c r="O170" s="1">
        <v>218746.1</v>
      </c>
      <c r="P170" s="1">
        <v>2023</v>
      </c>
      <c r="Q170" s="1" t="s">
        <v>45</v>
      </c>
      <c r="R170" s="1" t="s">
        <v>46</v>
      </c>
    </row>
    <row r="171" spans="1:18" x14ac:dyDescent="0.35">
      <c r="A171" s="3" t="s">
        <v>34</v>
      </c>
      <c r="B171" s="3"/>
      <c r="C171" s="1" t="s">
        <v>48</v>
      </c>
      <c r="D171" s="1" t="s">
        <v>29</v>
      </c>
      <c r="E171" s="1" t="s">
        <v>43</v>
      </c>
      <c r="F171" s="1" t="s">
        <v>30</v>
      </c>
      <c r="G171" s="1" t="s">
        <v>49</v>
      </c>
      <c r="H171" s="2">
        <v>45058</v>
      </c>
      <c r="I171" s="2">
        <v>45069</v>
      </c>
      <c r="J171" s="1">
        <v>20301.28</v>
      </c>
      <c r="K171" s="1">
        <v>0.95589999999999997</v>
      </c>
      <c r="L171" s="1">
        <v>19405.990000000002</v>
      </c>
      <c r="M171" s="1">
        <v>365556</v>
      </c>
      <c r="N171" s="1">
        <v>36658</v>
      </c>
      <c r="O171" s="1">
        <v>235042.4</v>
      </c>
      <c r="P171" s="1">
        <v>2023</v>
      </c>
      <c r="Q171" s="1" t="s">
        <v>45</v>
      </c>
      <c r="R171" s="1" t="s">
        <v>46</v>
      </c>
    </row>
    <row r="172" spans="1:18" x14ac:dyDescent="0.35">
      <c r="A172" s="3" t="s">
        <v>70</v>
      </c>
      <c r="B172" s="3"/>
      <c r="C172" s="1" t="s">
        <v>48</v>
      </c>
      <c r="D172" s="1" t="s">
        <v>20</v>
      </c>
      <c r="E172" s="1" t="s">
        <v>63</v>
      </c>
      <c r="F172" s="1" t="s">
        <v>22</v>
      </c>
      <c r="G172" s="1" t="s">
        <v>44</v>
      </c>
      <c r="H172" s="2">
        <v>45059</v>
      </c>
      <c r="I172" s="2">
        <v>45109</v>
      </c>
      <c r="J172" s="1">
        <v>26146.09</v>
      </c>
      <c r="K172" s="1">
        <v>0.63970000000000005</v>
      </c>
      <c r="L172" s="1">
        <v>16725.650000000001</v>
      </c>
      <c r="M172" s="1">
        <v>738205</v>
      </c>
      <c r="N172" s="1">
        <v>14035</v>
      </c>
      <c r="O172" s="1">
        <v>116580.93</v>
      </c>
      <c r="P172" s="1">
        <v>2023</v>
      </c>
      <c r="Q172" s="1" t="s">
        <v>45</v>
      </c>
      <c r="R172" s="1" t="s">
        <v>46</v>
      </c>
    </row>
    <row r="173" spans="1:18" x14ac:dyDescent="0.35">
      <c r="A173" s="3" t="s">
        <v>85</v>
      </c>
      <c r="B173" s="3"/>
      <c r="C173" s="1" t="s">
        <v>28</v>
      </c>
      <c r="D173" s="1" t="s">
        <v>29</v>
      </c>
      <c r="E173" s="1" t="s">
        <v>59</v>
      </c>
      <c r="F173" s="1" t="s">
        <v>22</v>
      </c>
      <c r="G173" s="1" t="s">
        <v>23</v>
      </c>
      <c r="H173" s="2">
        <v>45060</v>
      </c>
      <c r="I173" s="2">
        <v>45113</v>
      </c>
      <c r="J173" s="1">
        <v>19156.47</v>
      </c>
      <c r="K173" s="1">
        <v>0.6784</v>
      </c>
      <c r="L173" s="1">
        <v>12995.75</v>
      </c>
      <c r="M173" s="1">
        <v>344617</v>
      </c>
      <c r="N173" s="1">
        <v>15942</v>
      </c>
      <c r="O173" s="1">
        <v>119285.78</v>
      </c>
      <c r="P173" s="1">
        <v>2023</v>
      </c>
      <c r="Q173" s="1" t="s">
        <v>45</v>
      </c>
      <c r="R173" s="1" t="s">
        <v>46</v>
      </c>
    </row>
    <row r="174" spans="1:18" x14ac:dyDescent="0.35">
      <c r="A174" s="3" t="s">
        <v>95</v>
      </c>
      <c r="B174" s="3"/>
      <c r="C174" s="1" t="s">
        <v>28</v>
      </c>
      <c r="D174" s="1" t="s">
        <v>29</v>
      </c>
      <c r="E174" s="1" t="s">
        <v>37</v>
      </c>
      <c r="F174" s="1" t="s">
        <v>38</v>
      </c>
      <c r="G174" s="1" t="s">
        <v>49</v>
      </c>
      <c r="H174" s="2">
        <v>45060</v>
      </c>
      <c r="I174" s="2">
        <v>45079</v>
      </c>
      <c r="J174" s="1">
        <v>45918.16</v>
      </c>
      <c r="K174" s="1">
        <v>0.46879999999999999</v>
      </c>
      <c r="L174" s="1">
        <v>21526.43</v>
      </c>
      <c r="M174" s="1">
        <v>484409</v>
      </c>
      <c r="N174" s="1">
        <v>40763</v>
      </c>
      <c r="O174" s="1">
        <v>130798.69</v>
      </c>
      <c r="P174" s="1">
        <v>2023</v>
      </c>
      <c r="Q174" s="1" t="s">
        <v>45</v>
      </c>
      <c r="R174" s="1" t="s">
        <v>46</v>
      </c>
    </row>
    <row r="175" spans="1:18" x14ac:dyDescent="0.35">
      <c r="A175" s="3" t="s">
        <v>111</v>
      </c>
      <c r="B175" s="3"/>
      <c r="C175" s="1" t="s">
        <v>28</v>
      </c>
      <c r="D175" s="1" t="s">
        <v>29</v>
      </c>
      <c r="E175" s="1" t="s">
        <v>43</v>
      </c>
      <c r="F175" s="1" t="s">
        <v>22</v>
      </c>
      <c r="G175" s="1" t="s">
        <v>31</v>
      </c>
      <c r="H175" s="2">
        <v>45061</v>
      </c>
      <c r="I175" s="2">
        <v>45084</v>
      </c>
      <c r="J175" s="1">
        <v>36426.76</v>
      </c>
      <c r="K175" s="1">
        <v>0.47449999999999998</v>
      </c>
      <c r="L175" s="1">
        <v>17284.5</v>
      </c>
      <c r="M175" s="1">
        <v>447110</v>
      </c>
      <c r="N175" s="1">
        <v>44212</v>
      </c>
      <c r="O175" s="1">
        <v>164862.54999999999</v>
      </c>
      <c r="P175" s="1">
        <v>2023</v>
      </c>
      <c r="Q175" s="1" t="s">
        <v>45</v>
      </c>
      <c r="R175" s="1" t="s">
        <v>46</v>
      </c>
    </row>
    <row r="176" spans="1:18" x14ac:dyDescent="0.35">
      <c r="A176" s="3" t="s">
        <v>120</v>
      </c>
      <c r="B176" s="3"/>
      <c r="C176" s="1" t="s">
        <v>48</v>
      </c>
      <c r="D176" s="1" t="s">
        <v>36</v>
      </c>
      <c r="E176" s="1" t="s">
        <v>51</v>
      </c>
      <c r="F176" s="1" t="s">
        <v>38</v>
      </c>
      <c r="G176" s="1" t="s">
        <v>49</v>
      </c>
      <c r="H176" s="2">
        <v>45061</v>
      </c>
      <c r="I176" s="2">
        <v>45073</v>
      </c>
      <c r="J176" s="1">
        <v>47926.25</v>
      </c>
      <c r="K176" s="1">
        <v>0.95330000000000004</v>
      </c>
      <c r="L176" s="1">
        <v>45688.09</v>
      </c>
      <c r="M176" s="1">
        <v>142250</v>
      </c>
      <c r="N176" s="1">
        <v>10293</v>
      </c>
      <c r="O176" s="1">
        <v>89309.53</v>
      </c>
      <c r="P176" s="1">
        <v>2023</v>
      </c>
      <c r="Q176" s="1" t="s">
        <v>45</v>
      </c>
      <c r="R176" s="1" t="s">
        <v>46</v>
      </c>
    </row>
    <row r="177" spans="1:18" x14ac:dyDescent="0.35">
      <c r="A177" s="3" t="s">
        <v>110</v>
      </c>
      <c r="B177" s="3"/>
      <c r="C177" s="1" t="s">
        <v>48</v>
      </c>
      <c r="D177" s="1" t="s">
        <v>58</v>
      </c>
      <c r="E177" s="1" t="s">
        <v>63</v>
      </c>
      <c r="F177" s="1" t="s">
        <v>22</v>
      </c>
      <c r="G177" s="1" t="s">
        <v>31</v>
      </c>
      <c r="H177" s="2">
        <v>45062</v>
      </c>
      <c r="I177" s="2">
        <v>45106</v>
      </c>
      <c r="J177" s="1">
        <v>14767.62</v>
      </c>
      <c r="K177" s="1">
        <v>1.0308999999999999</v>
      </c>
      <c r="L177" s="1">
        <v>15223.94</v>
      </c>
      <c r="M177" s="1">
        <v>24892</v>
      </c>
      <c r="N177" s="1">
        <v>48690</v>
      </c>
      <c r="O177" s="1">
        <v>32329.599999999999</v>
      </c>
      <c r="P177" s="1">
        <v>2023</v>
      </c>
      <c r="Q177" s="1" t="s">
        <v>45</v>
      </c>
      <c r="R177" s="1" t="s">
        <v>46</v>
      </c>
    </row>
    <row r="178" spans="1:18" x14ac:dyDescent="0.35">
      <c r="A178" s="3" t="s">
        <v>79</v>
      </c>
      <c r="B178" s="3"/>
      <c r="C178" s="1" t="s">
        <v>19</v>
      </c>
      <c r="D178" s="1" t="s">
        <v>58</v>
      </c>
      <c r="E178" s="1" t="s">
        <v>63</v>
      </c>
      <c r="F178" s="1" t="s">
        <v>22</v>
      </c>
      <c r="G178" s="1" t="s">
        <v>52</v>
      </c>
      <c r="H178" s="2">
        <v>45062</v>
      </c>
      <c r="I178" s="2">
        <v>45099</v>
      </c>
      <c r="J178" s="1">
        <v>21355.8</v>
      </c>
      <c r="K178" s="1">
        <v>0.68110000000000004</v>
      </c>
      <c r="L178" s="1">
        <v>14545.44</v>
      </c>
      <c r="M178" s="1">
        <v>595941</v>
      </c>
      <c r="N178" s="1">
        <v>30402</v>
      </c>
      <c r="O178" s="1">
        <v>169828.09</v>
      </c>
      <c r="P178" s="1">
        <v>2023</v>
      </c>
      <c r="Q178" s="1" t="s">
        <v>45</v>
      </c>
      <c r="R178" s="1" t="s">
        <v>46</v>
      </c>
    </row>
    <row r="179" spans="1:18" x14ac:dyDescent="0.35">
      <c r="A179" s="3" t="s">
        <v>79</v>
      </c>
      <c r="B179" s="3"/>
      <c r="C179" s="1" t="s">
        <v>48</v>
      </c>
      <c r="D179" s="1" t="s">
        <v>58</v>
      </c>
      <c r="E179" s="1" t="s">
        <v>43</v>
      </c>
      <c r="F179" s="1" t="s">
        <v>30</v>
      </c>
      <c r="G179" s="1" t="s">
        <v>44</v>
      </c>
      <c r="H179" s="2">
        <v>45062</v>
      </c>
      <c r="I179" s="2">
        <v>45089</v>
      </c>
      <c r="J179" s="1">
        <v>15493.73</v>
      </c>
      <c r="K179" s="1">
        <v>0.78069999999999995</v>
      </c>
      <c r="L179" s="1">
        <v>12095.96</v>
      </c>
      <c r="M179" s="1">
        <v>105136</v>
      </c>
      <c r="N179" s="1">
        <v>1143</v>
      </c>
      <c r="O179" s="1">
        <v>122546.82</v>
      </c>
      <c r="P179" s="1">
        <v>2023</v>
      </c>
      <c r="Q179" s="1" t="s">
        <v>45</v>
      </c>
      <c r="R179" s="1" t="s">
        <v>46</v>
      </c>
    </row>
    <row r="180" spans="1:18" x14ac:dyDescent="0.35">
      <c r="A180" s="3" t="s">
        <v>78</v>
      </c>
      <c r="B180" s="3"/>
      <c r="C180" s="1" t="s">
        <v>28</v>
      </c>
      <c r="D180" s="1" t="s">
        <v>20</v>
      </c>
      <c r="E180" s="1" t="s">
        <v>21</v>
      </c>
      <c r="F180" s="1" t="s">
        <v>30</v>
      </c>
      <c r="G180" s="1" t="s">
        <v>52</v>
      </c>
      <c r="H180" s="2">
        <v>45062</v>
      </c>
      <c r="I180" s="2">
        <v>45088</v>
      </c>
      <c r="J180" s="1">
        <v>5044.71</v>
      </c>
      <c r="K180" s="1">
        <v>0.69</v>
      </c>
      <c r="L180" s="1">
        <v>3480.85</v>
      </c>
      <c r="M180" s="1">
        <v>61706</v>
      </c>
      <c r="N180" s="1">
        <v>36023</v>
      </c>
      <c r="O180" s="1">
        <v>102801.87</v>
      </c>
      <c r="P180" s="1">
        <v>2023</v>
      </c>
      <c r="Q180" s="1" t="s">
        <v>45</v>
      </c>
      <c r="R180" s="1" t="s">
        <v>46</v>
      </c>
    </row>
    <row r="181" spans="1:18" x14ac:dyDescent="0.35">
      <c r="A181" s="3" t="s">
        <v>70</v>
      </c>
      <c r="B181" s="3"/>
      <c r="C181" s="1" t="s">
        <v>48</v>
      </c>
      <c r="D181" s="1" t="s">
        <v>58</v>
      </c>
      <c r="E181" s="1" t="s">
        <v>63</v>
      </c>
      <c r="F181" s="1" t="s">
        <v>30</v>
      </c>
      <c r="G181" s="1" t="s">
        <v>31</v>
      </c>
      <c r="H181" s="2">
        <v>45062</v>
      </c>
      <c r="I181" s="2">
        <v>45072</v>
      </c>
      <c r="J181" s="1">
        <v>16548.55</v>
      </c>
      <c r="K181" s="1">
        <v>0.64119999999999999</v>
      </c>
      <c r="L181" s="1">
        <v>10610.93</v>
      </c>
      <c r="M181" s="1">
        <v>158683</v>
      </c>
      <c r="N181" s="1">
        <v>17165</v>
      </c>
      <c r="O181" s="1">
        <v>33626.300000000003</v>
      </c>
      <c r="P181" s="1">
        <v>2023</v>
      </c>
      <c r="Q181" s="1" t="s">
        <v>45</v>
      </c>
      <c r="R181" s="1" t="s">
        <v>46</v>
      </c>
    </row>
    <row r="182" spans="1:18" x14ac:dyDescent="0.35">
      <c r="A182" s="3" t="s">
        <v>97</v>
      </c>
      <c r="B182" s="3"/>
      <c r="C182" s="1" t="s">
        <v>48</v>
      </c>
      <c r="D182" s="1" t="s">
        <v>29</v>
      </c>
      <c r="E182" s="1" t="s">
        <v>51</v>
      </c>
      <c r="F182" s="1" t="s">
        <v>22</v>
      </c>
      <c r="G182" s="1" t="s">
        <v>49</v>
      </c>
      <c r="H182" s="2">
        <v>45063</v>
      </c>
      <c r="I182" s="2">
        <v>45108</v>
      </c>
      <c r="J182" s="1">
        <v>29115.200000000001</v>
      </c>
      <c r="K182" s="1">
        <v>0.2477</v>
      </c>
      <c r="L182" s="1">
        <v>7211.84</v>
      </c>
      <c r="M182" s="1">
        <v>274760</v>
      </c>
      <c r="N182" s="1">
        <v>32284</v>
      </c>
      <c r="O182" s="1">
        <v>112191.14</v>
      </c>
      <c r="P182" s="1">
        <v>2023</v>
      </c>
      <c r="Q182" s="1" t="s">
        <v>45</v>
      </c>
      <c r="R182" s="1" t="s">
        <v>46</v>
      </c>
    </row>
    <row r="183" spans="1:18" x14ac:dyDescent="0.35">
      <c r="A183" s="3" t="s">
        <v>120</v>
      </c>
      <c r="B183" s="3"/>
      <c r="C183" s="1" t="s">
        <v>35</v>
      </c>
      <c r="D183" s="1" t="s">
        <v>20</v>
      </c>
      <c r="E183" s="1" t="s">
        <v>63</v>
      </c>
      <c r="F183" s="1" t="s">
        <v>38</v>
      </c>
      <c r="G183" s="1" t="s">
        <v>23</v>
      </c>
      <c r="H183" s="2">
        <v>45063</v>
      </c>
      <c r="I183" s="2">
        <v>45085</v>
      </c>
      <c r="J183" s="1">
        <v>43795.76</v>
      </c>
      <c r="K183" s="1">
        <v>7.1300000000000002E-2</v>
      </c>
      <c r="L183" s="1">
        <v>3122.64</v>
      </c>
      <c r="M183" s="1">
        <v>271103</v>
      </c>
      <c r="N183" s="1">
        <v>13860</v>
      </c>
      <c r="O183" s="1">
        <v>135975.76</v>
      </c>
      <c r="P183" s="1">
        <v>2023</v>
      </c>
      <c r="Q183" s="1" t="s">
        <v>45</v>
      </c>
      <c r="R183" s="1" t="s">
        <v>46</v>
      </c>
    </row>
    <row r="184" spans="1:18" x14ac:dyDescent="0.35">
      <c r="A184" s="3" t="s">
        <v>115</v>
      </c>
      <c r="B184" s="3"/>
      <c r="C184" s="1" t="s">
        <v>28</v>
      </c>
      <c r="D184" s="1" t="s">
        <v>69</v>
      </c>
      <c r="E184" s="1" t="s">
        <v>51</v>
      </c>
      <c r="F184" s="1" t="s">
        <v>22</v>
      </c>
      <c r="G184" s="1" t="s">
        <v>23</v>
      </c>
      <c r="H184" s="2">
        <v>45064</v>
      </c>
      <c r="I184" s="2">
        <v>45123</v>
      </c>
      <c r="J184" s="1">
        <v>25706.42</v>
      </c>
      <c r="K184" s="1">
        <v>0.3347</v>
      </c>
      <c r="L184" s="1">
        <v>8603.94</v>
      </c>
      <c r="M184" s="1">
        <v>858102</v>
      </c>
      <c r="N184" s="1">
        <v>7482</v>
      </c>
      <c r="O184" s="1">
        <v>86017.600000000006</v>
      </c>
      <c r="P184" s="1">
        <v>2023</v>
      </c>
      <c r="Q184" s="1" t="s">
        <v>45</v>
      </c>
      <c r="R184" s="1" t="s">
        <v>46</v>
      </c>
    </row>
    <row r="185" spans="1:18" x14ac:dyDescent="0.35">
      <c r="A185" s="3" t="s">
        <v>91</v>
      </c>
      <c r="B185" s="3"/>
      <c r="C185" s="1" t="s">
        <v>35</v>
      </c>
      <c r="D185" s="1" t="s">
        <v>58</v>
      </c>
      <c r="E185" s="1" t="s">
        <v>21</v>
      </c>
      <c r="F185" s="1" t="s">
        <v>38</v>
      </c>
      <c r="G185" s="1" t="s">
        <v>49</v>
      </c>
      <c r="H185" s="2">
        <v>45064</v>
      </c>
      <c r="I185" s="2">
        <v>45117</v>
      </c>
      <c r="J185" s="1">
        <v>5117.38</v>
      </c>
      <c r="K185" s="1">
        <v>0.53900000000000003</v>
      </c>
      <c r="L185" s="1">
        <v>2758.27</v>
      </c>
      <c r="M185" s="1">
        <v>378653</v>
      </c>
      <c r="N185" s="1">
        <v>15184</v>
      </c>
      <c r="O185" s="1">
        <v>148070.75</v>
      </c>
      <c r="P185" s="1">
        <v>2023</v>
      </c>
      <c r="Q185" s="1" t="s">
        <v>45</v>
      </c>
      <c r="R185" s="1" t="s">
        <v>46</v>
      </c>
    </row>
    <row r="186" spans="1:18" x14ac:dyDescent="0.35">
      <c r="A186" s="3" t="s">
        <v>115</v>
      </c>
      <c r="B186" s="3"/>
      <c r="C186" s="1" t="s">
        <v>19</v>
      </c>
      <c r="D186" s="1" t="s">
        <v>58</v>
      </c>
      <c r="E186" s="1" t="s">
        <v>43</v>
      </c>
      <c r="F186" s="1" t="s">
        <v>30</v>
      </c>
      <c r="G186" s="1" t="s">
        <v>52</v>
      </c>
      <c r="H186" s="2">
        <v>45066</v>
      </c>
      <c r="I186" s="2">
        <v>45085</v>
      </c>
      <c r="J186" s="1">
        <v>44857.56</v>
      </c>
      <c r="K186" s="1">
        <v>0.7712</v>
      </c>
      <c r="L186" s="1">
        <v>34594.15</v>
      </c>
      <c r="M186" s="1">
        <v>172293</v>
      </c>
      <c r="N186" s="1">
        <v>19819</v>
      </c>
      <c r="O186" s="1">
        <v>158918.67000000001</v>
      </c>
      <c r="P186" s="1">
        <v>2023</v>
      </c>
      <c r="Q186" s="1" t="s">
        <v>45</v>
      </c>
      <c r="R186" s="1" t="s">
        <v>46</v>
      </c>
    </row>
    <row r="187" spans="1:18" x14ac:dyDescent="0.35">
      <c r="A187" s="3" t="s">
        <v>110</v>
      </c>
      <c r="B187" s="3"/>
      <c r="C187" s="1" t="s">
        <v>35</v>
      </c>
      <c r="D187" s="1" t="s">
        <v>29</v>
      </c>
      <c r="E187" s="1" t="s">
        <v>51</v>
      </c>
      <c r="F187" s="1" t="s">
        <v>30</v>
      </c>
      <c r="G187" s="1" t="s">
        <v>52</v>
      </c>
      <c r="H187" s="2">
        <v>45066</v>
      </c>
      <c r="I187" s="2">
        <v>45081</v>
      </c>
      <c r="J187" s="1">
        <v>36885.25</v>
      </c>
      <c r="K187" s="1">
        <v>0.52990000000000004</v>
      </c>
      <c r="L187" s="1">
        <v>19545.490000000002</v>
      </c>
      <c r="M187" s="1">
        <v>680318</v>
      </c>
      <c r="N187" s="1">
        <v>32029</v>
      </c>
      <c r="O187" s="1">
        <v>164049.17000000001</v>
      </c>
      <c r="P187" s="1">
        <v>2023</v>
      </c>
      <c r="Q187" s="1" t="s">
        <v>45</v>
      </c>
      <c r="R187" s="1" t="s">
        <v>46</v>
      </c>
    </row>
    <row r="188" spans="1:18" x14ac:dyDescent="0.35">
      <c r="A188" s="3" t="s">
        <v>91</v>
      </c>
      <c r="B188" s="3"/>
      <c r="C188" s="1" t="s">
        <v>35</v>
      </c>
      <c r="D188" s="1" t="s">
        <v>36</v>
      </c>
      <c r="E188" s="1" t="s">
        <v>43</v>
      </c>
      <c r="F188" s="1" t="s">
        <v>30</v>
      </c>
      <c r="G188" s="1" t="s">
        <v>44</v>
      </c>
      <c r="H188" s="2">
        <v>45067</v>
      </c>
      <c r="I188" s="2">
        <v>45125</v>
      </c>
      <c r="J188" s="1">
        <v>31904.38</v>
      </c>
      <c r="K188" s="1">
        <v>9.0899999999999995E-2</v>
      </c>
      <c r="L188" s="1">
        <v>2900.11</v>
      </c>
      <c r="M188" s="1">
        <v>168366</v>
      </c>
      <c r="N188" s="1">
        <v>699</v>
      </c>
      <c r="O188" s="1">
        <v>58586.32</v>
      </c>
      <c r="P188" s="1">
        <v>2023</v>
      </c>
      <c r="Q188" s="1" t="s">
        <v>45</v>
      </c>
      <c r="R188" s="1" t="s">
        <v>46</v>
      </c>
    </row>
    <row r="189" spans="1:18" x14ac:dyDescent="0.35">
      <c r="A189" s="3" t="s">
        <v>27</v>
      </c>
      <c r="B189" s="3"/>
      <c r="C189" s="1" t="s">
        <v>28</v>
      </c>
      <c r="D189" s="1" t="s">
        <v>20</v>
      </c>
      <c r="E189" s="1" t="s">
        <v>43</v>
      </c>
      <c r="F189" s="1" t="s">
        <v>22</v>
      </c>
      <c r="G189" s="1" t="s">
        <v>49</v>
      </c>
      <c r="H189" s="2">
        <v>45068</v>
      </c>
      <c r="I189" s="2">
        <v>45124</v>
      </c>
      <c r="J189" s="1">
        <v>47257.48</v>
      </c>
      <c r="K189" s="1">
        <v>1.1067</v>
      </c>
      <c r="L189" s="1">
        <v>52299.85</v>
      </c>
      <c r="M189" s="1">
        <v>411798</v>
      </c>
      <c r="N189" s="1">
        <v>27537</v>
      </c>
      <c r="O189" s="1">
        <v>139588.12</v>
      </c>
      <c r="P189" s="1">
        <v>2023</v>
      </c>
      <c r="Q189" s="1" t="s">
        <v>45</v>
      </c>
      <c r="R189" s="1" t="s">
        <v>46</v>
      </c>
    </row>
    <row r="190" spans="1:18" x14ac:dyDescent="0.35">
      <c r="A190" s="3" t="s">
        <v>119</v>
      </c>
      <c r="B190" s="3"/>
      <c r="C190" s="1" t="s">
        <v>35</v>
      </c>
      <c r="D190" s="1" t="s">
        <v>36</v>
      </c>
      <c r="E190" s="1" t="s">
        <v>63</v>
      </c>
      <c r="F190" s="1" t="s">
        <v>22</v>
      </c>
      <c r="G190" s="1" t="s">
        <v>44</v>
      </c>
      <c r="H190" s="2">
        <v>45069</v>
      </c>
      <c r="I190" s="2">
        <v>45117</v>
      </c>
      <c r="J190" s="1">
        <v>27997.040000000001</v>
      </c>
      <c r="K190" s="1">
        <v>0.37659999999999999</v>
      </c>
      <c r="L190" s="1">
        <v>10543.69</v>
      </c>
      <c r="M190" s="1">
        <v>431139</v>
      </c>
      <c r="N190" s="1">
        <v>40569</v>
      </c>
      <c r="O190" s="1">
        <v>211014.84</v>
      </c>
      <c r="P190" s="1">
        <v>2023</v>
      </c>
      <c r="Q190" s="1" t="s">
        <v>45</v>
      </c>
      <c r="R190" s="1" t="s">
        <v>46</v>
      </c>
    </row>
    <row r="191" spans="1:18" x14ac:dyDescent="0.35">
      <c r="A191" s="3" t="s">
        <v>97</v>
      </c>
      <c r="B191" s="3"/>
      <c r="C191" s="1" t="s">
        <v>35</v>
      </c>
      <c r="D191" s="1" t="s">
        <v>20</v>
      </c>
      <c r="E191" s="1" t="s">
        <v>63</v>
      </c>
      <c r="F191" s="1" t="s">
        <v>30</v>
      </c>
      <c r="G191" s="1" t="s">
        <v>31</v>
      </c>
      <c r="H191" s="2">
        <v>45070</v>
      </c>
      <c r="I191" s="2">
        <v>45122</v>
      </c>
      <c r="J191" s="1">
        <v>43836.54</v>
      </c>
      <c r="K191" s="1">
        <v>0.50760000000000005</v>
      </c>
      <c r="L191" s="1">
        <v>22251.43</v>
      </c>
      <c r="M191" s="1">
        <v>19708</v>
      </c>
      <c r="N191" s="1">
        <v>19547</v>
      </c>
      <c r="O191" s="1">
        <v>33807.9</v>
      </c>
      <c r="P191" s="1">
        <v>2023</v>
      </c>
      <c r="Q191" s="1" t="s">
        <v>45</v>
      </c>
      <c r="R191" s="1" t="s">
        <v>46</v>
      </c>
    </row>
    <row r="192" spans="1:18" x14ac:dyDescent="0.35">
      <c r="A192" s="3" t="s">
        <v>92</v>
      </c>
      <c r="B192" s="3"/>
      <c r="C192" s="1" t="s">
        <v>19</v>
      </c>
      <c r="D192" s="1" t="s">
        <v>36</v>
      </c>
      <c r="E192" s="1" t="s">
        <v>51</v>
      </c>
      <c r="F192" s="1" t="s">
        <v>22</v>
      </c>
      <c r="G192" s="1" t="s">
        <v>23</v>
      </c>
      <c r="H192" s="2">
        <v>45070</v>
      </c>
      <c r="I192" s="2">
        <v>45121</v>
      </c>
      <c r="J192" s="1">
        <v>27780.77</v>
      </c>
      <c r="K192" s="1">
        <v>0.22900000000000001</v>
      </c>
      <c r="L192" s="1">
        <v>6361.8</v>
      </c>
      <c r="M192" s="1">
        <v>942566</v>
      </c>
      <c r="N192" s="1">
        <v>35629</v>
      </c>
      <c r="O192" s="1">
        <v>247629.27</v>
      </c>
      <c r="P192" s="1">
        <v>2023</v>
      </c>
      <c r="Q192" s="1" t="s">
        <v>45</v>
      </c>
      <c r="R192" s="1" t="s">
        <v>46</v>
      </c>
    </row>
    <row r="193" spans="1:18" x14ac:dyDescent="0.35">
      <c r="A193" s="3" t="s">
        <v>77</v>
      </c>
      <c r="B193" s="3"/>
      <c r="C193" s="1" t="s">
        <v>48</v>
      </c>
      <c r="D193" s="1" t="s">
        <v>36</v>
      </c>
      <c r="E193" s="1" t="s">
        <v>51</v>
      </c>
      <c r="F193" s="1" t="s">
        <v>22</v>
      </c>
      <c r="G193" s="1" t="s">
        <v>52</v>
      </c>
      <c r="H193" s="2">
        <v>45070</v>
      </c>
      <c r="I193" s="2">
        <v>45111</v>
      </c>
      <c r="J193" s="1">
        <v>25031.7</v>
      </c>
      <c r="K193" s="1">
        <v>0.38240000000000002</v>
      </c>
      <c r="L193" s="1">
        <v>9572.1200000000008</v>
      </c>
      <c r="M193" s="1">
        <v>965025</v>
      </c>
      <c r="N193" s="1">
        <v>23176</v>
      </c>
      <c r="O193" s="1">
        <v>153512.17000000001</v>
      </c>
      <c r="P193" s="1">
        <v>2023</v>
      </c>
      <c r="Q193" s="1" t="s">
        <v>45</v>
      </c>
      <c r="R193" s="1" t="s">
        <v>46</v>
      </c>
    </row>
    <row r="194" spans="1:18" x14ac:dyDescent="0.35">
      <c r="A194" s="3" t="s">
        <v>101</v>
      </c>
      <c r="B194" s="3"/>
      <c r="C194" s="1" t="s">
        <v>35</v>
      </c>
      <c r="D194" s="1" t="s">
        <v>29</v>
      </c>
      <c r="E194" s="1" t="s">
        <v>63</v>
      </c>
      <c r="F194" s="1" t="s">
        <v>22</v>
      </c>
      <c r="G194" s="1" t="s">
        <v>44</v>
      </c>
      <c r="H194" s="2">
        <v>45070</v>
      </c>
      <c r="I194" s="2">
        <v>45107</v>
      </c>
      <c r="J194" s="1">
        <v>49680.69</v>
      </c>
      <c r="K194" s="1">
        <v>0.28870000000000001</v>
      </c>
      <c r="L194" s="1">
        <v>14342.82</v>
      </c>
      <c r="M194" s="1">
        <v>970911</v>
      </c>
      <c r="N194" s="1">
        <v>48040</v>
      </c>
      <c r="O194" s="1">
        <v>146147.03</v>
      </c>
      <c r="P194" s="1">
        <v>2023</v>
      </c>
      <c r="Q194" s="1" t="s">
        <v>45</v>
      </c>
      <c r="R194" s="1" t="s">
        <v>46</v>
      </c>
    </row>
    <row r="195" spans="1:18" x14ac:dyDescent="0.35">
      <c r="A195" s="3" t="s">
        <v>50</v>
      </c>
      <c r="B195" s="3"/>
      <c r="C195" s="1" t="s">
        <v>35</v>
      </c>
      <c r="D195" s="1" t="s">
        <v>58</v>
      </c>
      <c r="E195" s="1" t="s">
        <v>21</v>
      </c>
      <c r="F195" s="1" t="s">
        <v>22</v>
      </c>
      <c r="G195" s="1" t="s">
        <v>31</v>
      </c>
      <c r="H195" s="2">
        <v>45071</v>
      </c>
      <c r="I195" s="2">
        <v>45094</v>
      </c>
      <c r="J195" s="1">
        <v>26639.31</v>
      </c>
      <c r="K195" s="1">
        <v>0.25330000000000003</v>
      </c>
      <c r="L195" s="1">
        <v>6747.74</v>
      </c>
      <c r="M195" s="1">
        <v>653825</v>
      </c>
      <c r="N195" s="1">
        <v>46923</v>
      </c>
      <c r="O195" s="1">
        <v>95957.06</v>
      </c>
      <c r="P195" s="1">
        <v>2023</v>
      </c>
      <c r="Q195" s="1" t="s">
        <v>45</v>
      </c>
      <c r="R195" s="1" t="s">
        <v>46</v>
      </c>
    </row>
    <row r="196" spans="1:18" x14ac:dyDescent="0.35">
      <c r="A196" s="3" t="s">
        <v>116</v>
      </c>
      <c r="B196" s="3"/>
      <c r="C196" s="1" t="s">
        <v>48</v>
      </c>
      <c r="D196" s="1" t="s">
        <v>58</v>
      </c>
      <c r="E196" s="1" t="s">
        <v>37</v>
      </c>
      <c r="F196" s="1" t="s">
        <v>22</v>
      </c>
      <c r="G196" s="1" t="s">
        <v>44</v>
      </c>
      <c r="H196" s="2">
        <v>45072</v>
      </c>
      <c r="I196" s="2">
        <v>45127</v>
      </c>
      <c r="J196" s="1">
        <v>29891.59</v>
      </c>
      <c r="K196" s="1">
        <v>6.7900000000000002E-2</v>
      </c>
      <c r="L196" s="1">
        <v>2029.64</v>
      </c>
      <c r="M196" s="1">
        <v>947692</v>
      </c>
      <c r="N196" s="1">
        <v>20099</v>
      </c>
      <c r="O196" s="1">
        <v>222819.02</v>
      </c>
      <c r="P196" s="1">
        <v>2023</v>
      </c>
      <c r="Q196" s="1" t="s">
        <v>45</v>
      </c>
      <c r="R196" s="1" t="s">
        <v>46</v>
      </c>
    </row>
    <row r="197" spans="1:18" x14ac:dyDescent="0.35">
      <c r="A197" s="3" t="s">
        <v>96</v>
      </c>
      <c r="B197" s="3"/>
      <c r="C197" s="1" t="s">
        <v>48</v>
      </c>
      <c r="D197" s="1" t="s">
        <v>69</v>
      </c>
      <c r="E197" s="1" t="s">
        <v>59</v>
      </c>
      <c r="F197" s="1" t="s">
        <v>22</v>
      </c>
      <c r="G197" s="1" t="s">
        <v>23</v>
      </c>
      <c r="H197" s="2">
        <v>45072</v>
      </c>
      <c r="I197" s="2">
        <v>45081</v>
      </c>
      <c r="J197" s="1">
        <v>14421.36</v>
      </c>
      <c r="K197" s="1">
        <v>0.1072</v>
      </c>
      <c r="L197" s="1">
        <v>1545.97</v>
      </c>
      <c r="M197" s="1">
        <v>926220</v>
      </c>
      <c r="N197" s="1">
        <v>46775</v>
      </c>
      <c r="O197" s="1">
        <v>115598.13</v>
      </c>
      <c r="P197" s="1">
        <v>2023</v>
      </c>
      <c r="Q197" s="1" t="s">
        <v>45</v>
      </c>
      <c r="R197" s="1" t="s">
        <v>46</v>
      </c>
    </row>
    <row r="198" spans="1:18" x14ac:dyDescent="0.35">
      <c r="A198" s="3" t="s">
        <v>95</v>
      </c>
      <c r="B198" s="3"/>
      <c r="C198" s="1" t="s">
        <v>35</v>
      </c>
      <c r="D198" s="1" t="s">
        <v>69</v>
      </c>
      <c r="E198" s="1" t="s">
        <v>21</v>
      </c>
      <c r="F198" s="1" t="s">
        <v>30</v>
      </c>
      <c r="G198" s="1" t="s">
        <v>23</v>
      </c>
      <c r="H198" s="2">
        <v>45073</v>
      </c>
      <c r="I198" s="2">
        <v>45132</v>
      </c>
      <c r="J198" s="1">
        <v>30771.07</v>
      </c>
      <c r="K198" s="1">
        <v>0.93979999999999997</v>
      </c>
      <c r="L198" s="1">
        <v>28918.65</v>
      </c>
      <c r="M198" s="1">
        <v>46489</v>
      </c>
      <c r="N198" s="1">
        <v>8372</v>
      </c>
      <c r="O198" s="1">
        <v>21472.17</v>
      </c>
      <c r="P198" s="1">
        <v>2023</v>
      </c>
      <c r="Q198" s="1" t="s">
        <v>45</v>
      </c>
      <c r="R198" s="1" t="s">
        <v>46</v>
      </c>
    </row>
    <row r="199" spans="1:18" x14ac:dyDescent="0.35">
      <c r="A199" s="3" t="s">
        <v>70</v>
      </c>
      <c r="B199" s="3"/>
      <c r="C199" s="1" t="s">
        <v>48</v>
      </c>
      <c r="D199" s="1" t="s">
        <v>58</v>
      </c>
      <c r="E199" s="1" t="s">
        <v>43</v>
      </c>
      <c r="F199" s="1" t="s">
        <v>22</v>
      </c>
      <c r="G199" s="1" t="s">
        <v>31</v>
      </c>
      <c r="H199" s="2">
        <v>45073</v>
      </c>
      <c r="I199" s="2">
        <v>45118</v>
      </c>
      <c r="J199" s="1">
        <v>14276.54</v>
      </c>
      <c r="K199" s="1">
        <v>0.54600000000000004</v>
      </c>
      <c r="L199" s="1">
        <v>7794.99</v>
      </c>
      <c r="M199" s="1">
        <v>260875</v>
      </c>
      <c r="N199" s="1">
        <v>11539</v>
      </c>
      <c r="O199" s="1">
        <v>154581.81</v>
      </c>
      <c r="P199" s="1">
        <v>2023</v>
      </c>
      <c r="Q199" s="1" t="s">
        <v>45</v>
      </c>
      <c r="R199" s="1" t="s">
        <v>46</v>
      </c>
    </row>
    <row r="200" spans="1:18" x14ac:dyDescent="0.35">
      <c r="A200" s="3" t="s">
        <v>110</v>
      </c>
      <c r="B200" s="3"/>
      <c r="C200" s="1" t="s">
        <v>35</v>
      </c>
      <c r="D200" s="1" t="s">
        <v>36</v>
      </c>
      <c r="E200" s="1" t="s">
        <v>37</v>
      </c>
      <c r="F200" s="1" t="s">
        <v>38</v>
      </c>
      <c r="G200" s="1" t="s">
        <v>31</v>
      </c>
      <c r="H200" s="2">
        <v>45073</v>
      </c>
      <c r="I200" s="2">
        <v>45098</v>
      </c>
      <c r="J200" s="1">
        <v>43257.3</v>
      </c>
      <c r="K200" s="1">
        <v>0.22459999999999999</v>
      </c>
      <c r="L200" s="1">
        <v>9715.59</v>
      </c>
      <c r="M200" s="1">
        <v>94736</v>
      </c>
      <c r="N200" s="1">
        <v>32054</v>
      </c>
      <c r="O200" s="1">
        <v>86494.21</v>
      </c>
      <c r="P200" s="1">
        <v>2023</v>
      </c>
      <c r="Q200" s="1" t="s">
        <v>45</v>
      </c>
      <c r="R200" s="1" t="s">
        <v>46</v>
      </c>
    </row>
    <row r="201" spans="1:18" x14ac:dyDescent="0.35">
      <c r="A201" s="3" t="s">
        <v>118</v>
      </c>
      <c r="B201" s="3"/>
      <c r="C201" s="1" t="s">
        <v>28</v>
      </c>
      <c r="D201" s="1" t="s">
        <v>58</v>
      </c>
      <c r="E201" s="1" t="s">
        <v>51</v>
      </c>
      <c r="F201" s="1" t="s">
        <v>30</v>
      </c>
      <c r="G201" s="1" t="s">
        <v>49</v>
      </c>
      <c r="H201" s="2">
        <v>45074</v>
      </c>
      <c r="I201" s="2">
        <v>45125</v>
      </c>
      <c r="J201" s="1">
        <v>44359.55</v>
      </c>
      <c r="K201" s="1">
        <v>0.79290000000000005</v>
      </c>
      <c r="L201" s="1">
        <v>35172.69</v>
      </c>
      <c r="M201" s="1">
        <v>152371</v>
      </c>
      <c r="N201" s="1">
        <v>5648</v>
      </c>
      <c r="O201" s="1">
        <v>38618.97</v>
      </c>
      <c r="P201" s="1">
        <v>2023</v>
      </c>
      <c r="Q201" s="1" t="s">
        <v>45</v>
      </c>
      <c r="R201" s="1" t="s">
        <v>46</v>
      </c>
    </row>
    <row r="202" spans="1:18" x14ac:dyDescent="0.35">
      <c r="A202" s="3" t="s">
        <v>115</v>
      </c>
      <c r="B202" s="3"/>
      <c r="C202" s="1" t="s">
        <v>19</v>
      </c>
      <c r="D202" s="1" t="s">
        <v>29</v>
      </c>
      <c r="E202" s="1" t="s">
        <v>21</v>
      </c>
      <c r="F202" s="1" t="s">
        <v>38</v>
      </c>
      <c r="G202" s="1" t="s">
        <v>52</v>
      </c>
      <c r="H202" s="2">
        <v>45075</v>
      </c>
      <c r="I202" s="2">
        <v>45093</v>
      </c>
      <c r="J202" s="1">
        <v>11688.69</v>
      </c>
      <c r="K202" s="1">
        <v>0.90059999999999996</v>
      </c>
      <c r="L202" s="1">
        <v>10526.83</v>
      </c>
      <c r="M202" s="1">
        <v>781037</v>
      </c>
      <c r="N202" s="1">
        <v>42779</v>
      </c>
      <c r="O202" s="1">
        <v>7237.47</v>
      </c>
      <c r="P202" s="1">
        <v>2023</v>
      </c>
      <c r="Q202" s="1" t="s">
        <v>45</v>
      </c>
      <c r="R202" s="1" t="s">
        <v>46</v>
      </c>
    </row>
    <row r="203" spans="1:18" x14ac:dyDescent="0.35">
      <c r="A203" s="3" t="s">
        <v>57</v>
      </c>
      <c r="B203" s="3"/>
      <c r="C203" s="1" t="s">
        <v>28</v>
      </c>
      <c r="D203" s="1" t="s">
        <v>58</v>
      </c>
      <c r="E203" s="1" t="s">
        <v>51</v>
      </c>
      <c r="F203" s="1" t="s">
        <v>38</v>
      </c>
      <c r="G203" s="1" t="s">
        <v>44</v>
      </c>
      <c r="H203" s="2">
        <v>45075</v>
      </c>
      <c r="I203" s="2">
        <v>45085</v>
      </c>
      <c r="J203" s="1">
        <v>16829.62</v>
      </c>
      <c r="K203" s="1">
        <v>0.1618</v>
      </c>
      <c r="L203" s="1">
        <v>2723.03</v>
      </c>
      <c r="M203" s="1">
        <v>814819</v>
      </c>
      <c r="N203" s="1">
        <v>25332</v>
      </c>
      <c r="O203" s="1">
        <v>91389.15</v>
      </c>
      <c r="P203" s="1">
        <v>2023</v>
      </c>
      <c r="Q203" s="1" t="s">
        <v>45</v>
      </c>
      <c r="R203" s="1" t="s">
        <v>46</v>
      </c>
    </row>
    <row r="204" spans="1:18" x14ac:dyDescent="0.35">
      <c r="A204" s="3" t="s">
        <v>47</v>
      </c>
      <c r="B204" s="3"/>
      <c r="C204" s="1" t="s">
        <v>48</v>
      </c>
      <c r="D204" s="1" t="s">
        <v>20</v>
      </c>
      <c r="E204" s="1" t="s">
        <v>43</v>
      </c>
      <c r="F204" s="1" t="s">
        <v>22</v>
      </c>
      <c r="G204" s="1" t="s">
        <v>23</v>
      </c>
      <c r="H204" s="2">
        <v>45076</v>
      </c>
      <c r="I204" s="2">
        <v>45135</v>
      </c>
      <c r="J204" s="1">
        <v>37563.699999999997</v>
      </c>
      <c r="K204" s="1">
        <v>0.34010000000000001</v>
      </c>
      <c r="L204" s="1">
        <v>12775.41</v>
      </c>
      <c r="M204" s="1">
        <v>617913</v>
      </c>
      <c r="N204" s="1">
        <v>22895</v>
      </c>
      <c r="O204" s="1">
        <v>91289.8</v>
      </c>
      <c r="P204" s="1">
        <v>2023</v>
      </c>
      <c r="Q204" s="1" t="s">
        <v>45</v>
      </c>
      <c r="R204" s="1" t="s">
        <v>46</v>
      </c>
    </row>
    <row r="205" spans="1:18" x14ac:dyDescent="0.35">
      <c r="A205" s="3" t="s">
        <v>79</v>
      </c>
      <c r="B205" s="3"/>
      <c r="C205" s="1" t="s">
        <v>19</v>
      </c>
      <c r="D205" s="1" t="s">
        <v>69</v>
      </c>
      <c r="E205" s="1" t="s">
        <v>51</v>
      </c>
      <c r="F205" s="1" t="s">
        <v>30</v>
      </c>
      <c r="G205" s="1" t="s">
        <v>49</v>
      </c>
      <c r="H205" s="2">
        <v>45076</v>
      </c>
      <c r="I205" s="2">
        <v>45128</v>
      </c>
      <c r="J205" s="1">
        <v>33602.18</v>
      </c>
      <c r="K205" s="1">
        <v>0.96350000000000002</v>
      </c>
      <c r="L205" s="1">
        <v>32375.7</v>
      </c>
      <c r="M205" s="1">
        <v>747114</v>
      </c>
      <c r="N205" s="1">
        <v>2350</v>
      </c>
      <c r="O205" s="1">
        <v>151725.68</v>
      </c>
      <c r="P205" s="1">
        <v>2023</v>
      </c>
      <c r="Q205" s="1" t="s">
        <v>45</v>
      </c>
      <c r="R205" s="1" t="s">
        <v>46</v>
      </c>
    </row>
    <row r="206" spans="1:18" x14ac:dyDescent="0.35">
      <c r="A206" s="3" t="s">
        <v>57</v>
      </c>
      <c r="B206" s="3"/>
      <c r="C206" s="1" t="s">
        <v>48</v>
      </c>
      <c r="D206" s="1" t="s">
        <v>69</v>
      </c>
      <c r="E206" s="1" t="s">
        <v>37</v>
      </c>
      <c r="F206" s="1" t="s">
        <v>38</v>
      </c>
      <c r="G206" s="1" t="s">
        <v>52</v>
      </c>
      <c r="H206" s="2">
        <v>45078</v>
      </c>
      <c r="I206" s="2">
        <v>45113</v>
      </c>
      <c r="J206" s="1">
        <v>5590.86</v>
      </c>
      <c r="K206" s="1">
        <v>0.22600000000000001</v>
      </c>
      <c r="L206" s="1">
        <v>1263.53</v>
      </c>
      <c r="M206" s="1">
        <v>204015</v>
      </c>
      <c r="N206" s="1">
        <v>11641</v>
      </c>
      <c r="O206" s="1">
        <v>51270.68</v>
      </c>
      <c r="P206" s="1">
        <v>2023</v>
      </c>
      <c r="Q206" s="1" t="s">
        <v>53</v>
      </c>
      <c r="R206" s="1" t="s">
        <v>46</v>
      </c>
    </row>
    <row r="207" spans="1:18" x14ac:dyDescent="0.35">
      <c r="A207" s="3" t="s">
        <v>67</v>
      </c>
      <c r="B207" s="3"/>
      <c r="C207" s="1" t="s">
        <v>28</v>
      </c>
      <c r="D207" s="1" t="s">
        <v>69</v>
      </c>
      <c r="E207" s="1" t="s">
        <v>59</v>
      </c>
      <c r="F207" s="1" t="s">
        <v>30</v>
      </c>
      <c r="G207" s="1" t="s">
        <v>23</v>
      </c>
      <c r="H207" s="2">
        <v>45078</v>
      </c>
      <c r="I207" s="2">
        <v>45109</v>
      </c>
      <c r="J207" s="1">
        <v>42957.01</v>
      </c>
      <c r="K207" s="1">
        <v>0.79459999999999997</v>
      </c>
      <c r="L207" s="1">
        <v>34133.64</v>
      </c>
      <c r="M207" s="1">
        <v>158513</v>
      </c>
      <c r="N207" s="1">
        <v>23509</v>
      </c>
      <c r="O207" s="1">
        <v>126968.9</v>
      </c>
      <c r="P207" s="1">
        <v>2023</v>
      </c>
      <c r="Q207" s="1" t="s">
        <v>53</v>
      </c>
      <c r="R207" s="1" t="s">
        <v>46</v>
      </c>
    </row>
    <row r="208" spans="1:18" x14ac:dyDescent="0.35">
      <c r="A208" s="3" t="s">
        <v>96</v>
      </c>
      <c r="B208" s="3"/>
      <c r="C208" s="1" t="s">
        <v>48</v>
      </c>
      <c r="D208" s="1" t="s">
        <v>20</v>
      </c>
      <c r="E208" s="1" t="s">
        <v>21</v>
      </c>
      <c r="F208" s="1" t="s">
        <v>38</v>
      </c>
      <c r="G208" s="1" t="s">
        <v>49</v>
      </c>
      <c r="H208" s="2">
        <v>45079</v>
      </c>
      <c r="I208" s="2">
        <v>45135</v>
      </c>
      <c r="J208" s="1">
        <v>28579.14</v>
      </c>
      <c r="K208" s="1">
        <v>0.37159999999999999</v>
      </c>
      <c r="L208" s="1">
        <v>10620.01</v>
      </c>
      <c r="M208" s="1">
        <v>270247</v>
      </c>
      <c r="N208" s="1">
        <v>7862</v>
      </c>
      <c r="O208" s="1">
        <v>141727.89000000001</v>
      </c>
      <c r="P208" s="1">
        <v>2023</v>
      </c>
      <c r="Q208" s="1" t="s">
        <v>53</v>
      </c>
      <c r="R208" s="1" t="s">
        <v>46</v>
      </c>
    </row>
    <row r="209" spans="1:18" x14ac:dyDescent="0.35">
      <c r="A209" s="3" t="s">
        <v>85</v>
      </c>
      <c r="B209" s="3"/>
      <c r="C209" s="1" t="s">
        <v>28</v>
      </c>
      <c r="D209" s="1" t="s">
        <v>69</v>
      </c>
      <c r="E209" s="1" t="s">
        <v>63</v>
      </c>
      <c r="F209" s="1" t="s">
        <v>30</v>
      </c>
      <c r="G209" s="1" t="s">
        <v>23</v>
      </c>
      <c r="H209" s="2">
        <v>45080</v>
      </c>
      <c r="I209" s="2">
        <v>45127</v>
      </c>
      <c r="J209" s="1">
        <v>34670.879999999997</v>
      </c>
      <c r="K209" s="1">
        <v>0.75349999999999995</v>
      </c>
      <c r="L209" s="1">
        <v>26124.51</v>
      </c>
      <c r="M209" s="1">
        <v>310947</v>
      </c>
      <c r="N209" s="1">
        <v>22931</v>
      </c>
      <c r="O209" s="1">
        <v>219473.53</v>
      </c>
      <c r="P209" s="1">
        <v>2023</v>
      </c>
      <c r="Q209" s="1" t="s">
        <v>53</v>
      </c>
      <c r="R209" s="1" t="s">
        <v>46</v>
      </c>
    </row>
    <row r="210" spans="1:18" x14ac:dyDescent="0.35">
      <c r="A210" s="3" t="s">
        <v>88</v>
      </c>
      <c r="B210" s="3"/>
      <c r="C210" s="1" t="s">
        <v>48</v>
      </c>
      <c r="D210" s="1" t="s">
        <v>36</v>
      </c>
      <c r="E210" s="1" t="s">
        <v>51</v>
      </c>
      <c r="F210" s="1" t="s">
        <v>38</v>
      </c>
      <c r="G210" s="1" t="s">
        <v>31</v>
      </c>
      <c r="H210" s="2">
        <v>45080</v>
      </c>
      <c r="I210" s="2">
        <v>45118</v>
      </c>
      <c r="J210" s="1">
        <v>38508.25</v>
      </c>
      <c r="K210" s="1">
        <v>1.0806</v>
      </c>
      <c r="L210" s="1">
        <v>41612.01</v>
      </c>
      <c r="M210" s="1">
        <v>854554</v>
      </c>
      <c r="N210" s="1">
        <v>39423</v>
      </c>
      <c r="O210" s="1">
        <v>104004.11</v>
      </c>
      <c r="P210" s="1">
        <v>2023</v>
      </c>
      <c r="Q210" s="1" t="s">
        <v>53</v>
      </c>
      <c r="R210" s="1" t="s">
        <v>46</v>
      </c>
    </row>
    <row r="211" spans="1:18" x14ac:dyDescent="0.35">
      <c r="A211" s="3" t="s">
        <v>18</v>
      </c>
      <c r="B211" s="3"/>
      <c r="C211" s="1" t="s">
        <v>28</v>
      </c>
      <c r="D211" s="1" t="s">
        <v>69</v>
      </c>
      <c r="E211" s="1" t="s">
        <v>43</v>
      </c>
      <c r="F211" s="1" t="s">
        <v>30</v>
      </c>
      <c r="G211" s="1" t="s">
        <v>23</v>
      </c>
      <c r="H211" s="2">
        <v>45081</v>
      </c>
      <c r="I211" s="2">
        <v>45115</v>
      </c>
      <c r="J211" s="1">
        <v>46757.15</v>
      </c>
      <c r="K211" s="1">
        <v>0.60429999999999995</v>
      </c>
      <c r="L211" s="1">
        <v>28255.35</v>
      </c>
      <c r="M211" s="1">
        <v>341777</v>
      </c>
      <c r="N211" s="1">
        <v>7545</v>
      </c>
      <c r="O211" s="1">
        <v>199044.12</v>
      </c>
      <c r="P211" s="1">
        <v>2023</v>
      </c>
      <c r="Q211" s="1" t="s">
        <v>53</v>
      </c>
      <c r="R211" s="1" t="s">
        <v>46</v>
      </c>
    </row>
    <row r="212" spans="1:18" x14ac:dyDescent="0.35">
      <c r="A212" s="3" t="s">
        <v>90</v>
      </c>
      <c r="B212" s="3"/>
      <c r="C212" s="1" t="s">
        <v>48</v>
      </c>
      <c r="D212" s="1" t="s">
        <v>29</v>
      </c>
      <c r="E212" s="1" t="s">
        <v>63</v>
      </c>
      <c r="F212" s="1" t="s">
        <v>30</v>
      </c>
      <c r="G212" s="1" t="s">
        <v>49</v>
      </c>
      <c r="H212" s="2">
        <v>45083</v>
      </c>
      <c r="I212" s="2">
        <v>45135</v>
      </c>
      <c r="J212" s="1">
        <v>35427.31</v>
      </c>
      <c r="K212" s="1">
        <v>1.157</v>
      </c>
      <c r="L212" s="1">
        <v>40989.4</v>
      </c>
      <c r="M212" s="1">
        <v>504392</v>
      </c>
      <c r="N212" s="1">
        <v>1386</v>
      </c>
      <c r="O212" s="1">
        <v>215650.13</v>
      </c>
      <c r="P212" s="1">
        <v>2023</v>
      </c>
      <c r="Q212" s="1" t="s">
        <v>53</v>
      </c>
      <c r="R212" s="1" t="s">
        <v>46</v>
      </c>
    </row>
    <row r="213" spans="1:18" x14ac:dyDescent="0.35">
      <c r="A213" s="3" t="s">
        <v>50</v>
      </c>
      <c r="B213" s="3"/>
      <c r="C213" s="1" t="s">
        <v>28</v>
      </c>
      <c r="D213" s="1" t="s">
        <v>20</v>
      </c>
      <c r="E213" s="1" t="s">
        <v>63</v>
      </c>
      <c r="F213" s="1" t="s">
        <v>30</v>
      </c>
      <c r="G213" s="1" t="s">
        <v>23</v>
      </c>
      <c r="H213" s="2">
        <v>45083</v>
      </c>
      <c r="I213" s="2">
        <v>45128</v>
      </c>
      <c r="J213" s="1">
        <v>8839.1200000000008</v>
      </c>
      <c r="K213" s="1">
        <v>0.81979999999999997</v>
      </c>
      <c r="L213" s="1">
        <v>7246.31</v>
      </c>
      <c r="M213" s="1">
        <v>635380</v>
      </c>
      <c r="N213" s="1">
        <v>4263</v>
      </c>
      <c r="O213" s="1">
        <v>99267.99</v>
      </c>
      <c r="P213" s="1">
        <v>2023</v>
      </c>
      <c r="Q213" s="1" t="s">
        <v>53</v>
      </c>
      <c r="R213" s="1" t="s">
        <v>46</v>
      </c>
    </row>
    <row r="214" spans="1:18" x14ac:dyDescent="0.35">
      <c r="A214" s="3" t="s">
        <v>34</v>
      </c>
      <c r="B214" s="3"/>
      <c r="C214" s="1" t="s">
        <v>35</v>
      </c>
      <c r="D214" s="1" t="s">
        <v>20</v>
      </c>
      <c r="E214" s="1" t="s">
        <v>59</v>
      </c>
      <c r="F214" s="1" t="s">
        <v>38</v>
      </c>
      <c r="G214" s="1" t="s">
        <v>44</v>
      </c>
      <c r="H214" s="2">
        <v>45085</v>
      </c>
      <c r="I214" s="2">
        <v>45132</v>
      </c>
      <c r="J214" s="1">
        <v>24627.279999999999</v>
      </c>
      <c r="K214" s="1">
        <v>1.0183</v>
      </c>
      <c r="L214" s="1">
        <v>25077.96</v>
      </c>
      <c r="M214" s="1">
        <v>377121</v>
      </c>
      <c r="N214" s="1">
        <v>36555</v>
      </c>
      <c r="O214" s="1">
        <v>95052.46</v>
      </c>
      <c r="P214" s="1">
        <v>2023</v>
      </c>
      <c r="Q214" s="1" t="s">
        <v>53</v>
      </c>
      <c r="R214" s="1" t="s">
        <v>46</v>
      </c>
    </row>
    <row r="215" spans="1:18" x14ac:dyDescent="0.35">
      <c r="A215" s="3" t="s">
        <v>75</v>
      </c>
      <c r="B215" s="3"/>
      <c r="C215" s="1" t="s">
        <v>28</v>
      </c>
      <c r="D215" s="1" t="s">
        <v>58</v>
      </c>
      <c r="E215" s="1" t="s">
        <v>51</v>
      </c>
      <c r="F215" s="1" t="s">
        <v>38</v>
      </c>
      <c r="G215" s="1" t="s">
        <v>49</v>
      </c>
      <c r="H215" s="2">
        <v>45085</v>
      </c>
      <c r="I215" s="2">
        <v>45102</v>
      </c>
      <c r="J215" s="1">
        <v>1204.8499999999999</v>
      </c>
      <c r="K215" s="1">
        <v>1.0354000000000001</v>
      </c>
      <c r="L215" s="1">
        <v>1247.5</v>
      </c>
      <c r="M215" s="1">
        <v>775847</v>
      </c>
      <c r="N215" s="1">
        <v>47636</v>
      </c>
      <c r="O215" s="1">
        <v>96693.16</v>
      </c>
      <c r="P215" s="1">
        <v>2023</v>
      </c>
      <c r="Q215" s="1" t="s">
        <v>53</v>
      </c>
      <c r="R215" s="1" t="s">
        <v>46</v>
      </c>
    </row>
    <row r="216" spans="1:18" x14ac:dyDescent="0.35">
      <c r="A216" s="3" t="s">
        <v>117</v>
      </c>
      <c r="B216" s="3"/>
      <c r="C216" s="1" t="s">
        <v>19</v>
      </c>
      <c r="D216" s="1" t="s">
        <v>58</v>
      </c>
      <c r="E216" s="1" t="s">
        <v>21</v>
      </c>
      <c r="F216" s="1" t="s">
        <v>38</v>
      </c>
      <c r="G216" s="1" t="s">
        <v>23</v>
      </c>
      <c r="H216" s="2">
        <v>45086</v>
      </c>
      <c r="I216" s="2">
        <v>45110</v>
      </c>
      <c r="J216" s="1">
        <v>1517.24</v>
      </c>
      <c r="K216" s="1">
        <v>0.63270000000000004</v>
      </c>
      <c r="L216" s="1">
        <v>959.96</v>
      </c>
      <c r="M216" s="1">
        <v>805128</v>
      </c>
      <c r="N216" s="1">
        <v>9032</v>
      </c>
      <c r="O216" s="1">
        <v>89251.8</v>
      </c>
      <c r="P216" s="1">
        <v>2023</v>
      </c>
      <c r="Q216" s="1" t="s">
        <v>53</v>
      </c>
      <c r="R216" s="1" t="s">
        <v>46</v>
      </c>
    </row>
    <row r="217" spans="1:18" x14ac:dyDescent="0.35">
      <c r="A217" s="3" t="s">
        <v>95</v>
      </c>
      <c r="B217" s="3"/>
      <c r="C217" s="1" t="s">
        <v>48</v>
      </c>
      <c r="D217" s="1" t="s">
        <v>58</v>
      </c>
      <c r="E217" s="1" t="s">
        <v>63</v>
      </c>
      <c r="F217" s="1" t="s">
        <v>38</v>
      </c>
      <c r="G217" s="1" t="s">
        <v>31</v>
      </c>
      <c r="H217" s="2">
        <v>45086</v>
      </c>
      <c r="I217" s="2">
        <v>45097</v>
      </c>
      <c r="J217" s="1">
        <v>9054.3700000000008</v>
      </c>
      <c r="K217" s="1">
        <v>0.56459999999999999</v>
      </c>
      <c r="L217" s="1">
        <v>5112.1000000000004</v>
      </c>
      <c r="M217" s="1">
        <v>436259</v>
      </c>
      <c r="N217" s="1">
        <v>8012</v>
      </c>
      <c r="O217" s="1">
        <v>136301.51</v>
      </c>
      <c r="P217" s="1">
        <v>2023</v>
      </c>
      <c r="Q217" s="1" t="s">
        <v>53</v>
      </c>
      <c r="R217" s="1" t="s">
        <v>46</v>
      </c>
    </row>
    <row r="218" spans="1:18" x14ac:dyDescent="0.35">
      <c r="A218" s="3" t="s">
        <v>50</v>
      </c>
      <c r="B218" s="3"/>
      <c r="C218" s="1" t="s">
        <v>28</v>
      </c>
      <c r="D218" s="1" t="s">
        <v>69</v>
      </c>
      <c r="E218" s="1" t="s">
        <v>37</v>
      </c>
      <c r="F218" s="1" t="s">
        <v>22</v>
      </c>
      <c r="G218" s="1" t="s">
        <v>31</v>
      </c>
      <c r="H218" s="2">
        <v>45087</v>
      </c>
      <c r="I218" s="2">
        <v>45107</v>
      </c>
      <c r="J218" s="1">
        <v>9516.86</v>
      </c>
      <c r="K218" s="1">
        <v>9.9299999999999999E-2</v>
      </c>
      <c r="L218" s="1">
        <v>945.02</v>
      </c>
      <c r="M218" s="1">
        <v>12805</v>
      </c>
      <c r="N218" s="1">
        <v>26872</v>
      </c>
      <c r="O218" s="1">
        <v>115373.41</v>
      </c>
      <c r="P218" s="1">
        <v>2023</v>
      </c>
      <c r="Q218" s="1" t="s">
        <v>53</v>
      </c>
      <c r="R218" s="1" t="s">
        <v>46</v>
      </c>
    </row>
    <row r="219" spans="1:18" x14ac:dyDescent="0.35">
      <c r="A219" s="3" t="s">
        <v>50</v>
      </c>
      <c r="B219" s="3"/>
      <c r="C219" s="1" t="s">
        <v>48</v>
      </c>
      <c r="D219" s="1" t="s">
        <v>69</v>
      </c>
      <c r="E219" s="1" t="s">
        <v>43</v>
      </c>
      <c r="F219" s="1" t="s">
        <v>30</v>
      </c>
      <c r="G219" s="1" t="s">
        <v>44</v>
      </c>
      <c r="H219" s="2">
        <v>45091</v>
      </c>
      <c r="I219" s="2">
        <v>45119</v>
      </c>
      <c r="J219" s="1">
        <v>3185.92</v>
      </c>
      <c r="K219" s="1">
        <v>1.1171</v>
      </c>
      <c r="L219" s="1">
        <v>3558.99</v>
      </c>
      <c r="M219" s="1">
        <v>966167</v>
      </c>
      <c r="N219" s="1">
        <v>38846</v>
      </c>
      <c r="O219" s="1">
        <v>11256.15</v>
      </c>
      <c r="P219" s="1">
        <v>2023</v>
      </c>
      <c r="Q219" s="1" t="s">
        <v>53</v>
      </c>
      <c r="R219" s="1" t="s">
        <v>46</v>
      </c>
    </row>
    <row r="220" spans="1:18" x14ac:dyDescent="0.35">
      <c r="A220" s="3" t="s">
        <v>118</v>
      </c>
      <c r="B220" s="3"/>
      <c r="C220" s="1" t="s">
        <v>19</v>
      </c>
      <c r="D220" s="1" t="s">
        <v>20</v>
      </c>
      <c r="E220" s="1" t="s">
        <v>21</v>
      </c>
      <c r="F220" s="1" t="s">
        <v>30</v>
      </c>
      <c r="G220" s="1" t="s">
        <v>44</v>
      </c>
      <c r="H220" s="2">
        <v>45091</v>
      </c>
      <c r="I220" s="2">
        <v>45107</v>
      </c>
      <c r="J220" s="1">
        <v>11818.61</v>
      </c>
      <c r="K220" s="1">
        <v>1.0034000000000001</v>
      </c>
      <c r="L220" s="1">
        <v>11858.79</v>
      </c>
      <c r="M220" s="1">
        <v>213765</v>
      </c>
      <c r="N220" s="1">
        <v>7611</v>
      </c>
      <c r="O220" s="1">
        <v>49432.71</v>
      </c>
      <c r="P220" s="1">
        <v>2023</v>
      </c>
      <c r="Q220" s="1" t="s">
        <v>53</v>
      </c>
      <c r="R220" s="1" t="s">
        <v>46</v>
      </c>
    </row>
    <row r="221" spans="1:18" x14ac:dyDescent="0.35">
      <c r="A221" s="3" t="s">
        <v>115</v>
      </c>
      <c r="B221" s="3"/>
      <c r="C221" s="1" t="s">
        <v>28</v>
      </c>
      <c r="D221" s="1" t="s">
        <v>69</v>
      </c>
      <c r="E221" s="1" t="s">
        <v>51</v>
      </c>
      <c r="F221" s="1" t="s">
        <v>22</v>
      </c>
      <c r="G221" s="1" t="s">
        <v>23</v>
      </c>
      <c r="H221" s="2">
        <v>45093</v>
      </c>
      <c r="I221" s="2">
        <v>45153</v>
      </c>
      <c r="J221" s="1">
        <v>8085.76</v>
      </c>
      <c r="K221" s="1">
        <v>0.92530000000000001</v>
      </c>
      <c r="L221" s="1">
        <v>7481.75</v>
      </c>
      <c r="M221" s="1">
        <v>63802</v>
      </c>
      <c r="N221" s="1">
        <v>27597</v>
      </c>
      <c r="O221" s="1">
        <v>80475.240000000005</v>
      </c>
      <c r="P221" s="1">
        <v>2023</v>
      </c>
      <c r="Q221" s="1" t="s">
        <v>53</v>
      </c>
      <c r="R221" s="1" t="s">
        <v>46</v>
      </c>
    </row>
    <row r="222" spans="1:18" x14ac:dyDescent="0.35">
      <c r="A222" s="3" t="s">
        <v>114</v>
      </c>
      <c r="B222" s="3"/>
      <c r="C222" s="1" t="s">
        <v>48</v>
      </c>
      <c r="D222" s="1" t="s">
        <v>36</v>
      </c>
      <c r="E222" s="1" t="s">
        <v>59</v>
      </c>
      <c r="F222" s="1" t="s">
        <v>38</v>
      </c>
      <c r="G222" s="1" t="s">
        <v>23</v>
      </c>
      <c r="H222" s="2">
        <v>45093</v>
      </c>
      <c r="I222" s="2">
        <v>45132</v>
      </c>
      <c r="J222" s="1">
        <v>6216.76</v>
      </c>
      <c r="K222" s="1">
        <v>0.26219999999999999</v>
      </c>
      <c r="L222" s="1">
        <v>1630.03</v>
      </c>
      <c r="M222" s="1">
        <v>21510</v>
      </c>
      <c r="N222" s="1">
        <v>49679</v>
      </c>
      <c r="O222" s="1">
        <v>227873.32</v>
      </c>
      <c r="P222" s="1">
        <v>2023</v>
      </c>
      <c r="Q222" s="1" t="s">
        <v>53</v>
      </c>
      <c r="R222" s="1" t="s">
        <v>46</v>
      </c>
    </row>
    <row r="223" spans="1:18" x14ac:dyDescent="0.35">
      <c r="A223" s="3" t="s">
        <v>94</v>
      </c>
      <c r="B223" s="3"/>
      <c r="C223" s="1" t="s">
        <v>19</v>
      </c>
      <c r="D223" s="1" t="s">
        <v>69</v>
      </c>
      <c r="E223" s="1" t="s">
        <v>59</v>
      </c>
      <c r="F223" s="1" t="s">
        <v>38</v>
      </c>
      <c r="G223" s="1" t="s">
        <v>52</v>
      </c>
      <c r="H223" s="2">
        <v>45093</v>
      </c>
      <c r="I223" s="2">
        <v>45126</v>
      </c>
      <c r="J223" s="1">
        <v>4611.76</v>
      </c>
      <c r="K223" s="1">
        <v>1.0165</v>
      </c>
      <c r="L223" s="1">
        <v>4687.8500000000004</v>
      </c>
      <c r="M223" s="1">
        <v>319234</v>
      </c>
      <c r="N223" s="1">
        <v>1415</v>
      </c>
      <c r="O223" s="1">
        <v>83085.64</v>
      </c>
      <c r="P223" s="1">
        <v>2023</v>
      </c>
      <c r="Q223" s="1" t="s">
        <v>53</v>
      </c>
      <c r="R223" s="1" t="s">
        <v>46</v>
      </c>
    </row>
    <row r="224" spans="1:18" x14ac:dyDescent="0.35">
      <c r="A224" s="3" t="s">
        <v>50</v>
      </c>
      <c r="B224" s="3"/>
      <c r="C224" s="1" t="s">
        <v>48</v>
      </c>
      <c r="D224" s="1" t="s">
        <v>20</v>
      </c>
      <c r="E224" s="1" t="s">
        <v>51</v>
      </c>
      <c r="F224" s="1" t="s">
        <v>22</v>
      </c>
      <c r="G224" s="1" t="s">
        <v>52</v>
      </c>
      <c r="H224" s="2">
        <v>45093</v>
      </c>
      <c r="I224" s="2">
        <v>45121</v>
      </c>
      <c r="J224" s="1">
        <v>18408.259999999998</v>
      </c>
      <c r="K224" s="1">
        <v>0.8075</v>
      </c>
      <c r="L224" s="1">
        <v>14864.67</v>
      </c>
      <c r="M224" s="1">
        <v>745911</v>
      </c>
      <c r="N224" s="1">
        <v>44896</v>
      </c>
      <c r="O224" s="1">
        <v>163768.67000000001</v>
      </c>
      <c r="P224" s="1">
        <v>2023</v>
      </c>
      <c r="Q224" s="1" t="s">
        <v>53</v>
      </c>
      <c r="R224" s="1" t="s">
        <v>46</v>
      </c>
    </row>
    <row r="225" spans="1:18" x14ac:dyDescent="0.35">
      <c r="A225" s="3" t="s">
        <v>111</v>
      </c>
      <c r="B225" s="3"/>
      <c r="C225" s="1" t="s">
        <v>48</v>
      </c>
      <c r="D225" s="1" t="s">
        <v>69</v>
      </c>
      <c r="E225" s="1" t="s">
        <v>51</v>
      </c>
      <c r="F225" s="1" t="s">
        <v>22</v>
      </c>
      <c r="G225" s="1" t="s">
        <v>23</v>
      </c>
      <c r="H225" s="2">
        <v>45094</v>
      </c>
      <c r="I225" s="2">
        <v>45130</v>
      </c>
      <c r="J225" s="1">
        <v>47697.79</v>
      </c>
      <c r="K225" s="1">
        <v>0.63239999999999996</v>
      </c>
      <c r="L225" s="1">
        <v>30164.080000000002</v>
      </c>
      <c r="M225" s="1">
        <v>831021</v>
      </c>
      <c r="N225" s="1">
        <v>47336</v>
      </c>
      <c r="O225" s="1">
        <v>68515.509999999995</v>
      </c>
      <c r="P225" s="1">
        <v>2023</v>
      </c>
      <c r="Q225" s="1" t="s">
        <v>53</v>
      </c>
      <c r="R225" s="1" t="s">
        <v>46</v>
      </c>
    </row>
    <row r="226" spans="1:18" x14ac:dyDescent="0.35">
      <c r="A226" s="3" t="s">
        <v>62</v>
      </c>
      <c r="B226" s="3"/>
      <c r="C226" s="1" t="s">
        <v>48</v>
      </c>
      <c r="D226" s="1" t="s">
        <v>29</v>
      </c>
      <c r="E226" s="1" t="s">
        <v>37</v>
      </c>
      <c r="F226" s="1" t="s">
        <v>22</v>
      </c>
      <c r="G226" s="1" t="s">
        <v>49</v>
      </c>
      <c r="H226" s="2">
        <v>45094</v>
      </c>
      <c r="I226" s="2">
        <v>45111</v>
      </c>
      <c r="J226" s="1">
        <v>12087.38</v>
      </c>
      <c r="K226" s="1">
        <v>0.49619999999999997</v>
      </c>
      <c r="L226" s="1">
        <v>5997.76</v>
      </c>
      <c r="M226" s="1">
        <v>25743</v>
      </c>
      <c r="N226" s="1">
        <v>17785</v>
      </c>
      <c r="O226" s="1">
        <v>237798.52</v>
      </c>
      <c r="P226" s="1">
        <v>2023</v>
      </c>
      <c r="Q226" s="1" t="s">
        <v>53</v>
      </c>
      <c r="R226" s="1" t="s">
        <v>46</v>
      </c>
    </row>
    <row r="227" spans="1:18" x14ac:dyDescent="0.35">
      <c r="A227" s="3" t="s">
        <v>117</v>
      </c>
      <c r="B227" s="3"/>
      <c r="C227" s="1" t="s">
        <v>19</v>
      </c>
      <c r="D227" s="1" t="s">
        <v>36</v>
      </c>
      <c r="E227" s="1" t="s">
        <v>63</v>
      </c>
      <c r="F227" s="1" t="s">
        <v>30</v>
      </c>
      <c r="G227" s="1" t="s">
        <v>52</v>
      </c>
      <c r="H227" s="2">
        <v>45095</v>
      </c>
      <c r="I227" s="2">
        <v>45133</v>
      </c>
      <c r="J227" s="1">
        <v>36038.99</v>
      </c>
      <c r="K227" s="1">
        <v>0.57389999999999997</v>
      </c>
      <c r="L227" s="1">
        <v>20682.78</v>
      </c>
      <c r="M227" s="1">
        <v>343120</v>
      </c>
      <c r="N227" s="1">
        <v>27382</v>
      </c>
      <c r="O227" s="1">
        <v>48910.32</v>
      </c>
      <c r="P227" s="1">
        <v>2023</v>
      </c>
      <c r="Q227" s="1" t="s">
        <v>53</v>
      </c>
      <c r="R227" s="1" t="s">
        <v>46</v>
      </c>
    </row>
    <row r="228" spans="1:18" x14ac:dyDescent="0.35">
      <c r="A228" s="3" t="s">
        <v>98</v>
      </c>
      <c r="B228" s="3"/>
      <c r="C228" s="1" t="s">
        <v>35</v>
      </c>
      <c r="D228" s="1" t="s">
        <v>20</v>
      </c>
      <c r="E228" s="1" t="s">
        <v>63</v>
      </c>
      <c r="F228" s="1" t="s">
        <v>22</v>
      </c>
      <c r="G228" s="1" t="s">
        <v>52</v>
      </c>
      <c r="H228" s="2">
        <v>45095</v>
      </c>
      <c r="I228" s="2">
        <v>45103</v>
      </c>
      <c r="J228" s="1">
        <v>40363.620000000003</v>
      </c>
      <c r="K228" s="1">
        <v>0.77949999999999997</v>
      </c>
      <c r="L228" s="1">
        <v>31463.439999999999</v>
      </c>
      <c r="M228" s="1">
        <v>214189</v>
      </c>
      <c r="N228" s="1">
        <v>17789</v>
      </c>
      <c r="O228" s="1">
        <v>31558.22</v>
      </c>
      <c r="P228" s="1">
        <v>2023</v>
      </c>
      <c r="Q228" s="1" t="s">
        <v>53</v>
      </c>
      <c r="R228" s="1" t="s">
        <v>46</v>
      </c>
    </row>
    <row r="229" spans="1:18" x14ac:dyDescent="0.35">
      <c r="A229" s="3" t="s">
        <v>27</v>
      </c>
      <c r="B229" s="3"/>
      <c r="C229" s="1" t="s">
        <v>35</v>
      </c>
      <c r="D229" s="1" t="s">
        <v>20</v>
      </c>
      <c r="E229" s="1" t="s">
        <v>43</v>
      </c>
      <c r="F229" s="1" t="s">
        <v>22</v>
      </c>
      <c r="G229" s="1" t="s">
        <v>31</v>
      </c>
      <c r="H229" s="2">
        <v>45096</v>
      </c>
      <c r="I229" s="2">
        <v>45140</v>
      </c>
      <c r="J229" s="1">
        <v>7822.51</v>
      </c>
      <c r="K229" s="1">
        <v>0.25590000000000002</v>
      </c>
      <c r="L229" s="1">
        <v>2001.78</v>
      </c>
      <c r="M229" s="1">
        <v>226995</v>
      </c>
      <c r="N229" s="1">
        <v>3990</v>
      </c>
      <c r="O229" s="1">
        <v>144668.21</v>
      </c>
      <c r="P229" s="1">
        <v>2023</v>
      </c>
      <c r="Q229" s="1" t="s">
        <v>53</v>
      </c>
      <c r="R229" s="1" t="s">
        <v>46</v>
      </c>
    </row>
    <row r="230" spans="1:18" x14ac:dyDescent="0.35">
      <c r="A230" s="3" t="s">
        <v>95</v>
      </c>
      <c r="B230" s="3"/>
      <c r="C230" s="1" t="s">
        <v>48</v>
      </c>
      <c r="D230" s="1" t="s">
        <v>58</v>
      </c>
      <c r="E230" s="1" t="s">
        <v>37</v>
      </c>
      <c r="F230" s="1" t="s">
        <v>22</v>
      </c>
      <c r="G230" s="1" t="s">
        <v>44</v>
      </c>
      <c r="H230" s="2">
        <v>45098</v>
      </c>
      <c r="I230" s="2">
        <v>45152</v>
      </c>
      <c r="J230" s="1">
        <v>27360.77</v>
      </c>
      <c r="K230" s="1">
        <v>1.8700000000000001E-2</v>
      </c>
      <c r="L230" s="1">
        <v>511.65</v>
      </c>
      <c r="M230" s="1">
        <v>78652</v>
      </c>
      <c r="N230" s="1">
        <v>13913</v>
      </c>
      <c r="O230" s="1">
        <v>169232.11</v>
      </c>
      <c r="P230" s="1">
        <v>2023</v>
      </c>
      <c r="Q230" s="1" t="s">
        <v>53</v>
      </c>
      <c r="R230" s="1" t="s">
        <v>46</v>
      </c>
    </row>
    <row r="231" spans="1:18" x14ac:dyDescent="0.35">
      <c r="A231" s="3" t="s">
        <v>68</v>
      </c>
      <c r="B231" s="3"/>
      <c r="C231" s="1" t="s">
        <v>48</v>
      </c>
      <c r="D231" s="1" t="s">
        <v>69</v>
      </c>
      <c r="E231" s="1" t="s">
        <v>59</v>
      </c>
      <c r="F231" s="1" t="s">
        <v>22</v>
      </c>
      <c r="G231" s="1" t="s">
        <v>31</v>
      </c>
      <c r="H231" s="2">
        <v>45099</v>
      </c>
      <c r="I231" s="2">
        <v>45140</v>
      </c>
      <c r="J231" s="1">
        <v>22224.66</v>
      </c>
      <c r="K231" s="1">
        <v>0.87209999999999999</v>
      </c>
      <c r="L231" s="1">
        <v>19382.13</v>
      </c>
      <c r="M231" s="1">
        <v>530226</v>
      </c>
      <c r="N231" s="1">
        <v>2032</v>
      </c>
      <c r="O231" s="1">
        <v>98768.71</v>
      </c>
      <c r="P231" s="1">
        <v>2023</v>
      </c>
      <c r="Q231" s="1" t="s">
        <v>53</v>
      </c>
      <c r="R231" s="1" t="s">
        <v>46</v>
      </c>
    </row>
    <row r="232" spans="1:18" x14ac:dyDescent="0.35">
      <c r="A232" s="3" t="s">
        <v>110</v>
      </c>
      <c r="B232" s="3"/>
      <c r="C232" s="1" t="s">
        <v>19</v>
      </c>
      <c r="D232" s="1" t="s">
        <v>20</v>
      </c>
      <c r="E232" s="1" t="s">
        <v>59</v>
      </c>
      <c r="F232" s="1" t="s">
        <v>30</v>
      </c>
      <c r="G232" s="1" t="s">
        <v>23</v>
      </c>
      <c r="H232" s="2">
        <v>45101</v>
      </c>
      <c r="I232" s="2">
        <v>45141</v>
      </c>
      <c r="J232" s="1">
        <v>10494.74</v>
      </c>
      <c r="K232" s="1">
        <v>0.88919999999999999</v>
      </c>
      <c r="L232" s="1">
        <v>9331.92</v>
      </c>
      <c r="M232" s="1">
        <v>714827</v>
      </c>
      <c r="N232" s="1">
        <v>44820</v>
      </c>
      <c r="O232" s="1">
        <v>152728.26999999999</v>
      </c>
      <c r="P232" s="1">
        <v>2023</v>
      </c>
      <c r="Q232" s="1" t="s">
        <v>53</v>
      </c>
      <c r="R232" s="1" t="s">
        <v>46</v>
      </c>
    </row>
    <row r="233" spans="1:18" x14ac:dyDescent="0.35">
      <c r="A233" s="3" t="s">
        <v>47</v>
      </c>
      <c r="B233" s="3"/>
      <c r="C233" s="1" t="s">
        <v>19</v>
      </c>
      <c r="D233" s="1" t="s">
        <v>29</v>
      </c>
      <c r="E233" s="1" t="s">
        <v>21</v>
      </c>
      <c r="F233" s="1" t="s">
        <v>30</v>
      </c>
      <c r="G233" s="1" t="s">
        <v>49</v>
      </c>
      <c r="H233" s="2">
        <v>45102</v>
      </c>
      <c r="I233" s="2">
        <v>45158</v>
      </c>
      <c r="J233" s="1">
        <v>47433.1</v>
      </c>
      <c r="K233" s="1">
        <v>0.5575</v>
      </c>
      <c r="L233" s="1">
        <v>26443.95</v>
      </c>
      <c r="M233" s="1">
        <v>733108</v>
      </c>
      <c r="N233" s="1">
        <v>23814</v>
      </c>
      <c r="O233" s="1">
        <v>26591.82</v>
      </c>
      <c r="P233" s="1">
        <v>2023</v>
      </c>
      <c r="Q233" s="1" t="s">
        <v>53</v>
      </c>
      <c r="R233" s="1" t="s">
        <v>46</v>
      </c>
    </row>
    <row r="234" spans="1:18" x14ac:dyDescent="0.35">
      <c r="A234" s="3" t="s">
        <v>97</v>
      </c>
      <c r="B234" s="3"/>
      <c r="C234" s="1" t="s">
        <v>28</v>
      </c>
      <c r="D234" s="1" t="s">
        <v>29</v>
      </c>
      <c r="E234" s="1" t="s">
        <v>43</v>
      </c>
      <c r="F234" s="1" t="s">
        <v>22</v>
      </c>
      <c r="G234" s="1" t="s">
        <v>44</v>
      </c>
      <c r="H234" s="2">
        <v>45102</v>
      </c>
      <c r="I234" s="2">
        <v>45157</v>
      </c>
      <c r="J234" s="1">
        <v>13740.37</v>
      </c>
      <c r="K234" s="1">
        <v>0.58620000000000005</v>
      </c>
      <c r="L234" s="1">
        <v>8054.6</v>
      </c>
      <c r="M234" s="1">
        <v>312143</v>
      </c>
      <c r="N234" s="1">
        <v>3201</v>
      </c>
      <c r="O234" s="1">
        <v>41342.89</v>
      </c>
      <c r="P234" s="1">
        <v>2023</v>
      </c>
      <c r="Q234" s="1" t="s">
        <v>53</v>
      </c>
      <c r="R234" s="1" t="s">
        <v>46</v>
      </c>
    </row>
    <row r="235" spans="1:18" x14ac:dyDescent="0.35">
      <c r="A235" s="3" t="s">
        <v>96</v>
      </c>
      <c r="B235" s="3"/>
      <c r="C235" s="1" t="s">
        <v>28</v>
      </c>
      <c r="D235" s="1" t="s">
        <v>36</v>
      </c>
      <c r="E235" s="1" t="s">
        <v>21</v>
      </c>
      <c r="F235" s="1" t="s">
        <v>22</v>
      </c>
      <c r="G235" s="1" t="s">
        <v>52</v>
      </c>
      <c r="H235" s="2">
        <v>45102</v>
      </c>
      <c r="I235" s="2">
        <v>45127</v>
      </c>
      <c r="J235" s="1">
        <v>43125.66</v>
      </c>
      <c r="K235" s="1">
        <v>0.49890000000000001</v>
      </c>
      <c r="L235" s="1">
        <v>21515.39</v>
      </c>
      <c r="M235" s="1">
        <v>174663</v>
      </c>
      <c r="N235" s="1">
        <v>7357</v>
      </c>
      <c r="O235" s="1">
        <v>36638.730000000003</v>
      </c>
      <c r="P235" s="1">
        <v>2023</v>
      </c>
      <c r="Q235" s="1" t="s">
        <v>53</v>
      </c>
      <c r="R235" s="1" t="s">
        <v>46</v>
      </c>
    </row>
    <row r="236" spans="1:18" x14ac:dyDescent="0.35">
      <c r="A236" s="3" t="s">
        <v>111</v>
      </c>
      <c r="B236" s="3"/>
      <c r="C236" s="1" t="s">
        <v>48</v>
      </c>
      <c r="D236" s="1" t="s">
        <v>58</v>
      </c>
      <c r="E236" s="1" t="s">
        <v>21</v>
      </c>
      <c r="F236" s="1" t="s">
        <v>30</v>
      </c>
      <c r="G236" s="1" t="s">
        <v>52</v>
      </c>
      <c r="H236" s="2">
        <v>45104</v>
      </c>
      <c r="I236" s="2">
        <v>45152</v>
      </c>
      <c r="J236" s="1">
        <v>30058</v>
      </c>
      <c r="K236" s="1">
        <v>0.39979999999999999</v>
      </c>
      <c r="L236" s="1">
        <v>12017.19</v>
      </c>
      <c r="M236" s="1">
        <v>305485</v>
      </c>
      <c r="N236" s="1">
        <v>13119</v>
      </c>
      <c r="O236" s="1">
        <v>25677.74</v>
      </c>
      <c r="P236" s="1">
        <v>2023</v>
      </c>
      <c r="Q236" s="1" t="s">
        <v>53</v>
      </c>
      <c r="R236" s="1" t="s">
        <v>46</v>
      </c>
    </row>
    <row r="237" spans="1:18" x14ac:dyDescent="0.35">
      <c r="A237" s="3" t="s">
        <v>71</v>
      </c>
      <c r="B237" s="3"/>
      <c r="C237" s="1" t="s">
        <v>35</v>
      </c>
      <c r="D237" s="1" t="s">
        <v>29</v>
      </c>
      <c r="E237" s="1" t="s">
        <v>59</v>
      </c>
      <c r="F237" s="1" t="s">
        <v>30</v>
      </c>
      <c r="G237" s="1" t="s">
        <v>49</v>
      </c>
      <c r="H237" s="2">
        <v>45104</v>
      </c>
      <c r="I237" s="2">
        <v>45121</v>
      </c>
      <c r="J237" s="1">
        <v>34665.82</v>
      </c>
      <c r="K237" s="1">
        <v>1.0659000000000001</v>
      </c>
      <c r="L237" s="1">
        <v>36950.300000000003</v>
      </c>
      <c r="M237" s="1">
        <v>304736</v>
      </c>
      <c r="N237" s="1">
        <v>25844</v>
      </c>
      <c r="O237" s="1">
        <v>30209.18</v>
      </c>
      <c r="P237" s="1">
        <v>2023</v>
      </c>
      <c r="Q237" s="1" t="s">
        <v>53</v>
      </c>
      <c r="R237" s="1" t="s">
        <v>46</v>
      </c>
    </row>
    <row r="238" spans="1:18" x14ac:dyDescent="0.35">
      <c r="A238" s="3" t="s">
        <v>114</v>
      </c>
      <c r="B238" s="3"/>
      <c r="C238" s="1" t="s">
        <v>19</v>
      </c>
      <c r="D238" s="1" t="s">
        <v>29</v>
      </c>
      <c r="E238" s="1" t="s">
        <v>63</v>
      </c>
      <c r="F238" s="1" t="s">
        <v>22</v>
      </c>
      <c r="G238" s="1" t="s">
        <v>23</v>
      </c>
      <c r="H238" s="2">
        <v>45105</v>
      </c>
      <c r="I238" s="2">
        <v>45124</v>
      </c>
      <c r="J238" s="1">
        <v>44383.73</v>
      </c>
      <c r="K238" s="1">
        <v>0.86539999999999995</v>
      </c>
      <c r="L238" s="1">
        <v>38409.68</v>
      </c>
      <c r="M238" s="1">
        <v>366324</v>
      </c>
      <c r="N238" s="1">
        <v>36440</v>
      </c>
      <c r="O238" s="1">
        <v>65261.24</v>
      </c>
      <c r="P238" s="1">
        <v>2023</v>
      </c>
      <c r="Q238" s="1" t="s">
        <v>53</v>
      </c>
      <c r="R238" s="1" t="s">
        <v>46</v>
      </c>
    </row>
    <row r="239" spans="1:18" x14ac:dyDescent="0.35">
      <c r="A239" s="3" t="s">
        <v>27</v>
      </c>
      <c r="B239" s="3"/>
      <c r="C239" s="1" t="s">
        <v>35</v>
      </c>
      <c r="D239" s="1" t="s">
        <v>36</v>
      </c>
      <c r="E239" s="1" t="s">
        <v>63</v>
      </c>
      <c r="F239" s="1" t="s">
        <v>30</v>
      </c>
      <c r="G239" s="1" t="s">
        <v>49</v>
      </c>
      <c r="H239" s="2">
        <v>45106</v>
      </c>
      <c r="I239" s="2">
        <v>45124</v>
      </c>
      <c r="J239" s="1">
        <v>48526.25</v>
      </c>
      <c r="K239" s="1">
        <v>0.53300000000000003</v>
      </c>
      <c r="L239" s="1">
        <v>25864.49</v>
      </c>
      <c r="M239" s="1">
        <v>276659</v>
      </c>
      <c r="N239" s="1">
        <v>38732</v>
      </c>
      <c r="O239" s="1">
        <v>18701.72</v>
      </c>
      <c r="P239" s="1">
        <v>2023</v>
      </c>
      <c r="Q239" s="1" t="s">
        <v>53</v>
      </c>
      <c r="R239" s="1" t="s">
        <v>46</v>
      </c>
    </row>
    <row r="240" spans="1:18" x14ac:dyDescent="0.35">
      <c r="A240" s="3" t="s">
        <v>106</v>
      </c>
      <c r="B240" s="3"/>
      <c r="C240" s="1" t="s">
        <v>28</v>
      </c>
      <c r="D240" s="1" t="s">
        <v>58</v>
      </c>
      <c r="E240" s="1" t="s">
        <v>43</v>
      </c>
      <c r="F240" s="1" t="s">
        <v>38</v>
      </c>
      <c r="G240" s="1" t="s">
        <v>52</v>
      </c>
      <c r="H240" s="2">
        <v>45107</v>
      </c>
      <c r="I240" s="2">
        <v>45141</v>
      </c>
      <c r="J240" s="1">
        <v>47859.46</v>
      </c>
      <c r="K240" s="1">
        <v>0.79610000000000003</v>
      </c>
      <c r="L240" s="1">
        <v>38100.92</v>
      </c>
      <c r="M240" s="1">
        <v>374462</v>
      </c>
      <c r="N240" s="1">
        <v>45776</v>
      </c>
      <c r="O240" s="1">
        <v>102531.88</v>
      </c>
      <c r="P240" s="1">
        <v>2023</v>
      </c>
      <c r="Q240" s="1" t="s">
        <v>53</v>
      </c>
      <c r="R240" s="1" t="s">
        <v>46</v>
      </c>
    </row>
    <row r="241" spans="1:18" x14ac:dyDescent="0.35">
      <c r="A241" s="3" t="s">
        <v>86</v>
      </c>
      <c r="B241" s="3"/>
      <c r="C241" s="1" t="s">
        <v>35</v>
      </c>
      <c r="D241" s="1" t="s">
        <v>20</v>
      </c>
      <c r="E241" s="1" t="s">
        <v>43</v>
      </c>
      <c r="F241" s="1" t="s">
        <v>22</v>
      </c>
      <c r="G241" s="1" t="s">
        <v>44</v>
      </c>
      <c r="H241" s="2">
        <v>45107</v>
      </c>
      <c r="I241" s="2">
        <v>45127</v>
      </c>
      <c r="J241" s="1">
        <v>30033.46</v>
      </c>
      <c r="K241" s="1">
        <v>0.96940000000000004</v>
      </c>
      <c r="L241" s="1">
        <v>29114.44</v>
      </c>
      <c r="M241" s="1">
        <v>741514</v>
      </c>
      <c r="N241" s="1">
        <v>23613</v>
      </c>
      <c r="O241" s="1">
        <v>228925.1</v>
      </c>
      <c r="P241" s="1">
        <v>2023</v>
      </c>
      <c r="Q241" s="1" t="s">
        <v>53</v>
      </c>
      <c r="R241" s="1" t="s">
        <v>46</v>
      </c>
    </row>
    <row r="242" spans="1:18" x14ac:dyDescent="0.35">
      <c r="A242" s="3" t="s">
        <v>85</v>
      </c>
      <c r="B242" s="3"/>
      <c r="C242" s="1" t="s">
        <v>48</v>
      </c>
      <c r="D242" s="1" t="s">
        <v>69</v>
      </c>
      <c r="E242" s="1" t="s">
        <v>59</v>
      </c>
      <c r="F242" s="1" t="s">
        <v>22</v>
      </c>
      <c r="G242" s="1" t="s">
        <v>44</v>
      </c>
      <c r="H242" s="2">
        <v>45109</v>
      </c>
      <c r="I242" s="2">
        <v>45138</v>
      </c>
      <c r="J242" s="1">
        <v>19300.77</v>
      </c>
      <c r="K242" s="1">
        <v>0.55469999999999997</v>
      </c>
      <c r="L242" s="1">
        <v>10706.14</v>
      </c>
      <c r="M242" s="1">
        <v>213586</v>
      </c>
      <c r="N242" s="1">
        <v>41520</v>
      </c>
      <c r="O242" s="1">
        <v>92854.6</v>
      </c>
      <c r="P242" s="1">
        <v>2023</v>
      </c>
      <c r="Q242" s="1" t="s">
        <v>80</v>
      </c>
      <c r="R242" s="1" t="s">
        <v>33</v>
      </c>
    </row>
    <row r="243" spans="1:18" x14ac:dyDescent="0.35">
      <c r="A243" s="3" t="s">
        <v>101</v>
      </c>
      <c r="B243" s="3"/>
      <c r="C243" s="1" t="s">
        <v>19</v>
      </c>
      <c r="D243" s="1" t="s">
        <v>58</v>
      </c>
      <c r="E243" s="1" t="s">
        <v>51</v>
      </c>
      <c r="F243" s="1" t="s">
        <v>22</v>
      </c>
      <c r="G243" s="1" t="s">
        <v>52</v>
      </c>
      <c r="H243" s="2">
        <v>45110</v>
      </c>
      <c r="I243" s="2">
        <v>45154</v>
      </c>
      <c r="J243" s="1">
        <v>36928.949999999997</v>
      </c>
      <c r="K243" s="1">
        <v>0.55479999999999996</v>
      </c>
      <c r="L243" s="1">
        <v>20488.18</v>
      </c>
      <c r="M243" s="1">
        <v>965077</v>
      </c>
      <c r="N243" s="1">
        <v>43293</v>
      </c>
      <c r="O243" s="1">
        <v>49943.86</v>
      </c>
      <c r="P243" s="1">
        <v>2023</v>
      </c>
      <c r="Q243" s="1" t="s">
        <v>80</v>
      </c>
      <c r="R243" s="1" t="s">
        <v>33</v>
      </c>
    </row>
    <row r="244" spans="1:18" x14ac:dyDescent="0.35">
      <c r="A244" s="3" t="s">
        <v>88</v>
      </c>
      <c r="B244" s="3"/>
      <c r="C244" s="1" t="s">
        <v>48</v>
      </c>
      <c r="D244" s="1" t="s">
        <v>36</v>
      </c>
      <c r="E244" s="1" t="s">
        <v>37</v>
      </c>
      <c r="F244" s="1" t="s">
        <v>22</v>
      </c>
      <c r="G244" s="1" t="s">
        <v>49</v>
      </c>
      <c r="H244" s="2">
        <v>45110</v>
      </c>
      <c r="I244" s="2">
        <v>45144</v>
      </c>
      <c r="J244" s="1">
        <v>29925.46</v>
      </c>
      <c r="K244" s="1">
        <v>0.85799999999999998</v>
      </c>
      <c r="L244" s="1">
        <v>25676.04</v>
      </c>
      <c r="M244" s="1">
        <v>221741</v>
      </c>
      <c r="N244" s="1">
        <v>29898</v>
      </c>
      <c r="O244" s="1">
        <v>27094.02</v>
      </c>
      <c r="P244" s="1">
        <v>2023</v>
      </c>
      <c r="Q244" s="1" t="s">
        <v>80</v>
      </c>
      <c r="R244" s="1" t="s">
        <v>33</v>
      </c>
    </row>
    <row r="245" spans="1:18" x14ac:dyDescent="0.35">
      <c r="A245" s="3" t="s">
        <v>117</v>
      </c>
      <c r="B245" s="3"/>
      <c r="C245" s="1" t="s">
        <v>35</v>
      </c>
      <c r="D245" s="1" t="s">
        <v>20</v>
      </c>
      <c r="E245" s="1" t="s">
        <v>21</v>
      </c>
      <c r="F245" s="1" t="s">
        <v>30</v>
      </c>
      <c r="G245" s="1" t="s">
        <v>44</v>
      </c>
      <c r="H245" s="2">
        <v>45110</v>
      </c>
      <c r="I245" s="2">
        <v>45135</v>
      </c>
      <c r="J245" s="1">
        <v>35911.86</v>
      </c>
      <c r="K245" s="1">
        <v>0.63529999999999998</v>
      </c>
      <c r="L245" s="1">
        <v>22814.799999999999</v>
      </c>
      <c r="M245" s="1">
        <v>516773</v>
      </c>
      <c r="N245" s="1">
        <v>47000</v>
      </c>
      <c r="O245" s="1">
        <v>239159.21</v>
      </c>
      <c r="P245" s="1">
        <v>2023</v>
      </c>
      <c r="Q245" s="1" t="s">
        <v>80</v>
      </c>
      <c r="R245" s="1" t="s">
        <v>33</v>
      </c>
    </row>
    <row r="246" spans="1:18" x14ac:dyDescent="0.35">
      <c r="A246" s="3" t="s">
        <v>66</v>
      </c>
      <c r="B246" s="3"/>
      <c r="C246" s="1" t="s">
        <v>19</v>
      </c>
      <c r="D246" s="1" t="s">
        <v>69</v>
      </c>
      <c r="E246" s="1" t="s">
        <v>37</v>
      </c>
      <c r="F246" s="1" t="s">
        <v>30</v>
      </c>
      <c r="G246" s="1" t="s">
        <v>44</v>
      </c>
      <c r="H246" s="2">
        <v>45111</v>
      </c>
      <c r="I246" s="2">
        <v>45129</v>
      </c>
      <c r="J246" s="1">
        <v>17744.88</v>
      </c>
      <c r="K246" s="1">
        <v>0.92169999999999996</v>
      </c>
      <c r="L246" s="1">
        <v>16355.46</v>
      </c>
      <c r="M246" s="1">
        <v>211332</v>
      </c>
      <c r="N246" s="1">
        <v>14946</v>
      </c>
      <c r="O246" s="1">
        <v>249994.27</v>
      </c>
      <c r="P246" s="1">
        <v>2023</v>
      </c>
      <c r="Q246" s="1" t="s">
        <v>80</v>
      </c>
      <c r="R246" s="1" t="s">
        <v>33</v>
      </c>
    </row>
    <row r="247" spans="1:18" x14ac:dyDescent="0.35">
      <c r="A247" s="3" t="s">
        <v>102</v>
      </c>
      <c r="B247" s="3"/>
      <c r="C247" s="1" t="s">
        <v>35</v>
      </c>
      <c r="D247" s="1" t="s">
        <v>36</v>
      </c>
      <c r="E247" s="1" t="s">
        <v>59</v>
      </c>
      <c r="F247" s="1" t="s">
        <v>38</v>
      </c>
      <c r="G247" s="1" t="s">
        <v>49</v>
      </c>
      <c r="H247" s="2">
        <v>45112</v>
      </c>
      <c r="I247" s="2">
        <v>45154</v>
      </c>
      <c r="J247" s="1">
        <v>22358.36</v>
      </c>
      <c r="K247" s="1">
        <v>0.97899999999999998</v>
      </c>
      <c r="L247" s="1">
        <v>21888.83</v>
      </c>
      <c r="M247" s="1">
        <v>105674</v>
      </c>
      <c r="N247" s="1">
        <v>30902</v>
      </c>
      <c r="O247" s="1">
        <v>90250.46</v>
      </c>
      <c r="P247" s="1">
        <v>2023</v>
      </c>
      <c r="Q247" s="1" t="s">
        <v>80</v>
      </c>
      <c r="R247" s="1" t="s">
        <v>33</v>
      </c>
    </row>
    <row r="248" spans="1:18" x14ac:dyDescent="0.35">
      <c r="A248" s="3" t="s">
        <v>93</v>
      </c>
      <c r="B248" s="3"/>
      <c r="C248" s="1" t="s">
        <v>19</v>
      </c>
      <c r="D248" s="1" t="s">
        <v>69</v>
      </c>
      <c r="E248" s="1" t="s">
        <v>43</v>
      </c>
      <c r="F248" s="1" t="s">
        <v>22</v>
      </c>
      <c r="G248" s="1" t="s">
        <v>49</v>
      </c>
      <c r="H248" s="2">
        <v>45113</v>
      </c>
      <c r="I248" s="2">
        <v>45129</v>
      </c>
      <c r="J248" s="1">
        <v>42127.25</v>
      </c>
      <c r="K248" s="1">
        <v>0.83450000000000002</v>
      </c>
      <c r="L248" s="1">
        <v>35155.19</v>
      </c>
      <c r="M248" s="1">
        <v>708724</v>
      </c>
      <c r="N248" s="1">
        <v>10158</v>
      </c>
      <c r="O248" s="1">
        <v>44507.4</v>
      </c>
      <c r="P248" s="1">
        <v>2023</v>
      </c>
      <c r="Q248" s="1" t="s">
        <v>80</v>
      </c>
      <c r="R248" s="1" t="s">
        <v>33</v>
      </c>
    </row>
    <row r="249" spans="1:18" x14ac:dyDescent="0.35">
      <c r="A249" s="3" t="s">
        <v>105</v>
      </c>
      <c r="B249" s="3"/>
      <c r="C249" s="1" t="s">
        <v>28</v>
      </c>
      <c r="D249" s="1" t="s">
        <v>29</v>
      </c>
      <c r="E249" s="1" t="s">
        <v>21</v>
      </c>
      <c r="F249" s="1" t="s">
        <v>30</v>
      </c>
      <c r="G249" s="1" t="s">
        <v>44</v>
      </c>
      <c r="H249" s="2">
        <v>45114</v>
      </c>
      <c r="I249" s="2">
        <v>45142</v>
      </c>
      <c r="J249" s="1">
        <v>34978.39</v>
      </c>
      <c r="K249" s="1">
        <v>0.6179</v>
      </c>
      <c r="L249" s="1">
        <v>21613.15</v>
      </c>
      <c r="M249" s="1">
        <v>448555</v>
      </c>
      <c r="N249" s="1">
        <v>39187</v>
      </c>
      <c r="O249" s="1">
        <v>38777.49</v>
      </c>
      <c r="P249" s="1">
        <v>2023</v>
      </c>
      <c r="Q249" s="1" t="s">
        <v>80</v>
      </c>
      <c r="R249" s="1" t="s">
        <v>33</v>
      </c>
    </row>
    <row r="250" spans="1:18" x14ac:dyDescent="0.35">
      <c r="A250" s="3" t="s">
        <v>89</v>
      </c>
      <c r="B250" s="3"/>
      <c r="C250" s="1" t="s">
        <v>19</v>
      </c>
      <c r="D250" s="1" t="s">
        <v>29</v>
      </c>
      <c r="E250" s="1" t="s">
        <v>59</v>
      </c>
      <c r="F250" s="1" t="s">
        <v>38</v>
      </c>
      <c r="G250" s="1" t="s">
        <v>23</v>
      </c>
      <c r="H250" s="2">
        <v>45115</v>
      </c>
      <c r="I250" s="2">
        <v>45174</v>
      </c>
      <c r="J250" s="1">
        <v>2131.9499999999998</v>
      </c>
      <c r="K250" s="1">
        <v>0.876</v>
      </c>
      <c r="L250" s="1">
        <v>1867.59</v>
      </c>
      <c r="M250" s="1">
        <v>704180</v>
      </c>
      <c r="N250" s="1">
        <v>16591</v>
      </c>
      <c r="O250" s="1">
        <v>235407.15</v>
      </c>
      <c r="P250" s="1">
        <v>2023</v>
      </c>
      <c r="Q250" s="1" t="s">
        <v>80</v>
      </c>
      <c r="R250" s="1" t="s">
        <v>33</v>
      </c>
    </row>
    <row r="251" spans="1:18" x14ac:dyDescent="0.35">
      <c r="A251" s="3" t="s">
        <v>96</v>
      </c>
      <c r="B251" s="3"/>
      <c r="C251" s="1" t="s">
        <v>28</v>
      </c>
      <c r="D251" s="1" t="s">
        <v>69</v>
      </c>
      <c r="E251" s="1" t="s">
        <v>21</v>
      </c>
      <c r="F251" s="1" t="s">
        <v>30</v>
      </c>
      <c r="G251" s="1" t="s">
        <v>31</v>
      </c>
      <c r="H251" s="2">
        <v>45115</v>
      </c>
      <c r="I251" s="2">
        <v>45140</v>
      </c>
      <c r="J251" s="1">
        <v>42136.6</v>
      </c>
      <c r="K251" s="1">
        <v>0.1832</v>
      </c>
      <c r="L251" s="1">
        <v>7719.43</v>
      </c>
      <c r="M251" s="1">
        <v>40915</v>
      </c>
      <c r="N251" s="1">
        <v>20985</v>
      </c>
      <c r="O251" s="1">
        <v>220632.32000000001</v>
      </c>
      <c r="P251" s="1">
        <v>2023</v>
      </c>
      <c r="Q251" s="1" t="s">
        <v>80</v>
      </c>
      <c r="R251" s="1" t="s">
        <v>33</v>
      </c>
    </row>
    <row r="252" spans="1:18" x14ac:dyDescent="0.35">
      <c r="A252" s="3" t="s">
        <v>91</v>
      </c>
      <c r="B252" s="3"/>
      <c r="C252" s="1" t="s">
        <v>35</v>
      </c>
      <c r="D252" s="1" t="s">
        <v>29</v>
      </c>
      <c r="E252" s="1" t="s">
        <v>63</v>
      </c>
      <c r="F252" s="1" t="s">
        <v>30</v>
      </c>
      <c r="G252" s="1" t="s">
        <v>23</v>
      </c>
      <c r="H252" s="2">
        <v>45116</v>
      </c>
      <c r="I252" s="2">
        <v>45144</v>
      </c>
      <c r="J252" s="1">
        <v>44389.14</v>
      </c>
      <c r="K252" s="1">
        <v>0.4496</v>
      </c>
      <c r="L252" s="1">
        <v>19957.36</v>
      </c>
      <c r="M252" s="1">
        <v>477429</v>
      </c>
      <c r="N252" s="1">
        <v>3024</v>
      </c>
      <c r="O252" s="1">
        <v>69507.509999999995</v>
      </c>
      <c r="P252" s="1">
        <v>2023</v>
      </c>
      <c r="Q252" s="1" t="s">
        <v>80</v>
      </c>
      <c r="R252" s="1" t="s">
        <v>33</v>
      </c>
    </row>
    <row r="253" spans="1:18" x14ac:dyDescent="0.35">
      <c r="A253" s="3" t="s">
        <v>77</v>
      </c>
      <c r="B253" s="3"/>
      <c r="C253" s="1" t="s">
        <v>35</v>
      </c>
      <c r="D253" s="1" t="s">
        <v>69</v>
      </c>
      <c r="E253" s="1" t="s">
        <v>43</v>
      </c>
      <c r="F253" s="1" t="s">
        <v>30</v>
      </c>
      <c r="G253" s="1" t="s">
        <v>52</v>
      </c>
      <c r="H253" s="2">
        <v>45117</v>
      </c>
      <c r="I253" s="2">
        <v>45137</v>
      </c>
      <c r="J253" s="1">
        <v>7745.96</v>
      </c>
      <c r="K253" s="1">
        <v>6.2399999999999997E-2</v>
      </c>
      <c r="L253" s="1">
        <v>483.35</v>
      </c>
      <c r="M253" s="1">
        <v>143882</v>
      </c>
      <c r="N253" s="1">
        <v>20525</v>
      </c>
      <c r="O253" s="1">
        <v>148207.96</v>
      </c>
      <c r="P253" s="1">
        <v>2023</v>
      </c>
      <c r="Q253" s="1" t="s">
        <v>80</v>
      </c>
      <c r="R253" s="1" t="s">
        <v>33</v>
      </c>
    </row>
    <row r="254" spans="1:18" x14ac:dyDescent="0.35">
      <c r="A254" s="3" t="s">
        <v>78</v>
      </c>
      <c r="B254" s="3"/>
      <c r="C254" s="1" t="s">
        <v>28</v>
      </c>
      <c r="D254" s="1" t="s">
        <v>36</v>
      </c>
      <c r="E254" s="1" t="s">
        <v>21</v>
      </c>
      <c r="F254" s="1" t="s">
        <v>30</v>
      </c>
      <c r="G254" s="1" t="s">
        <v>52</v>
      </c>
      <c r="H254" s="2">
        <v>45118</v>
      </c>
      <c r="I254" s="2">
        <v>45154</v>
      </c>
      <c r="J254" s="1">
        <v>34911.360000000001</v>
      </c>
      <c r="K254" s="1">
        <v>0.4471</v>
      </c>
      <c r="L254" s="1">
        <v>15608.87</v>
      </c>
      <c r="M254" s="1">
        <v>846020</v>
      </c>
      <c r="N254" s="1">
        <v>34131</v>
      </c>
      <c r="O254" s="1">
        <v>70346.570000000007</v>
      </c>
      <c r="P254" s="1">
        <v>2023</v>
      </c>
      <c r="Q254" s="1" t="s">
        <v>80</v>
      </c>
      <c r="R254" s="1" t="s">
        <v>33</v>
      </c>
    </row>
    <row r="255" spans="1:18" x14ac:dyDescent="0.35">
      <c r="A255" s="3" t="s">
        <v>82</v>
      </c>
      <c r="B255" s="3"/>
      <c r="C255" s="1" t="s">
        <v>19</v>
      </c>
      <c r="D255" s="1" t="s">
        <v>58</v>
      </c>
      <c r="E255" s="1" t="s">
        <v>37</v>
      </c>
      <c r="F255" s="1" t="s">
        <v>38</v>
      </c>
      <c r="G255" s="1" t="s">
        <v>44</v>
      </c>
      <c r="H255" s="2">
        <v>45118</v>
      </c>
      <c r="I255" s="2">
        <v>45135</v>
      </c>
      <c r="J255" s="1">
        <v>4405.0600000000004</v>
      </c>
      <c r="K255" s="1">
        <v>1.1559999999999999</v>
      </c>
      <c r="L255" s="1">
        <v>5092.25</v>
      </c>
      <c r="M255" s="1">
        <v>307604</v>
      </c>
      <c r="N255" s="1">
        <v>13593</v>
      </c>
      <c r="O255" s="1">
        <v>62094.66</v>
      </c>
      <c r="P255" s="1">
        <v>2023</v>
      </c>
      <c r="Q255" s="1" t="s">
        <v>80</v>
      </c>
      <c r="R255" s="1" t="s">
        <v>33</v>
      </c>
    </row>
    <row r="256" spans="1:18" x14ac:dyDescent="0.35">
      <c r="A256" s="3" t="s">
        <v>83</v>
      </c>
      <c r="B256" s="3"/>
      <c r="C256" s="1" t="s">
        <v>48</v>
      </c>
      <c r="D256" s="1" t="s">
        <v>29</v>
      </c>
      <c r="E256" s="1" t="s">
        <v>43</v>
      </c>
      <c r="F256" s="1" t="s">
        <v>38</v>
      </c>
      <c r="G256" s="1" t="s">
        <v>23</v>
      </c>
      <c r="H256" s="2">
        <v>45118</v>
      </c>
      <c r="I256" s="2">
        <v>45134</v>
      </c>
      <c r="J256" s="1">
        <v>37018.89</v>
      </c>
      <c r="K256" s="1">
        <v>0.152</v>
      </c>
      <c r="L256" s="1">
        <v>5626.87</v>
      </c>
      <c r="M256" s="1">
        <v>52608</v>
      </c>
      <c r="N256" s="1">
        <v>28182</v>
      </c>
      <c r="O256" s="1">
        <v>73382.5</v>
      </c>
      <c r="P256" s="1">
        <v>2023</v>
      </c>
      <c r="Q256" s="1" t="s">
        <v>80</v>
      </c>
      <c r="R256" s="1" t="s">
        <v>33</v>
      </c>
    </row>
    <row r="257" spans="1:18" x14ac:dyDescent="0.35">
      <c r="A257" s="3" t="s">
        <v>118</v>
      </c>
      <c r="B257" s="3"/>
      <c r="C257" s="1" t="s">
        <v>35</v>
      </c>
      <c r="D257" s="1" t="s">
        <v>36</v>
      </c>
      <c r="E257" s="1" t="s">
        <v>21</v>
      </c>
      <c r="F257" s="1" t="s">
        <v>30</v>
      </c>
      <c r="G257" s="1" t="s">
        <v>49</v>
      </c>
      <c r="H257" s="2">
        <v>45118</v>
      </c>
      <c r="I257" s="2">
        <v>45133</v>
      </c>
      <c r="J257" s="1">
        <v>18748.919999999998</v>
      </c>
      <c r="K257" s="1">
        <v>0.86360000000000003</v>
      </c>
      <c r="L257" s="1">
        <v>16191.57</v>
      </c>
      <c r="M257" s="1">
        <v>134078</v>
      </c>
      <c r="N257" s="1">
        <v>43426</v>
      </c>
      <c r="O257" s="1">
        <v>61434.85</v>
      </c>
      <c r="P257" s="1">
        <v>2023</v>
      </c>
      <c r="Q257" s="1" t="s">
        <v>80</v>
      </c>
      <c r="R257" s="1" t="s">
        <v>33</v>
      </c>
    </row>
    <row r="258" spans="1:18" x14ac:dyDescent="0.35">
      <c r="A258" s="3" t="s">
        <v>90</v>
      </c>
      <c r="B258" s="3"/>
      <c r="C258" s="1" t="s">
        <v>35</v>
      </c>
      <c r="D258" s="1" t="s">
        <v>69</v>
      </c>
      <c r="E258" s="1" t="s">
        <v>59</v>
      </c>
      <c r="F258" s="1" t="s">
        <v>30</v>
      </c>
      <c r="G258" s="1" t="s">
        <v>44</v>
      </c>
      <c r="H258" s="2">
        <v>45119</v>
      </c>
      <c r="I258" s="2">
        <v>45133</v>
      </c>
      <c r="J258" s="1">
        <v>15685.75</v>
      </c>
      <c r="K258" s="1">
        <v>1.0007999999999999</v>
      </c>
      <c r="L258" s="1">
        <v>15698.3</v>
      </c>
      <c r="M258" s="1">
        <v>150727</v>
      </c>
      <c r="N258" s="1">
        <v>39562</v>
      </c>
      <c r="O258" s="1">
        <v>140257.29999999999</v>
      </c>
      <c r="P258" s="1">
        <v>2023</v>
      </c>
      <c r="Q258" s="1" t="s">
        <v>80</v>
      </c>
      <c r="R258" s="1" t="s">
        <v>33</v>
      </c>
    </row>
    <row r="259" spans="1:18" x14ac:dyDescent="0.35">
      <c r="A259" s="3" t="s">
        <v>120</v>
      </c>
      <c r="B259" s="3"/>
      <c r="C259" s="1" t="s">
        <v>28</v>
      </c>
      <c r="D259" s="1" t="s">
        <v>36</v>
      </c>
      <c r="E259" s="1" t="s">
        <v>21</v>
      </c>
      <c r="F259" s="1" t="s">
        <v>38</v>
      </c>
      <c r="G259" s="1" t="s">
        <v>44</v>
      </c>
      <c r="H259" s="2">
        <v>45120</v>
      </c>
      <c r="I259" s="2">
        <v>45179</v>
      </c>
      <c r="J259" s="1">
        <v>4410.8500000000004</v>
      </c>
      <c r="K259" s="1">
        <v>1.0108999999999999</v>
      </c>
      <c r="L259" s="1">
        <v>4458.93</v>
      </c>
      <c r="M259" s="1">
        <v>508783</v>
      </c>
      <c r="N259" s="1">
        <v>44607</v>
      </c>
      <c r="O259" s="1">
        <v>95023.14</v>
      </c>
      <c r="P259" s="1">
        <v>2023</v>
      </c>
      <c r="Q259" s="1" t="s">
        <v>80</v>
      </c>
      <c r="R259" s="1" t="s">
        <v>33</v>
      </c>
    </row>
    <row r="260" spans="1:18" x14ac:dyDescent="0.35">
      <c r="A260" s="3" t="s">
        <v>99</v>
      </c>
      <c r="B260" s="3"/>
      <c r="C260" s="1" t="s">
        <v>19</v>
      </c>
      <c r="D260" s="1" t="s">
        <v>29</v>
      </c>
      <c r="E260" s="1" t="s">
        <v>59</v>
      </c>
      <c r="F260" s="1" t="s">
        <v>30</v>
      </c>
      <c r="G260" s="1" t="s">
        <v>49</v>
      </c>
      <c r="H260" s="2">
        <v>45121</v>
      </c>
      <c r="I260" s="2">
        <v>45179</v>
      </c>
      <c r="J260" s="1">
        <v>28350.34</v>
      </c>
      <c r="K260" s="1">
        <v>1.0067999999999999</v>
      </c>
      <c r="L260" s="1">
        <v>28543.119999999999</v>
      </c>
      <c r="M260" s="1">
        <v>666493</v>
      </c>
      <c r="N260" s="1">
        <v>2435</v>
      </c>
      <c r="O260" s="1">
        <v>237549.72</v>
      </c>
      <c r="P260" s="1">
        <v>2023</v>
      </c>
      <c r="Q260" s="1" t="s">
        <v>80</v>
      </c>
      <c r="R260" s="1" t="s">
        <v>33</v>
      </c>
    </row>
    <row r="261" spans="1:18" x14ac:dyDescent="0.35">
      <c r="A261" s="3" t="s">
        <v>77</v>
      </c>
      <c r="B261" s="3"/>
      <c r="C261" s="1" t="s">
        <v>28</v>
      </c>
      <c r="D261" s="1" t="s">
        <v>36</v>
      </c>
      <c r="E261" s="1" t="s">
        <v>51</v>
      </c>
      <c r="F261" s="1" t="s">
        <v>22</v>
      </c>
      <c r="G261" s="1" t="s">
        <v>44</v>
      </c>
      <c r="H261" s="2">
        <v>45122</v>
      </c>
      <c r="I261" s="2">
        <v>45128</v>
      </c>
      <c r="J261" s="1">
        <v>22610.89</v>
      </c>
      <c r="K261" s="1">
        <v>0.50829999999999997</v>
      </c>
      <c r="L261" s="1">
        <v>11493.12</v>
      </c>
      <c r="M261" s="1">
        <v>443020</v>
      </c>
      <c r="N261" s="1">
        <v>45352</v>
      </c>
      <c r="O261" s="1">
        <v>54953.46</v>
      </c>
      <c r="P261" s="1">
        <v>2023</v>
      </c>
      <c r="Q261" s="1" t="s">
        <v>80</v>
      </c>
      <c r="R261" s="1" t="s">
        <v>33</v>
      </c>
    </row>
    <row r="262" spans="1:18" x14ac:dyDescent="0.35">
      <c r="A262" s="3" t="s">
        <v>109</v>
      </c>
      <c r="B262" s="3"/>
      <c r="C262" s="1" t="s">
        <v>48</v>
      </c>
      <c r="D262" s="1" t="s">
        <v>58</v>
      </c>
      <c r="E262" s="1" t="s">
        <v>63</v>
      </c>
      <c r="F262" s="1" t="s">
        <v>38</v>
      </c>
      <c r="G262" s="1" t="s">
        <v>31</v>
      </c>
      <c r="H262" s="2">
        <v>45123</v>
      </c>
      <c r="I262" s="2">
        <v>45143</v>
      </c>
      <c r="J262" s="1">
        <v>14671.31</v>
      </c>
      <c r="K262" s="1">
        <v>0.36520000000000002</v>
      </c>
      <c r="L262" s="1">
        <v>5357.96</v>
      </c>
      <c r="M262" s="1">
        <v>997219</v>
      </c>
      <c r="N262" s="1">
        <v>19604</v>
      </c>
      <c r="O262" s="1">
        <v>193937.7</v>
      </c>
      <c r="P262" s="1">
        <v>2023</v>
      </c>
      <c r="Q262" s="1" t="s">
        <v>80</v>
      </c>
      <c r="R262" s="1" t="s">
        <v>33</v>
      </c>
    </row>
    <row r="263" spans="1:18" x14ac:dyDescent="0.35">
      <c r="A263" s="3" t="s">
        <v>99</v>
      </c>
      <c r="B263" s="3"/>
      <c r="C263" s="1" t="s">
        <v>28</v>
      </c>
      <c r="D263" s="1" t="s">
        <v>29</v>
      </c>
      <c r="E263" s="1" t="s">
        <v>21</v>
      </c>
      <c r="F263" s="1" t="s">
        <v>38</v>
      </c>
      <c r="G263" s="1" t="s">
        <v>44</v>
      </c>
      <c r="H263" s="2">
        <v>45124</v>
      </c>
      <c r="I263" s="2">
        <v>45168</v>
      </c>
      <c r="J263" s="1">
        <v>32577.279999999999</v>
      </c>
      <c r="K263" s="1">
        <v>0.996</v>
      </c>
      <c r="L263" s="1">
        <v>32446.97</v>
      </c>
      <c r="M263" s="1">
        <v>850257</v>
      </c>
      <c r="N263" s="1">
        <v>37970</v>
      </c>
      <c r="O263" s="1">
        <v>110130.1</v>
      </c>
      <c r="P263" s="1">
        <v>2023</v>
      </c>
      <c r="Q263" s="1" t="s">
        <v>80</v>
      </c>
      <c r="R263" s="1" t="s">
        <v>33</v>
      </c>
    </row>
    <row r="264" spans="1:18" x14ac:dyDescent="0.35">
      <c r="A264" s="3" t="s">
        <v>18</v>
      </c>
      <c r="B264" s="3"/>
      <c r="C264" s="1" t="s">
        <v>19</v>
      </c>
      <c r="D264" s="1" t="s">
        <v>69</v>
      </c>
      <c r="E264" s="1" t="s">
        <v>59</v>
      </c>
      <c r="F264" s="1" t="s">
        <v>30</v>
      </c>
      <c r="G264" s="1" t="s">
        <v>23</v>
      </c>
      <c r="H264" s="2">
        <v>45126</v>
      </c>
      <c r="I264" s="2">
        <v>45133</v>
      </c>
      <c r="J264" s="1">
        <v>39414.01</v>
      </c>
      <c r="K264" s="1">
        <v>0.61760000000000004</v>
      </c>
      <c r="L264" s="1">
        <v>24342.09</v>
      </c>
      <c r="M264" s="1">
        <v>742377</v>
      </c>
      <c r="N264" s="1">
        <v>15282</v>
      </c>
      <c r="O264" s="1">
        <v>155721.54999999999</v>
      </c>
      <c r="P264" s="1">
        <v>2023</v>
      </c>
      <c r="Q264" s="1" t="s">
        <v>80</v>
      </c>
      <c r="R264" s="1" t="s">
        <v>33</v>
      </c>
    </row>
    <row r="265" spans="1:18" x14ac:dyDescent="0.35">
      <c r="A265" s="3" t="s">
        <v>57</v>
      </c>
      <c r="B265" s="3"/>
      <c r="C265" s="1" t="s">
        <v>48</v>
      </c>
      <c r="D265" s="1" t="s">
        <v>20</v>
      </c>
      <c r="E265" s="1" t="s">
        <v>43</v>
      </c>
      <c r="F265" s="1" t="s">
        <v>30</v>
      </c>
      <c r="G265" s="1" t="s">
        <v>31</v>
      </c>
      <c r="H265" s="2">
        <v>45127</v>
      </c>
      <c r="I265" s="2">
        <v>45141</v>
      </c>
      <c r="J265" s="1">
        <v>40201.839999999997</v>
      </c>
      <c r="K265" s="1">
        <v>0.88890000000000002</v>
      </c>
      <c r="L265" s="1">
        <v>35735.42</v>
      </c>
      <c r="M265" s="1">
        <v>505962</v>
      </c>
      <c r="N265" s="1">
        <v>738</v>
      </c>
      <c r="O265" s="1">
        <v>48268.78</v>
      </c>
      <c r="P265" s="1">
        <v>2023</v>
      </c>
      <c r="Q265" s="1" t="s">
        <v>80</v>
      </c>
      <c r="R265" s="1" t="s">
        <v>33</v>
      </c>
    </row>
    <row r="266" spans="1:18" x14ac:dyDescent="0.35">
      <c r="A266" s="3" t="s">
        <v>82</v>
      </c>
      <c r="B266" s="3"/>
      <c r="C266" s="1" t="s">
        <v>48</v>
      </c>
      <c r="D266" s="1" t="s">
        <v>58</v>
      </c>
      <c r="E266" s="1" t="s">
        <v>63</v>
      </c>
      <c r="F266" s="1" t="s">
        <v>38</v>
      </c>
      <c r="G266" s="1" t="s">
        <v>23</v>
      </c>
      <c r="H266" s="2">
        <v>45131</v>
      </c>
      <c r="I266" s="2">
        <v>45188</v>
      </c>
      <c r="J266" s="1">
        <v>46004.14</v>
      </c>
      <c r="K266" s="1">
        <v>0.42609999999999998</v>
      </c>
      <c r="L266" s="1">
        <v>19602.36</v>
      </c>
      <c r="M266" s="1">
        <v>870394</v>
      </c>
      <c r="N266" s="1">
        <v>15015</v>
      </c>
      <c r="O266" s="1">
        <v>59616.27</v>
      </c>
      <c r="P266" s="1">
        <v>2023</v>
      </c>
      <c r="Q266" s="1" t="s">
        <v>80</v>
      </c>
      <c r="R266" s="1" t="s">
        <v>33</v>
      </c>
    </row>
    <row r="267" spans="1:18" x14ac:dyDescent="0.35">
      <c r="A267" s="3" t="s">
        <v>78</v>
      </c>
      <c r="B267" s="3"/>
      <c r="C267" s="1" t="s">
        <v>35</v>
      </c>
      <c r="D267" s="1" t="s">
        <v>69</v>
      </c>
      <c r="E267" s="1" t="s">
        <v>51</v>
      </c>
      <c r="F267" s="1" t="s">
        <v>22</v>
      </c>
      <c r="G267" s="1" t="s">
        <v>44</v>
      </c>
      <c r="H267" s="2">
        <v>45131</v>
      </c>
      <c r="I267" s="2">
        <v>45143</v>
      </c>
      <c r="J267" s="1">
        <v>7650.69</v>
      </c>
      <c r="K267" s="1">
        <v>9.8100000000000007E-2</v>
      </c>
      <c r="L267" s="1">
        <v>750.53</v>
      </c>
      <c r="M267" s="1">
        <v>191043</v>
      </c>
      <c r="N267" s="1">
        <v>46851</v>
      </c>
      <c r="O267" s="1">
        <v>114052.24</v>
      </c>
      <c r="P267" s="1">
        <v>2023</v>
      </c>
      <c r="Q267" s="1" t="s">
        <v>80</v>
      </c>
      <c r="R267" s="1" t="s">
        <v>33</v>
      </c>
    </row>
    <row r="268" spans="1:18" x14ac:dyDescent="0.35">
      <c r="A268" s="3" t="s">
        <v>83</v>
      </c>
      <c r="B268" s="3"/>
      <c r="C268" s="1" t="s">
        <v>19</v>
      </c>
      <c r="D268" s="1" t="s">
        <v>69</v>
      </c>
      <c r="E268" s="1" t="s">
        <v>43</v>
      </c>
      <c r="F268" s="1" t="s">
        <v>38</v>
      </c>
      <c r="G268" s="1" t="s">
        <v>52</v>
      </c>
      <c r="H268" s="2">
        <v>45133</v>
      </c>
      <c r="I268" s="2">
        <v>45169</v>
      </c>
      <c r="J268" s="1">
        <v>32136.77</v>
      </c>
      <c r="K268" s="1">
        <v>1.1692</v>
      </c>
      <c r="L268" s="1">
        <v>37574.31</v>
      </c>
      <c r="M268" s="1">
        <v>88979</v>
      </c>
      <c r="N268" s="1">
        <v>35216</v>
      </c>
      <c r="O268" s="1">
        <v>57449.63</v>
      </c>
      <c r="P268" s="1">
        <v>2023</v>
      </c>
      <c r="Q268" s="1" t="s">
        <v>80</v>
      </c>
      <c r="R268" s="1" t="s">
        <v>33</v>
      </c>
    </row>
    <row r="269" spans="1:18" x14ac:dyDescent="0.35">
      <c r="A269" s="3" t="s">
        <v>113</v>
      </c>
      <c r="B269" s="3"/>
      <c r="C269" s="1" t="s">
        <v>19</v>
      </c>
      <c r="D269" s="1" t="s">
        <v>36</v>
      </c>
      <c r="E269" s="1" t="s">
        <v>21</v>
      </c>
      <c r="F269" s="1" t="s">
        <v>22</v>
      </c>
      <c r="G269" s="1" t="s">
        <v>49</v>
      </c>
      <c r="H269" s="2">
        <v>45133</v>
      </c>
      <c r="I269" s="2">
        <v>45156</v>
      </c>
      <c r="J269" s="1">
        <v>33442.57</v>
      </c>
      <c r="K269" s="1">
        <v>0.59340000000000004</v>
      </c>
      <c r="L269" s="1">
        <v>19844.82</v>
      </c>
      <c r="M269" s="1">
        <v>284375</v>
      </c>
      <c r="N269" s="1">
        <v>35649</v>
      </c>
      <c r="O269" s="1">
        <v>89185.83</v>
      </c>
      <c r="P269" s="1">
        <v>2023</v>
      </c>
      <c r="Q269" s="1" t="s">
        <v>80</v>
      </c>
      <c r="R269" s="1" t="s">
        <v>33</v>
      </c>
    </row>
    <row r="270" spans="1:18" x14ac:dyDescent="0.35">
      <c r="A270" s="3" t="s">
        <v>100</v>
      </c>
      <c r="B270" s="3"/>
      <c r="C270" s="1" t="s">
        <v>28</v>
      </c>
      <c r="D270" s="1" t="s">
        <v>69</v>
      </c>
      <c r="E270" s="1" t="s">
        <v>37</v>
      </c>
      <c r="F270" s="1" t="s">
        <v>30</v>
      </c>
      <c r="G270" s="1" t="s">
        <v>52</v>
      </c>
      <c r="H270" s="2">
        <v>45133</v>
      </c>
      <c r="I270" s="2">
        <v>45140</v>
      </c>
      <c r="J270" s="1">
        <v>39764.35</v>
      </c>
      <c r="K270" s="1">
        <v>1.0641</v>
      </c>
      <c r="L270" s="1">
        <v>42313.24</v>
      </c>
      <c r="M270" s="1">
        <v>340926</v>
      </c>
      <c r="N270" s="1">
        <v>20421</v>
      </c>
      <c r="O270" s="1">
        <v>131268.98000000001</v>
      </c>
      <c r="P270" s="1">
        <v>2023</v>
      </c>
      <c r="Q270" s="1" t="s">
        <v>80</v>
      </c>
      <c r="R270" s="1" t="s">
        <v>33</v>
      </c>
    </row>
    <row r="271" spans="1:18" x14ac:dyDescent="0.35">
      <c r="A271" s="3" t="s">
        <v>67</v>
      </c>
      <c r="B271" s="3"/>
      <c r="C271" s="1" t="s">
        <v>35</v>
      </c>
      <c r="D271" s="1" t="s">
        <v>20</v>
      </c>
      <c r="E271" s="1" t="s">
        <v>21</v>
      </c>
      <c r="F271" s="1" t="s">
        <v>38</v>
      </c>
      <c r="G271" s="1" t="s">
        <v>49</v>
      </c>
      <c r="H271" s="2">
        <v>45133</v>
      </c>
      <c r="I271" s="2">
        <v>45138</v>
      </c>
      <c r="J271" s="1">
        <v>49563.17</v>
      </c>
      <c r="K271" s="1">
        <v>0.54039999999999999</v>
      </c>
      <c r="L271" s="1">
        <v>26783.94</v>
      </c>
      <c r="M271" s="1">
        <v>874637</v>
      </c>
      <c r="N271" s="1">
        <v>26264</v>
      </c>
      <c r="O271" s="1">
        <v>153187.91</v>
      </c>
      <c r="P271" s="1">
        <v>2023</v>
      </c>
      <c r="Q271" s="1" t="s">
        <v>80</v>
      </c>
      <c r="R271" s="1" t="s">
        <v>33</v>
      </c>
    </row>
    <row r="272" spans="1:18" x14ac:dyDescent="0.35">
      <c r="A272" s="3" t="s">
        <v>27</v>
      </c>
      <c r="B272" s="3"/>
      <c r="C272" s="1" t="s">
        <v>19</v>
      </c>
      <c r="D272" s="1" t="s">
        <v>20</v>
      </c>
      <c r="E272" s="1" t="s">
        <v>21</v>
      </c>
      <c r="F272" s="1" t="s">
        <v>22</v>
      </c>
      <c r="G272" s="1" t="s">
        <v>52</v>
      </c>
      <c r="H272" s="2">
        <v>45134</v>
      </c>
      <c r="I272" s="2">
        <v>45139</v>
      </c>
      <c r="J272" s="1">
        <v>31505.46</v>
      </c>
      <c r="K272" s="1">
        <v>0.31119999999999998</v>
      </c>
      <c r="L272" s="1">
        <v>9804.5</v>
      </c>
      <c r="M272" s="1">
        <v>490921</v>
      </c>
      <c r="N272" s="1">
        <v>32712</v>
      </c>
      <c r="O272" s="1">
        <v>214575.71</v>
      </c>
      <c r="P272" s="1">
        <v>2023</v>
      </c>
      <c r="Q272" s="1" t="s">
        <v>80</v>
      </c>
      <c r="R272" s="1" t="s">
        <v>33</v>
      </c>
    </row>
    <row r="273" spans="1:18" x14ac:dyDescent="0.35">
      <c r="A273" s="3" t="s">
        <v>79</v>
      </c>
      <c r="B273" s="3"/>
      <c r="C273" s="1" t="s">
        <v>28</v>
      </c>
      <c r="D273" s="1" t="s">
        <v>69</v>
      </c>
      <c r="E273" s="1" t="s">
        <v>37</v>
      </c>
      <c r="F273" s="1" t="s">
        <v>22</v>
      </c>
      <c r="G273" s="1" t="s">
        <v>49</v>
      </c>
      <c r="H273" s="2">
        <v>45136</v>
      </c>
      <c r="I273" s="2">
        <v>45183</v>
      </c>
      <c r="J273" s="1">
        <v>36093.4</v>
      </c>
      <c r="K273" s="1">
        <v>0.29399999999999998</v>
      </c>
      <c r="L273" s="1">
        <v>10611.46</v>
      </c>
      <c r="M273" s="1">
        <v>425011</v>
      </c>
      <c r="N273" s="1">
        <v>8677</v>
      </c>
      <c r="O273" s="1">
        <v>169564.1</v>
      </c>
      <c r="P273" s="1">
        <v>2023</v>
      </c>
      <c r="Q273" s="1" t="s">
        <v>80</v>
      </c>
      <c r="R273" s="1" t="s">
        <v>33</v>
      </c>
    </row>
    <row r="274" spans="1:18" x14ac:dyDescent="0.35">
      <c r="A274" s="3" t="s">
        <v>101</v>
      </c>
      <c r="B274" s="3"/>
      <c r="C274" s="1" t="s">
        <v>48</v>
      </c>
      <c r="D274" s="1" t="s">
        <v>29</v>
      </c>
      <c r="E274" s="1" t="s">
        <v>37</v>
      </c>
      <c r="F274" s="1" t="s">
        <v>38</v>
      </c>
      <c r="G274" s="1" t="s">
        <v>44</v>
      </c>
      <c r="H274" s="2">
        <v>45138</v>
      </c>
      <c r="I274" s="2">
        <v>45177</v>
      </c>
      <c r="J274" s="1">
        <v>18165.59</v>
      </c>
      <c r="K274" s="1">
        <v>0.38900000000000001</v>
      </c>
      <c r="L274" s="1">
        <v>7066.41</v>
      </c>
      <c r="M274" s="1">
        <v>158433</v>
      </c>
      <c r="N274" s="1">
        <v>46260</v>
      </c>
      <c r="O274" s="1">
        <v>201980.7</v>
      </c>
      <c r="P274" s="1">
        <v>2023</v>
      </c>
      <c r="Q274" s="1" t="s">
        <v>80</v>
      </c>
      <c r="R274" s="1" t="s">
        <v>33</v>
      </c>
    </row>
    <row r="275" spans="1:18" x14ac:dyDescent="0.35">
      <c r="A275" s="3" t="s">
        <v>75</v>
      </c>
      <c r="B275" s="3"/>
      <c r="C275" s="1" t="s">
        <v>28</v>
      </c>
      <c r="D275" s="1" t="s">
        <v>58</v>
      </c>
      <c r="E275" s="1" t="s">
        <v>51</v>
      </c>
      <c r="F275" s="1" t="s">
        <v>38</v>
      </c>
      <c r="G275" s="1" t="s">
        <v>23</v>
      </c>
      <c r="H275" s="2">
        <v>45138</v>
      </c>
      <c r="I275" s="2">
        <v>45153</v>
      </c>
      <c r="J275" s="1">
        <v>32271.34</v>
      </c>
      <c r="K275" s="1">
        <v>1.1727000000000001</v>
      </c>
      <c r="L275" s="1">
        <v>37844.6</v>
      </c>
      <c r="M275" s="1">
        <v>506574</v>
      </c>
      <c r="N275" s="1">
        <v>7669</v>
      </c>
      <c r="O275" s="1">
        <v>80546.58</v>
      </c>
      <c r="P275" s="1">
        <v>2023</v>
      </c>
      <c r="Q275" s="1" t="s">
        <v>80</v>
      </c>
      <c r="R275" s="1" t="s">
        <v>33</v>
      </c>
    </row>
    <row r="276" spans="1:18" x14ac:dyDescent="0.35">
      <c r="A276" s="3" t="s">
        <v>68</v>
      </c>
      <c r="B276" s="3"/>
      <c r="C276" s="1" t="s">
        <v>28</v>
      </c>
      <c r="D276" s="1" t="s">
        <v>20</v>
      </c>
      <c r="E276" s="1" t="s">
        <v>59</v>
      </c>
      <c r="F276" s="1" t="s">
        <v>38</v>
      </c>
      <c r="G276" s="1" t="s">
        <v>31</v>
      </c>
      <c r="H276" s="2">
        <v>45139</v>
      </c>
      <c r="I276" s="2">
        <v>45158</v>
      </c>
      <c r="J276" s="1">
        <v>44849.35</v>
      </c>
      <c r="K276" s="1">
        <v>0.54800000000000004</v>
      </c>
      <c r="L276" s="1">
        <v>24577.439999999999</v>
      </c>
      <c r="M276" s="1">
        <v>255770</v>
      </c>
      <c r="N276" s="1">
        <v>26045</v>
      </c>
      <c r="O276" s="1">
        <v>58555.46</v>
      </c>
      <c r="P276" s="1">
        <v>2023</v>
      </c>
      <c r="Q276" s="1" t="s">
        <v>32</v>
      </c>
      <c r="R276" s="1" t="s">
        <v>33</v>
      </c>
    </row>
    <row r="277" spans="1:18" x14ac:dyDescent="0.35">
      <c r="A277" s="3" t="s">
        <v>77</v>
      </c>
      <c r="B277" s="3"/>
      <c r="C277" s="1" t="s">
        <v>28</v>
      </c>
      <c r="D277" s="1" t="s">
        <v>20</v>
      </c>
      <c r="E277" s="1" t="s">
        <v>63</v>
      </c>
      <c r="F277" s="1" t="s">
        <v>38</v>
      </c>
      <c r="G277" s="1" t="s">
        <v>44</v>
      </c>
      <c r="H277" s="2">
        <v>45141</v>
      </c>
      <c r="I277" s="2">
        <v>45192</v>
      </c>
      <c r="J277" s="1">
        <v>4988.9799999999996</v>
      </c>
      <c r="K277" s="1">
        <v>0.57010000000000005</v>
      </c>
      <c r="L277" s="1">
        <v>2844.22</v>
      </c>
      <c r="M277" s="1">
        <v>705732</v>
      </c>
      <c r="N277" s="1">
        <v>40397</v>
      </c>
      <c r="O277" s="1">
        <v>20893.900000000001</v>
      </c>
      <c r="P277" s="1">
        <v>2023</v>
      </c>
      <c r="Q277" s="1" t="s">
        <v>32</v>
      </c>
      <c r="R277" s="1" t="s">
        <v>33</v>
      </c>
    </row>
    <row r="278" spans="1:18" x14ac:dyDescent="0.35">
      <c r="A278" s="3" t="s">
        <v>101</v>
      </c>
      <c r="B278" s="3"/>
      <c r="C278" s="1" t="s">
        <v>48</v>
      </c>
      <c r="D278" s="1" t="s">
        <v>29</v>
      </c>
      <c r="E278" s="1" t="s">
        <v>51</v>
      </c>
      <c r="F278" s="1" t="s">
        <v>30</v>
      </c>
      <c r="G278" s="1" t="s">
        <v>23</v>
      </c>
      <c r="H278" s="2">
        <v>45142</v>
      </c>
      <c r="I278" s="2">
        <v>45184</v>
      </c>
      <c r="J278" s="1">
        <v>8901.07</v>
      </c>
      <c r="K278" s="1">
        <v>1.0017</v>
      </c>
      <c r="L278" s="1">
        <v>8916.2000000000007</v>
      </c>
      <c r="M278" s="1">
        <v>33536</v>
      </c>
      <c r="N278" s="1">
        <v>16069</v>
      </c>
      <c r="O278" s="1">
        <v>15570.36</v>
      </c>
      <c r="P278" s="1">
        <v>2023</v>
      </c>
      <c r="Q278" s="1" t="s">
        <v>32</v>
      </c>
      <c r="R278" s="1" t="s">
        <v>33</v>
      </c>
    </row>
    <row r="279" spans="1:18" x14ac:dyDescent="0.35">
      <c r="A279" s="3" t="s">
        <v>18</v>
      </c>
      <c r="B279" s="3"/>
      <c r="C279" s="1" t="s">
        <v>35</v>
      </c>
      <c r="D279" s="1" t="s">
        <v>20</v>
      </c>
      <c r="E279" s="1" t="s">
        <v>43</v>
      </c>
      <c r="F279" s="1" t="s">
        <v>30</v>
      </c>
      <c r="G279" s="1" t="s">
        <v>23</v>
      </c>
      <c r="H279" s="2">
        <v>45143</v>
      </c>
      <c r="I279" s="2">
        <v>45203</v>
      </c>
      <c r="J279" s="1">
        <v>34922.1</v>
      </c>
      <c r="K279" s="1">
        <v>0.6845</v>
      </c>
      <c r="L279" s="1">
        <v>23904.18</v>
      </c>
      <c r="M279" s="1">
        <v>294263</v>
      </c>
      <c r="N279" s="1">
        <v>3151</v>
      </c>
      <c r="O279" s="1">
        <v>231419.02</v>
      </c>
      <c r="P279" s="1">
        <v>2023</v>
      </c>
      <c r="Q279" s="1" t="s">
        <v>32</v>
      </c>
      <c r="R279" s="1" t="s">
        <v>33</v>
      </c>
    </row>
    <row r="280" spans="1:18" x14ac:dyDescent="0.35">
      <c r="A280" s="3" t="s">
        <v>84</v>
      </c>
      <c r="B280" s="3"/>
      <c r="C280" s="1" t="s">
        <v>28</v>
      </c>
      <c r="D280" s="1" t="s">
        <v>36</v>
      </c>
      <c r="E280" s="1" t="s">
        <v>21</v>
      </c>
      <c r="F280" s="1" t="s">
        <v>38</v>
      </c>
      <c r="G280" s="1" t="s">
        <v>52</v>
      </c>
      <c r="H280" s="2">
        <v>45143</v>
      </c>
      <c r="I280" s="2">
        <v>45203</v>
      </c>
      <c r="J280" s="1">
        <v>3385.43</v>
      </c>
      <c r="K280" s="1">
        <v>0.77590000000000003</v>
      </c>
      <c r="L280" s="1">
        <v>2626.76</v>
      </c>
      <c r="M280" s="1">
        <v>348869</v>
      </c>
      <c r="N280" s="1">
        <v>3739</v>
      </c>
      <c r="O280" s="1">
        <v>187231</v>
      </c>
      <c r="P280" s="1">
        <v>2023</v>
      </c>
      <c r="Q280" s="1" t="s">
        <v>32</v>
      </c>
      <c r="R280" s="1" t="s">
        <v>33</v>
      </c>
    </row>
    <row r="281" spans="1:18" x14ac:dyDescent="0.35">
      <c r="A281" s="3" t="s">
        <v>71</v>
      </c>
      <c r="B281" s="3"/>
      <c r="C281" s="1" t="s">
        <v>19</v>
      </c>
      <c r="D281" s="1" t="s">
        <v>58</v>
      </c>
      <c r="E281" s="1" t="s">
        <v>51</v>
      </c>
      <c r="F281" s="1" t="s">
        <v>38</v>
      </c>
      <c r="G281" s="1" t="s">
        <v>44</v>
      </c>
      <c r="H281" s="2">
        <v>45143</v>
      </c>
      <c r="I281" s="2">
        <v>45194</v>
      </c>
      <c r="J281" s="1">
        <v>2073.75</v>
      </c>
      <c r="K281" s="1">
        <v>0.61050000000000004</v>
      </c>
      <c r="L281" s="1">
        <v>1266.02</v>
      </c>
      <c r="M281" s="1">
        <v>139144</v>
      </c>
      <c r="N281" s="1">
        <v>24124</v>
      </c>
      <c r="O281" s="1">
        <v>179221.97</v>
      </c>
      <c r="P281" s="1">
        <v>2023</v>
      </c>
      <c r="Q281" s="1" t="s">
        <v>32</v>
      </c>
      <c r="R281" s="1" t="s">
        <v>33</v>
      </c>
    </row>
    <row r="282" spans="1:18" x14ac:dyDescent="0.35">
      <c r="A282" s="3" t="s">
        <v>117</v>
      </c>
      <c r="B282" s="3"/>
      <c r="C282" s="1" t="s">
        <v>48</v>
      </c>
      <c r="D282" s="1" t="s">
        <v>29</v>
      </c>
      <c r="E282" s="1" t="s">
        <v>63</v>
      </c>
      <c r="F282" s="1" t="s">
        <v>30</v>
      </c>
      <c r="G282" s="1" t="s">
        <v>23</v>
      </c>
      <c r="H282" s="2">
        <v>45144</v>
      </c>
      <c r="I282" s="2">
        <v>45193</v>
      </c>
      <c r="J282" s="1">
        <v>37322.949999999997</v>
      </c>
      <c r="K282" s="1">
        <v>0.14599999999999999</v>
      </c>
      <c r="L282" s="1">
        <v>5449.15</v>
      </c>
      <c r="M282" s="1">
        <v>486660</v>
      </c>
      <c r="N282" s="1">
        <v>2608</v>
      </c>
      <c r="O282" s="1">
        <v>138544.9</v>
      </c>
      <c r="P282" s="1">
        <v>2023</v>
      </c>
      <c r="Q282" s="1" t="s">
        <v>32</v>
      </c>
      <c r="R282" s="1" t="s">
        <v>33</v>
      </c>
    </row>
    <row r="283" spans="1:18" x14ac:dyDescent="0.35">
      <c r="A283" s="3" t="s">
        <v>120</v>
      </c>
      <c r="B283" s="3"/>
      <c r="C283" s="1" t="s">
        <v>35</v>
      </c>
      <c r="D283" s="1" t="s">
        <v>36</v>
      </c>
      <c r="E283" s="1" t="s">
        <v>21</v>
      </c>
      <c r="F283" s="1" t="s">
        <v>30</v>
      </c>
      <c r="G283" s="1" t="s">
        <v>52</v>
      </c>
      <c r="H283" s="2">
        <v>45145</v>
      </c>
      <c r="I283" s="2">
        <v>45180</v>
      </c>
      <c r="J283" s="1">
        <v>4819</v>
      </c>
      <c r="K283" s="1">
        <v>0.71650000000000003</v>
      </c>
      <c r="L283" s="1">
        <v>3452.81</v>
      </c>
      <c r="M283" s="1">
        <v>554676</v>
      </c>
      <c r="N283" s="1">
        <v>44663</v>
      </c>
      <c r="O283" s="1">
        <v>114041.38</v>
      </c>
      <c r="P283" s="1">
        <v>2023</v>
      </c>
      <c r="Q283" s="1" t="s">
        <v>32</v>
      </c>
      <c r="R283" s="1" t="s">
        <v>33</v>
      </c>
    </row>
    <row r="284" spans="1:18" x14ac:dyDescent="0.35">
      <c r="A284" s="3" t="s">
        <v>97</v>
      </c>
      <c r="B284" s="3"/>
      <c r="C284" s="1" t="s">
        <v>48</v>
      </c>
      <c r="D284" s="1" t="s">
        <v>20</v>
      </c>
      <c r="E284" s="1" t="s">
        <v>59</v>
      </c>
      <c r="F284" s="1" t="s">
        <v>22</v>
      </c>
      <c r="G284" s="1" t="s">
        <v>44</v>
      </c>
      <c r="H284" s="2">
        <v>45145</v>
      </c>
      <c r="I284" s="2">
        <v>45179</v>
      </c>
      <c r="J284" s="1">
        <v>28805.99</v>
      </c>
      <c r="K284" s="1">
        <v>0.39269999999999999</v>
      </c>
      <c r="L284" s="1">
        <v>11312.11</v>
      </c>
      <c r="M284" s="1">
        <v>253949</v>
      </c>
      <c r="N284" s="1">
        <v>36907</v>
      </c>
      <c r="O284" s="1">
        <v>21227.61</v>
      </c>
      <c r="P284" s="1">
        <v>2023</v>
      </c>
      <c r="Q284" s="1" t="s">
        <v>32</v>
      </c>
      <c r="R284" s="1" t="s">
        <v>33</v>
      </c>
    </row>
    <row r="285" spans="1:18" x14ac:dyDescent="0.35">
      <c r="A285" s="3" t="s">
        <v>72</v>
      </c>
      <c r="B285" s="3"/>
      <c r="C285" s="1" t="s">
        <v>19</v>
      </c>
      <c r="D285" s="1" t="s">
        <v>58</v>
      </c>
      <c r="E285" s="1" t="s">
        <v>43</v>
      </c>
      <c r="F285" s="1" t="s">
        <v>38</v>
      </c>
      <c r="G285" s="1" t="s">
        <v>23</v>
      </c>
      <c r="H285" s="2">
        <v>45145</v>
      </c>
      <c r="I285" s="2">
        <v>45150</v>
      </c>
      <c r="J285" s="1">
        <v>37163.26</v>
      </c>
      <c r="K285" s="1">
        <v>0.68689999999999996</v>
      </c>
      <c r="L285" s="1">
        <v>25527.439999999999</v>
      </c>
      <c r="M285" s="1">
        <v>238026</v>
      </c>
      <c r="N285" s="1">
        <v>20076</v>
      </c>
      <c r="O285" s="1">
        <v>232631.71</v>
      </c>
      <c r="P285" s="1">
        <v>2023</v>
      </c>
      <c r="Q285" s="1" t="s">
        <v>32</v>
      </c>
      <c r="R285" s="1" t="s">
        <v>33</v>
      </c>
    </row>
    <row r="286" spans="1:18" x14ac:dyDescent="0.35">
      <c r="A286" s="3" t="s">
        <v>71</v>
      </c>
      <c r="B286" s="3"/>
      <c r="C286" s="1" t="s">
        <v>28</v>
      </c>
      <c r="D286" s="1" t="s">
        <v>58</v>
      </c>
      <c r="E286" s="1" t="s">
        <v>59</v>
      </c>
      <c r="F286" s="1" t="s">
        <v>22</v>
      </c>
      <c r="G286" s="1" t="s">
        <v>23</v>
      </c>
      <c r="H286" s="2">
        <v>45146</v>
      </c>
      <c r="I286" s="2">
        <v>45185</v>
      </c>
      <c r="J286" s="1">
        <v>7483.28</v>
      </c>
      <c r="K286" s="1">
        <v>1.1233</v>
      </c>
      <c r="L286" s="1">
        <v>8405.9699999999993</v>
      </c>
      <c r="M286" s="1">
        <v>608782</v>
      </c>
      <c r="N286" s="1">
        <v>37862</v>
      </c>
      <c r="O286" s="1">
        <v>120804.4</v>
      </c>
      <c r="P286" s="1">
        <v>2023</v>
      </c>
      <c r="Q286" s="1" t="s">
        <v>32</v>
      </c>
      <c r="R286" s="1" t="s">
        <v>33</v>
      </c>
    </row>
    <row r="287" spans="1:18" x14ac:dyDescent="0.35">
      <c r="A287" s="3" t="s">
        <v>72</v>
      </c>
      <c r="B287" s="3"/>
      <c r="C287" s="1" t="s">
        <v>19</v>
      </c>
      <c r="D287" s="1" t="s">
        <v>36</v>
      </c>
      <c r="E287" s="1" t="s">
        <v>59</v>
      </c>
      <c r="F287" s="1" t="s">
        <v>30</v>
      </c>
      <c r="G287" s="1" t="s">
        <v>44</v>
      </c>
      <c r="H287" s="2">
        <v>45147</v>
      </c>
      <c r="I287" s="2">
        <v>45176</v>
      </c>
      <c r="J287" s="1">
        <v>41705.61</v>
      </c>
      <c r="K287" s="1">
        <v>4.8800000000000003E-2</v>
      </c>
      <c r="L287" s="1">
        <v>2035.23</v>
      </c>
      <c r="M287" s="1">
        <v>771538</v>
      </c>
      <c r="N287" s="1">
        <v>9935</v>
      </c>
      <c r="O287" s="1">
        <v>98366.97</v>
      </c>
      <c r="P287" s="1">
        <v>2023</v>
      </c>
      <c r="Q287" s="1" t="s">
        <v>32</v>
      </c>
      <c r="R287" s="1" t="s">
        <v>33</v>
      </c>
    </row>
    <row r="288" spans="1:18" x14ac:dyDescent="0.35">
      <c r="A288" s="3" t="s">
        <v>111</v>
      </c>
      <c r="B288" s="3"/>
      <c r="C288" s="1" t="s">
        <v>35</v>
      </c>
      <c r="D288" s="1" t="s">
        <v>36</v>
      </c>
      <c r="E288" s="1" t="s">
        <v>63</v>
      </c>
      <c r="F288" s="1" t="s">
        <v>38</v>
      </c>
      <c r="G288" s="1" t="s">
        <v>44</v>
      </c>
      <c r="H288" s="2">
        <v>45148</v>
      </c>
      <c r="I288" s="2">
        <v>45175</v>
      </c>
      <c r="J288" s="1">
        <v>11278.39</v>
      </c>
      <c r="K288" s="1">
        <v>0.23749999999999999</v>
      </c>
      <c r="L288" s="1">
        <v>2678.62</v>
      </c>
      <c r="M288" s="1">
        <v>722641</v>
      </c>
      <c r="N288" s="1">
        <v>37903</v>
      </c>
      <c r="O288" s="1">
        <v>239000.59</v>
      </c>
      <c r="P288" s="1">
        <v>2023</v>
      </c>
      <c r="Q288" s="1" t="s">
        <v>32</v>
      </c>
      <c r="R288" s="1" t="s">
        <v>33</v>
      </c>
    </row>
    <row r="289" spans="1:18" x14ac:dyDescent="0.35">
      <c r="A289" s="3" t="s">
        <v>34</v>
      </c>
      <c r="B289" s="3"/>
      <c r="C289" s="1" t="s">
        <v>48</v>
      </c>
      <c r="D289" s="1" t="s">
        <v>29</v>
      </c>
      <c r="E289" s="1" t="s">
        <v>21</v>
      </c>
      <c r="F289" s="1" t="s">
        <v>30</v>
      </c>
      <c r="G289" s="1" t="s">
        <v>31</v>
      </c>
      <c r="H289" s="2">
        <v>45149</v>
      </c>
      <c r="I289" s="2">
        <v>45206</v>
      </c>
      <c r="J289" s="1">
        <v>7806.92</v>
      </c>
      <c r="K289" s="1">
        <v>0.70109999999999995</v>
      </c>
      <c r="L289" s="1">
        <v>5473.43</v>
      </c>
      <c r="M289" s="1">
        <v>801662</v>
      </c>
      <c r="N289" s="1">
        <v>41789</v>
      </c>
      <c r="O289" s="1">
        <v>203410.65</v>
      </c>
      <c r="P289" s="1">
        <v>2023</v>
      </c>
      <c r="Q289" s="1" t="s">
        <v>32</v>
      </c>
      <c r="R289" s="1" t="s">
        <v>33</v>
      </c>
    </row>
    <row r="290" spans="1:18" x14ac:dyDescent="0.35">
      <c r="A290" s="3" t="s">
        <v>27</v>
      </c>
      <c r="B290" s="3"/>
      <c r="C290" s="1" t="s">
        <v>28</v>
      </c>
      <c r="D290" s="1" t="s">
        <v>29</v>
      </c>
      <c r="E290" s="1" t="s">
        <v>21</v>
      </c>
      <c r="F290" s="1" t="s">
        <v>30</v>
      </c>
      <c r="G290" s="1" t="s">
        <v>31</v>
      </c>
      <c r="H290" s="2">
        <v>45150</v>
      </c>
      <c r="I290" s="2">
        <v>45169</v>
      </c>
      <c r="J290" s="1">
        <v>25762.41</v>
      </c>
      <c r="K290" s="1">
        <v>4.1599999999999998E-2</v>
      </c>
      <c r="L290" s="1">
        <v>1071.72</v>
      </c>
      <c r="M290" s="1">
        <v>218496</v>
      </c>
      <c r="N290" s="1">
        <v>47025</v>
      </c>
      <c r="O290" s="1">
        <v>164221.69</v>
      </c>
      <c r="P290" s="1">
        <v>2023</v>
      </c>
      <c r="Q290" s="1" t="s">
        <v>32</v>
      </c>
      <c r="R290" s="1" t="s">
        <v>33</v>
      </c>
    </row>
    <row r="291" spans="1:18" x14ac:dyDescent="0.35">
      <c r="A291" s="3" t="s">
        <v>95</v>
      </c>
      <c r="B291" s="3"/>
      <c r="C291" s="1" t="s">
        <v>48</v>
      </c>
      <c r="D291" s="1" t="s">
        <v>69</v>
      </c>
      <c r="E291" s="1" t="s">
        <v>63</v>
      </c>
      <c r="F291" s="1" t="s">
        <v>38</v>
      </c>
      <c r="G291" s="1" t="s">
        <v>23</v>
      </c>
      <c r="H291" s="2">
        <v>45152</v>
      </c>
      <c r="I291" s="2">
        <v>45182</v>
      </c>
      <c r="J291" s="1">
        <v>49237.84</v>
      </c>
      <c r="K291" s="1">
        <v>7.5200000000000003E-2</v>
      </c>
      <c r="L291" s="1">
        <v>3702.69</v>
      </c>
      <c r="M291" s="1">
        <v>224353</v>
      </c>
      <c r="N291" s="1">
        <v>19853</v>
      </c>
      <c r="O291" s="1">
        <v>236604.4</v>
      </c>
      <c r="P291" s="1">
        <v>2023</v>
      </c>
      <c r="Q291" s="1" t="s">
        <v>32</v>
      </c>
      <c r="R291" s="1" t="s">
        <v>33</v>
      </c>
    </row>
    <row r="292" spans="1:18" x14ac:dyDescent="0.35">
      <c r="A292" s="3" t="s">
        <v>18</v>
      </c>
      <c r="B292" s="3"/>
      <c r="C292" s="1" t="s">
        <v>35</v>
      </c>
      <c r="D292" s="1" t="s">
        <v>69</v>
      </c>
      <c r="E292" s="1" t="s">
        <v>51</v>
      </c>
      <c r="F292" s="1" t="s">
        <v>30</v>
      </c>
      <c r="G292" s="1" t="s">
        <v>44</v>
      </c>
      <c r="H292" s="2">
        <v>45152</v>
      </c>
      <c r="I292" s="2">
        <v>45173</v>
      </c>
      <c r="J292" s="1">
        <v>4881.28</v>
      </c>
      <c r="K292" s="1">
        <v>0.75409999999999999</v>
      </c>
      <c r="L292" s="1">
        <v>3680.97</v>
      </c>
      <c r="M292" s="1">
        <v>551704</v>
      </c>
      <c r="N292" s="1">
        <v>40287</v>
      </c>
      <c r="O292" s="1">
        <v>202855.86</v>
      </c>
      <c r="P292" s="1">
        <v>2023</v>
      </c>
      <c r="Q292" s="1" t="s">
        <v>32</v>
      </c>
      <c r="R292" s="1" t="s">
        <v>33</v>
      </c>
    </row>
    <row r="293" spans="1:18" x14ac:dyDescent="0.35">
      <c r="A293" s="3" t="s">
        <v>27</v>
      </c>
      <c r="B293" s="3"/>
      <c r="C293" s="1" t="s">
        <v>19</v>
      </c>
      <c r="D293" s="1" t="s">
        <v>20</v>
      </c>
      <c r="E293" s="1" t="s">
        <v>63</v>
      </c>
      <c r="F293" s="1" t="s">
        <v>38</v>
      </c>
      <c r="G293" s="1" t="s">
        <v>52</v>
      </c>
      <c r="H293" s="2">
        <v>45154</v>
      </c>
      <c r="I293" s="2">
        <v>45207</v>
      </c>
      <c r="J293" s="1">
        <v>29256.59</v>
      </c>
      <c r="K293" s="1">
        <v>7.4399999999999994E-2</v>
      </c>
      <c r="L293" s="1">
        <v>2176.69</v>
      </c>
      <c r="M293" s="1">
        <v>848095</v>
      </c>
      <c r="N293" s="1">
        <v>27833</v>
      </c>
      <c r="O293" s="1">
        <v>122188.42</v>
      </c>
      <c r="P293" s="1">
        <v>2023</v>
      </c>
      <c r="Q293" s="1" t="s">
        <v>32</v>
      </c>
      <c r="R293" s="1" t="s">
        <v>33</v>
      </c>
    </row>
    <row r="294" spans="1:18" x14ac:dyDescent="0.35">
      <c r="A294" s="3" t="s">
        <v>111</v>
      </c>
      <c r="B294" s="3"/>
      <c r="C294" s="1" t="s">
        <v>28</v>
      </c>
      <c r="D294" s="1" t="s">
        <v>58</v>
      </c>
      <c r="E294" s="1" t="s">
        <v>51</v>
      </c>
      <c r="F294" s="1" t="s">
        <v>30</v>
      </c>
      <c r="G294" s="1" t="s">
        <v>44</v>
      </c>
      <c r="H294" s="2">
        <v>45154</v>
      </c>
      <c r="I294" s="2">
        <v>45191</v>
      </c>
      <c r="J294" s="1">
        <v>37595.800000000003</v>
      </c>
      <c r="K294" s="1">
        <v>0.67400000000000004</v>
      </c>
      <c r="L294" s="1">
        <v>25339.57</v>
      </c>
      <c r="M294" s="1">
        <v>731068</v>
      </c>
      <c r="N294" s="1">
        <v>37798</v>
      </c>
      <c r="O294" s="1">
        <v>59152.78</v>
      </c>
      <c r="P294" s="1">
        <v>2023</v>
      </c>
      <c r="Q294" s="1" t="s">
        <v>32</v>
      </c>
      <c r="R294" s="1" t="s">
        <v>33</v>
      </c>
    </row>
    <row r="295" spans="1:18" x14ac:dyDescent="0.35">
      <c r="A295" s="3" t="s">
        <v>90</v>
      </c>
      <c r="B295" s="3"/>
      <c r="C295" s="1" t="s">
        <v>35</v>
      </c>
      <c r="D295" s="1" t="s">
        <v>58</v>
      </c>
      <c r="E295" s="1" t="s">
        <v>37</v>
      </c>
      <c r="F295" s="1" t="s">
        <v>38</v>
      </c>
      <c r="G295" s="1" t="s">
        <v>23</v>
      </c>
      <c r="H295" s="2">
        <v>45154</v>
      </c>
      <c r="I295" s="2">
        <v>45181</v>
      </c>
      <c r="J295" s="1">
        <v>11943.07</v>
      </c>
      <c r="K295" s="1">
        <v>1.0469999999999999</v>
      </c>
      <c r="L295" s="1">
        <v>12504.39</v>
      </c>
      <c r="M295" s="1">
        <v>450897</v>
      </c>
      <c r="N295" s="1">
        <v>21813</v>
      </c>
      <c r="O295" s="1">
        <v>96062.2</v>
      </c>
      <c r="P295" s="1">
        <v>2023</v>
      </c>
      <c r="Q295" s="1" t="s">
        <v>32</v>
      </c>
      <c r="R295" s="1" t="s">
        <v>33</v>
      </c>
    </row>
    <row r="296" spans="1:18" x14ac:dyDescent="0.35">
      <c r="A296" s="3" t="s">
        <v>106</v>
      </c>
      <c r="B296" s="3"/>
      <c r="C296" s="1" t="s">
        <v>19</v>
      </c>
      <c r="D296" s="1" t="s">
        <v>58</v>
      </c>
      <c r="E296" s="1" t="s">
        <v>51</v>
      </c>
      <c r="F296" s="1" t="s">
        <v>22</v>
      </c>
      <c r="G296" s="1" t="s">
        <v>23</v>
      </c>
      <c r="H296" s="2">
        <v>45154</v>
      </c>
      <c r="I296" s="2">
        <v>45167</v>
      </c>
      <c r="J296" s="1">
        <v>42983.95</v>
      </c>
      <c r="K296" s="1">
        <v>0.1794</v>
      </c>
      <c r="L296" s="1">
        <v>7711.32</v>
      </c>
      <c r="M296" s="1">
        <v>247580</v>
      </c>
      <c r="N296" s="1">
        <v>20247</v>
      </c>
      <c r="O296" s="1">
        <v>35709.32</v>
      </c>
      <c r="P296" s="1">
        <v>2023</v>
      </c>
      <c r="Q296" s="1" t="s">
        <v>32</v>
      </c>
      <c r="R296" s="1" t="s">
        <v>33</v>
      </c>
    </row>
    <row r="297" spans="1:18" x14ac:dyDescent="0.35">
      <c r="A297" s="3" t="s">
        <v>101</v>
      </c>
      <c r="B297" s="3"/>
      <c r="C297" s="1" t="s">
        <v>19</v>
      </c>
      <c r="D297" s="1" t="s">
        <v>69</v>
      </c>
      <c r="E297" s="1" t="s">
        <v>63</v>
      </c>
      <c r="F297" s="1" t="s">
        <v>22</v>
      </c>
      <c r="G297" s="1" t="s">
        <v>23</v>
      </c>
      <c r="H297" s="2">
        <v>45156</v>
      </c>
      <c r="I297" s="2">
        <v>45197</v>
      </c>
      <c r="J297" s="1">
        <v>48784.34</v>
      </c>
      <c r="K297" s="1">
        <v>0.48280000000000001</v>
      </c>
      <c r="L297" s="1">
        <v>23553.08</v>
      </c>
      <c r="M297" s="1">
        <v>253390</v>
      </c>
      <c r="N297" s="1">
        <v>29400</v>
      </c>
      <c r="O297" s="1">
        <v>95606.3</v>
      </c>
      <c r="P297" s="1">
        <v>2023</v>
      </c>
      <c r="Q297" s="1" t="s">
        <v>32</v>
      </c>
      <c r="R297" s="1" t="s">
        <v>33</v>
      </c>
    </row>
    <row r="298" spans="1:18" x14ac:dyDescent="0.35">
      <c r="A298" s="3" t="s">
        <v>68</v>
      </c>
      <c r="B298" s="3"/>
      <c r="C298" s="1" t="s">
        <v>35</v>
      </c>
      <c r="D298" s="1" t="s">
        <v>69</v>
      </c>
      <c r="E298" s="1" t="s">
        <v>63</v>
      </c>
      <c r="F298" s="1" t="s">
        <v>22</v>
      </c>
      <c r="G298" s="1" t="s">
        <v>49</v>
      </c>
      <c r="H298" s="2">
        <v>45160</v>
      </c>
      <c r="I298" s="2">
        <v>45191</v>
      </c>
      <c r="J298" s="1">
        <v>17607.650000000001</v>
      </c>
      <c r="K298" s="1">
        <v>0.54969999999999997</v>
      </c>
      <c r="L298" s="1">
        <v>9678.93</v>
      </c>
      <c r="M298" s="1">
        <v>446196</v>
      </c>
      <c r="N298" s="1">
        <v>47915</v>
      </c>
      <c r="O298" s="1">
        <v>28296.03</v>
      </c>
      <c r="P298" s="1">
        <v>2023</v>
      </c>
      <c r="Q298" s="1" t="s">
        <v>32</v>
      </c>
      <c r="R298" s="1" t="s">
        <v>33</v>
      </c>
    </row>
    <row r="299" spans="1:18" x14ac:dyDescent="0.35">
      <c r="A299" s="3" t="s">
        <v>105</v>
      </c>
      <c r="B299" s="3"/>
      <c r="C299" s="1" t="s">
        <v>19</v>
      </c>
      <c r="D299" s="1" t="s">
        <v>20</v>
      </c>
      <c r="E299" s="1" t="s">
        <v>63</v>
      </c>
      <c r="F299" s="1" t="s">
        <v>22</v>
      </c>
      <c r="G299" s="1" t="s">
        <v>23</v>
      </c>
      <c r="H299" s="2">
        <v>45160</v>
      </c>
      <c r="I299" s="2">
        <v>45187</v>
      </c>
      <c r="J299" s="1">
        <v>28098.85</v>
      </c>
      <c r="K299" s="1">
        <v>0.45679999999999998</v>
      </c>
      <c r="L299" s="1">
        <v>12835.55</v>
      </c>
      <c r="M299" s="1">
        <v>204760</v>
      </c>
      <c r="N299" s="1">
        <v>44644</v>
      </c>
      <c r="O299" s="1">
        <v>148539.4</v>
      </c>
      <c r="P299" s="1">
        <v>2023</v>
      </c>
      <c r="Q299" s="1" t="s">
        <v>32</v>
      </c>
      <c r="R299" s="1" t="s">
        <v>33</v>
      </c>
    </row>
    <row r="300" spans="1:18" x14ac:dyDescent="0.35">
      <c r="A300" s="3" t="s">
        <v>85</v>
      </c>
      <c r="B300" s="3"/>
      <c r="C300" s="1" t="s">
        <v>28</v>
      </c>
      <c r="D300" s="1" t="s">
        <v>58</v>
      </c>
      <c r="E300" s="1" t="s">
        <v>37</v>
      </c>
      <c r="F300" s="1" t="s">
        <v>38</v>
      </c>
      <c r="G300" s="1" t="s">
        <v>44</v>
      </c>
      <c r="H300" s="2">
        <v>45164</v>
      </c>
      <c r="I300" s="2">
        <v>45214</v>
      </c>
      <c r="J300" s="1">
        <v>3974.53</v>
      </c>
      <c r="K300" s="1">
        <v>3.2599999999999997E-2</v>
      </c>
      <c r="L300" s="1">
        <v>129.57</v>
      </c>
      <c r="M300" s="1">
        <v>614402</v>
      </c>
      <c r="N300" s="1">
        <v>20799</v>
      </c>
      <c r="O300" s="1">
        <v>140547.64000000001</v>
      </c>
      <c r="P300" s="1">
        <v>2023</v>
      </c>
      <c r="Q300" s="1" t="s">
        <v>32</v>
      </c>
      <c r="R300" s="1" t="s">
        <v>33</v>
      </c>
    </row>
    <row r="301" spans="1:18" x14ac:dyDescent="0.35">
      <c r="A301" s="3" t="s">
        <v>72</v>
      </c>
      <c r="B301" s="3"/>
      <c r="C301" s="1" t="s">
        <v>19</v>
      </c>
      <c r="D301" s="1" t="s">
        <v>29</v>
      </c>
      <c r="E301" s="1" t="s">
        <v>51</v>
      </c>
      <c r="F301" s="1" t="s">
        <v>22</v>
      </c>
      <c r="G301" s="1" t="s">
        <v>44</v>
      </c>
      <c r="H301" s="2">
        <v>45165</v>
      </c>
      <c r="I301" s="2">
        <v>45195</v>
      </c>
      <c r="J301" s="1">
        <v>17610.900000000001</v>
      </c>
      <c r="K301" s="1">
        <v>6.4500000000000002E-2</v>
      </c>
      <c r="L301" s="1">
        <v>1135.9000000000001</v>
      </c>
      <c r="M301" s="1">
        <v>713011</v>
      </c>
      <c r="N301" s="1">
        <v>29138</v>
      </c>
      <c r="O301" s="1">
        <v>185298.63</v>
      </c>
      <c r="P301" s="1">
        <v>2023</v>
      </c>
      <c r="Q301" s="1" t="s">
        <v>32</v>
      </c>
      <c r="R301" s="1" t="s">
        <v>33</v>
      </c>
    </row>
    <row r="302" spans="1:18" x14ac:dyDescent="0.35">
      <c r="A302" s="3" t="s">
        <v>102</v>
      </c>
      <c r="B302" s="3"/>
      <c r="C302" s="1" t="s">
        <v>19</v>
      </c>
      <c r="D302" s="1" t="s">
        <v>69</v>
      </c>
      <c r="E302" s="1" t="s">
        <v>59</v>
      </c>
      <c r="F302" s="1" t="s">
        <v>38</v>
      </c>
      <c r="G302" s="1" t="s">
        <v>49</v>
      </c>
      <c r="H302" s="2">
        <v>45166</v>
      </c>
      <c r="I302" s="2">
        <v>45204</v>
      </c>
      <c r="J302" s="1">
        <v>29763.18</v>
      </c>
      <c r="K302" s="1">
        <v>0.66759999999999997</v>
      </c>
      <c r="L302" s="1">
        <v>19869.900000000001</v>
      </c>
      <c r="M302" s="1">
        <v>501507</v>
      </c>
      <c r="N302" s="1">
        <v>47450</v>
      </c>
      <c r="O302" s="1">
        <v>204527.44</v>
      </c>
      <c r="P302" s="1">
        <v>2023</v>
      </c>
      <c r="Q302" s="1" t="s">
        <v>32</v>
      </c>
      <c r="R302" s="1" t="s">
        <v>33</v>
      </c>
    </row>
    <row r="303" spans="1:18" x14ac:dyDescent="0.35">
      <c r="A303" s="3" t="s">
        <v>70</v>
      </c>
      <c r="B303" s="3"/>
      <c r="C303" s="1" t="s">
        <v>35</v>
      </c>
      <c r="D303" s="1" t="s">
        <v>69</v>
      </c>
      <c r="E303" s="1" t="s">
        <v>43</v>
      </c>
      <c r="F303" s="1" t="s">
        <v>38</v>
      </c>
      <c r="G303" s="1" t="s">
        <v>31</v>
      </c>
      <c r="H303" s="2">
        <v>45167</v>
      </c>
      <c r="I303" s="2">
        <v>45216</v>
      </c>
      <c r="J303" s="1">
        <v>22573.59</v>
      </c>
      <c r="K303" s="1">
        <v>0.9194</v>
      </c>
      <c r="L303" s="1">
        <v>20754.16</v>
      </c>
      <c r="M303" s="1">
        <v>129787</v>
      </c>
      <c r="N303" s="1">
        <v>1495</v>
      </c>
      <c r="O303" s="1">
        <v>127232.34</v>
      </c>
      <c r="P303" s="1">
        <v>2023</v>
      </c>
      <c r="Q303" s="1" t="s">
        <v>32</v>
      </c>
      <c r="R303" s="1" t="s">
        <v>33</v>
      </c>
    </row>
    <row r="304" spans="1:18" x14ac:dyDescent="0.35">
      <c r="A304" s="3" t="s">
        <v>47</v>
      </c>
      <c r="B304" s="3"/>
      <c r="C304" s="1" t="s">
        <v>48</v>
      </c>
      <c r="D304" s="1" t="s">
        <v>69</v>
      </c>
      <c r="E304" s="1" t="s">
        <v>63</v>
      </c>
      <c r="F304" s="1" t="s">
        <v>38</v>
      </c>
      <c r="G304" s="1" t="s">
        <v>44</v>
      </c>
      <c r="H304" s="2">
        <v>45168</v>
      </c>
      <c r="I304" s="2">
        <v>45224</v>
      </c>
      <c r="J304" s="1">
        <v>37542.15</v>
      </c>
      <c r="K304" s="1">
        <v>0.70209999999999995</v>
      </c>
      <c r="L304" s="1">
        <v>26358.34</v>
      </c>
      <c r="M304" s="1">
        <v>759361</v>
      </c>
      <c r="N304" s="1">
        <v>41239</v>
      </c>
      <c r="O304" s="1">
        <v>168052.53</v>
      </c>
      <c r="P304" s="1">
        <v>2023</v>
      </c>
      <c r="Q304" s="1" t="s">
        <v>32</v>
      </c>
      <c r="R304" s="1" t="s">
        <v>33</v>
      </c>
    </row>
    <row r="305" spans="1:18" x14ac:dyDescent="0.35">
      <c r="A305" s="3" t="s">
        <v>67</v>
      </c>
      <c r="B305" s="3"/>
      <c r="C305" s="1" t="s">
        <v>28</v>
      </c>
      <c r="D305" s="1" t="s">
        <v>29</v>
      </c>
      <c r="E305" s="1" t="s">
        <v>43</v>
      </c>
      <c r="F305" s="1" t="s">
        <v>22</v>
      </c>
      <c r="G305" s="1" t="s">
        <v>31</v>
      </c>
      <c r="H305" s="2">
        <v>45168</v>
      </c>
      <c r="I305" s="2">
        <v>45205</v>
      </c>
      <c r="J305" s="1">
        <v>4830.0600000000004</v>
      </c>
      <c r="K305" s="1">
        <v>0.87270000000000003</v>
      </c>
      <c r="L305" s="1">
        <v>4215.1899999999996</v>
      </c>
      <c r="M305" s="1">
        <v>336592</v>
      </c>
      <c r="N305" s="1">
        <v>10858</v>
      </c>
      <c r="O305" s="1">
        <v>181810.07</v>
      </c>
      <c r="P305" s="1">
        <v>2023</v>
      </c>
      <c r="Q305" s="1" t="s">
        <v>32</v>
      </c>
      <c r="R305" s="1" t="s">
        <v>33</v>
      </c>
    </row>
    <row r="306" spans="1:18" x14ac:dyDescent="0.35">
      <c r="A306" s="3" t="s">
        <v>55</v>
      </c>
      <c r="B306" s="3"/>
      <c r="C306" s="1" t="s">
        <v>35</v>
      </c>
      <c r="D306" s="1" t="s">
        <v>29</v>
      </c>
      <c r="E306" s="1" t="s">
        <v>59</v>
      </c>
      <c r="F306" s="1" t="s">
        <v>22</v>
      </c>
      <c r="G306" s="1" t="s">
        <v>31</v>
      </c>
      <c r="H306" s="2">
        <v>45168</v>
      </c>
      <c r="I306" s="2">
        <v>45197</v>
      </c>
      <c r="J306" s="1">
        <v>49731.74</v>
      </c>
      <c r="K306" s="1">
        <v>0.45610000000000001</v>
      </c>
      <c r="L306" s="1">
        <v>22682.65</v>
      </c>
      <c r="M306" s="1">
        <v>39556</v>
      </c>
      <c r="N306" s="1">
        <v>20985</v>
      </c>
      <c r="O306" s="1">
        <v>233052.35</v>
      </c>
      <c r="P306" s="1">
        <v>2023</v>
      </c>
      <c r="Q306" s="1" t="s">
        <v>32</v>
      </c>
      <c r="R306" s="1" t="s">
        <v>33</v>
      </c>
    </row>
    <row r="307" spans="1:18" x14ac:dyDescent="0.35">
      <c r="A307" s="3" t="s">
        <v>118</v>
      </c>
      <c r="B307" s="3"/>
      <c r="C307" s="1" t="s">
        <v>19</v>
      </c>
      <c r="D307" s="1" t="s">
        <v>36</v>
      </c>
      <c r="E307" s="1" t="s">
        <v>51</v>
      </c>
      <c r="F307" s="1" t="s">
        <v>22</v>
      </c>
      <c r="G307" s="1" t="s">
        <v>23</v>
      </c>
      <c r="H307" s="2">
        <v>45170</v>
      </c>
      <c r="I307" s="2">
        <v>45189</v>
      </c>
      <c r="J307" s="1">
        <v>5507.55</v>
      </c>
      <c r="K307" s="1">
        <v>2.1999999999999999E-2</v>
      </c>
      <c r="L307" s="1">
        <v>121.17</v>
      </c>
      <c r="M307" s="1">
        <v>443130</v>
      </c>
      <c r="N307" s="1">
        <v>49086</v>
      </c>
      <c r="O307" s="1">
        <v>189379.42</v>
      </c>
      <c r="P307" s="1">
        <v>2023</v>
      </c>
      <c r="Q307" s="1" t="s">
        <v>74</v>
      </c>
      <c r="R307" s="1" t="s">
        <v>33</v>
      </c>
    </row>
    <row r="308" spans="1:18" x14ac:dyDescent="0.35">
      <c r="A308" s="3" t="s">
        <v>89</v>
      </c>
      <c r="B308" s="3"/>
      <c r="C308" s="1" t="s">
        <v>48</v>
      </c>
      <c r="D308" s="1" t="s">
        <v>29</v>
      </c>
      <c r="E308" s="1" t="s">
        <v>63</v>
      </c>
      <c r="F308" s="1" t="s">
        <v>38</v>
      </c>
      <c r="G308" s="1" t="s">
        <v>31</v>
      </c>
      <c r="H308" s="2">
        <v>45171</v>
      </c>
      <c r="I308" s="2">
        <v>45210</v>
      </c>
      <c r="J308" s="1">
        <v>6564.33</v>
      </c>
      <c r="K308" s="1">
        <v>0.57940000000000003</v>
      </c>
      <c r="L308" s="1">
        <v>3803.37</v>
      </c>
      <c r="M308" s="1">
        <v>994767</v>
      </c>
      <c r="N308" s="1">
        <v>49401</v>
      </c>
      <c r="O308" s="1">
        <v>147129.25</v>
      </c>
      <c r="P308" s="1">
        <v>2023</v>
      </c>
      <c r="Q308" s="1" t="s">
        <v>74</v>
      </c>
      <c r="R308" s="1" t="s">
        <v>33</v>
      </c>
    </row>
    <row r="309" spans="1:18" x14ac:dyDescent="0.35">
      <c r="A309" s="3" t="s">
        <v>100</v>
      </c>
      <c r="B309" s="3"/>
      <c r="C309" s="1" t="s">
        <v>19</v>
      </c>
      <c r="D309" s="1" t="s">
        <v>58</v>
      </c>
      <c r="E309" s="1" t="s">
        <v>43</v>
      </c>
      <c r="F309" s="1" t="s">
        <v>22</v>
      </c>
      <c r="G309" s="1" t="s">
        <v>44</v>
      </c>
      <c r="H309" s="2">
        <v>45175</v>
      </c>
      <c r="I309" s="2">
        <v>45224</v>
      </c>
      <c r="J309" s="1">
        <v>32790.53</v>
      </c>
      <c r="K309" s="1">
        <v>2.7099999999999999E-2</v>
      </c>
      <c r="L309" s="1">
        <v>888.62</v>
      </c>
      <c r="M309" s="1">
        <v>673393</v>
      </c>
      <c r="N309" s="1">
        <v>3374</v>
      </c>
      <c r="O309" s="1">
        <v>226642.28</v>
      </c>
      <c r="P309" s="1">
        <v>2023</v>
      </c>
      <c r="Q309" s="1" t="s">
        <v>74</v>
      </c>
      <c r="R309" s="1" t="s">
        <v>33</v>
      </c>
    </row>
    <row r="310" spans="1:18" x14ac:dyDescent="0.35">
      <c r="A310" s="3" t="s">
        <v>89</v>
      </c>
      <c r="B310" s="3"/>
      <c r="C310" s="1" t="s">
        <v>48</v>
      </c>
      <c r="D310" s="1" t="s">
        <v>20</v>
      </c>
      <c r="E310" s="1" t="s">
        <v>21</v>
      </c>
      <c r="F310" s="1" t="s">
        <v>30</v>
      </c>
      <c r="G310" s="1" t="s">
        <v>31</v>
      </c>
      <c r="H310" s="2">
        <v>45175</v>
      </c>
      <c r="I310" s="2">
        <v>45193</v>
      </c>
      <c r="J310" s="1">
        <v>27426.28</v>
      </c>
      <c r="K310" s="1">
        <v>1.0889</v>
      </c>
      <c r="L310" s="1">
        <v>29864.48</v>
      </c>
      <c r="M310" s="1">
        <v>707309</v>
      </c>
      <c r="N310" s="1">
        <v>16375</v>
      </c>
      <c r="O310" s="1">
        <v>201355.69</v>
      </c>
      <c r="P310" s="1">
        <v>2023</v>
      </c>
      <c r="Q310" s="1" t="s">
        <v>74</v>
      </c>
      <c r="R310" s="1" t="s">
        <v>33</v>
      </c>
    </row>
    <row r="311" spans="1:18" x14ac:dyDescent="0.35">
      <c r="A311" s="3" t="s">
        <v>109</v>
      </c>
      <c r="B311" s="3"/>
      <c r="C311" s="1" t="s">
        <v>48</v>
      </c>
      <c r="D311" s="1" t="s">
        <v>58</v>
      </c>
      <c r="E311" s="1" t="s">
        <v>51</v>
      </c>
      <c r="F311" s="1" t="s">
        <v>22</v>
      </c>
      <c r="G311" s="1" t="s">
        <v>49</v>
      </c>
      <c r="H311" s="2">
        <v>45175</v>
      </c>
      <c r="I311" s="2">
        <v>45193</v>
      </c>
      <c r="J311" s="1">
        <v>41563.269999999997</v>
      </c>
      <c r="K311" s="1">
        <v>7.6499999999999999E-2</v>
      </c>
      <c r="L311" s="1">
        <v>3179.59</v>
      </c>
      <c r="M311" s="1">
        <v>154495</v>
      </c>
      <c r="N311" s="1">
        <v>7783</v>
      </c>
      <c r="O311" s="1">
        <v>240702.74</v>
      </c>
      <c r="P311" s="1">
        <v>2023</v>
      </c>
      <c r="Q311" s="1" t="s">
        <v>74</v>
      </c>
      <c r="R311" s="1" t="s">
        <v>33</v>
      </c>
    </row>
    <row r="312" spans="1:18" x14ac:dyDescent="0.35">
      <c r="A312" s="3" t="s">
        <v>96</v>
      </c>
      <c r="B312" s="3"/>
      <c r="C312" s="1" t="s">
        <v>35</v>
      </c>
      <c r="D312" s="1" t="s">
        <v>58</v>
      </c>
      <c r="E312" s="1" t="s">
        <v>37</v>
      </c>
      <c r="F312" s="1" t="s">
        <v>30</v>
      </c>
      <c r="G312" s="1" t="s">
        <v>52</v>
      </c>
      <c r="H312" s="2">
        <v>45175</v>
      </c>
      <c r="I312" s="2">
        <v>45183</v>
      </c>
      <c r="J312" s="1">
        <v>33821.86</v>
      </c>
      <c r="K312" s="1">
        <v>0.64190000000000003</v>
      </c>
      <c r="L312" s="1">
        <v>21710.25</v>
      </c>
      <c r="M312" s="1">
        <v>678933</v>
      </c>
      <c r="N312" s="1">
        <v>15359</v>
      </c>
      <c r="O312" s="1">
        <v>17860.32</v>
      </c>
      <c r="P312" s="1">
        <v>2023</v>
      </c>
      <c r="Q312" s="1" t="s">
        <v>74</v>
      </c>
      <c r="R312" s="1" t="s">
        <v>33</v>
      </c>
    </row>
    <row r="313" spans="1:18" x14ac:dyDescent="0.35">
      <c r="A313" s="3" t="s">
        <v>87</v>
      </c>
      <c r="B313" s="3"/>
      <c r="C313" s="1" t="s">
        <v>19</v>
      </c>
      <c r="D313" s="1" t="s">
        <v>29</v>
      </c>
      <c r="E313" s="1" t="s">
        <v>21</v>
      </c>
      <c r="F313" s="1" t="s">
        <v>30</v>
      </c>
      <c r="G313" s="1" t="s">
        <v>49</v>
      </c>
      <c r="H313" s="2">
        <v>45176</v>
      </c>
      <c r="I313" s="2">
        <v>45202</v>
      </c>
      <c r="J313" s="1">
        <v>12910.59</v>
      </c>
      <c r="K313" s="1">
        <v>0.92349999999999999</v>
      </c>
      <c r="L313" s="1">
        <v>11922.93</v>
      </c>
      <c r="M313" s="1">
        <v>389547</v>
      </c>
      <c r="N313" s="1">
        <v>15231</v>
      </c>
      <c r="O313" s="1">
        <v>116676.19</v>
      </c>
      <c r="P313" s="1">
        <v>2023</v>
      </c>
      <c r="Q313" s="1" t="s">
        <v>74</v>
      </c>
      <c r="R313" s="1" t="s">
        <v>33</v>
      </c>
    </row>
    <row r="314" spans="1:18" x14ac:dyDescent="0.35">
      <c r="A314" s="3" t="s">
        <v>109</v>
      </c>
      <c r="B314" s="3"/>
      <c r="C314" s="1" t="s">
        <v>19</v>
      </c>
      <c r="D314" s="1" t="s">
        <v>29</v>
      </c>
      <c r="E314" s="1" t="s">
        <v>63</v>
      </c>
      <c r="F314" s="1" t="s">
        <v>38</v>
      </c>
      <c r="G314" s="1" t="s">
        <v>31</v>
      </c>
      <c r="H314" s="2">
        <v>45176</v>
      </c>
      <c r="I314" s="2">
        <v>45194</v>
      </c>
      <c r="J314" s="1">
        <v>9351.2199999999993</v>
      </c>
      <c r="K314" s="1">
        <v>1.1335999999999999</v>
      </c>
      <c r="L314" s="1">
        <v>10600.54</v>
      </c>
      <c r="M314" s="1">
        <v>743907</v>
      </c>
      <c r="N314" s="1">
        <v>5961</v>
      </c>
      <c r="O314" s="1">
        <v>30840.07</v>
      </c>
      <c r="P314" s="1">
        <v>2023</v>
      </c>
      <c r="Q314" s="1" t="s">
        <v>74</v>
      </c>
      <c r="R314" s="1" t="s">
        <v>33</v>
      </c>
    </row>
    <row r="315" spans="1:18" x14ac:dyDescent="0.35">
      <c r="A315" s="3" t="s">
        <v>82</v>
      </c>
      <c r="B315" s="3"/>
      <c r="C315" s="1" t="s">
        <v>48</v>
      </c>
      <c r="D315" s="1" t="s">
        <v>36</v>
      </c>
      <c r="E315" s="1" t="s">
        <v>37</v>
      </c>
      <c r="F315" s="1" t="s">
        <v>30</v>
      </c>
      <c r="G315" s="1" t="s">
        <v>52</v>
      </c>
      <c r="H315" s="2">
        <v>45177</v>
      </c>
      <c r="I315" s="2">
        <v>45187</v>
      </c>
      <c r="J315" s="1">
        <v>46306.76</v>
      </c>
      <c r="K315" s="1">
        <v>0.14799999999999999</v>
      </c>
      <c r="L315" s="1">
        <v>6853.4</v>
      </c>
      <c r="M315" s="1">
        <v>652039</v>
      </c>
      <c r="N315" s="1">
        <v>40000</v>
      </c>
      <c r="O315" s="1">
        <v>18482.009999999998</v>
      </c>
      <c r="P315" s="1">
        <v>2023</v>
      </c>
      <c r="Q315" s="1" t="s">
        <v>74</v>
      </c>
      <c r="R315" s="1" t="s">
        <v>33</v>
      </c>
    </row>
    <row r="316" spans="1:18" x14ac:dyDescent="0.35">
      <c r="A316" s="3" t="s">
        <v>103</v>
      </c>
      <c r="B316" s="3"/>
      <c r="C316" s="1" t="s">
        <v>48</v>
      </c>
      <c r="D316" s="1" t="s">
        <v>36</v>
      </c>
      <c r="E316" s="1" t="s">
        <v>43</v>
      </c>
      <c r="F316" s="1" t="s">
        <v>38</v>
      </c>
      <c r="G316" s="1" t="s">
        <v>23</v>
      </c>
      <c r="H316" s="2">
        <v>45178</v>
      </c>
      <c r="I316" s="2">
        <v>45225</v>
      </c>
      <c r="J316" s="1">
        <v>49168.08</v>
      </c>
      <c r="K316" s="1">
        <v>0.41649999999999998</v>
      </c>
      <c r="L316" s="1">
        <v>20478.509999999998</v>
      </c>
      <c r="M316" s="1">
        <v>492134</v>
      </c>
      <c r="N316" s="1">
        <v>39389</v>
      </c>
      <c r="O316" s="1">
        <v>85472.02</v>
      </c>
      <c r="P316" s="1">
        <v>2023</v>
      </c>
      <c r="Q316" s="1" t="s">
        <v>74</v>
      </c>
      <c r="R316" s="1" t="s">
        <v>33</v>
      </c>
    </row>
    <row r="317" spans="1:18" x14ac:dyDescent="0.35">
      <c r="A317" s="3" t="s">
        <v>111</v>
      </c>
      <c r="B317" s="3"/>
      <c r="C317" s="1" t="s">
        <v>35</v>
      </c>
      <c r="D317" s="1" t="s">
        <v>58</v>
      </c>
      <c r="E317" s="1" t="s">
        <v>21</v>
      </c>
      <c r="F317" s="1" t="s">
        <v>38</v>
      </c>
      <c r="G317" s="1" t="s">
        <v>44</v>
      </c>
      <c r="H317" s="2">
        <v>45180</v>
      </c>
      <c r="I317" s="2">
        <v>45230</v>
      </c>
      <c r="J317" s="1">
        <v>22450.16</v>
      </c>
      <c r="K317" s="1">
        <v>0.53290000000000004</v>
      </c>
      <c r="L317" s="1">
        <v>11963.69</v>
      </c>
      <c r="M317" s="1">
        <v>558141</v>
      </c>
      <c r="N317" s="1">
        <v>40064</v>
      </c>
      <c r="O317" s="1">
        <v>43892.82</v>
      </c>
      <c r="P317" s="1">
        <v>2023</v>
      </c>
      <c r="Q317" s="1" t="s">
        <v>74</v>
      </c>
      <c r="R317" s="1" t="s">
        <v>33</v>
      </c>
    </row>
    <row r="318" spans="1:18" x14ac:dyDescent="0.35">
      <c r="A318" s="3" t="s">
        <v>78</v>
      </c>
      <c r="B318" s="3"/>
      <c r="C318" s="1" t="s">
        <v>28</v>
      </c>
      <c r="D318" s="1" t="s">
        <v>58</v>
      </c>
      <c r="E318" s="1" t="s">
        <v>51</v>
      </c>
      <c r="F318" s="1" t="s">
        <v>30</v>
      </c>
      <c r="G318" s="1" t="s">
        <v>23</v>
      </c>
      <c r="H318" s="2">
        <v>45180</v>
      </c>
      <c r="I318" s="2">
        <v>45223</v>
      </c>
      <c r="J318" s="1">
        <v>29338.75</v>
      </c>
      <c r="K318" s="1">
        <v>0.79849999999999999</v>
      </c>
      <c r="L318" s="1">
        <v>23426.99</v>
      </c>
      <c r="M318" s="1">
        <v>179268</v>
      </c>
      <c r="N318" s="1">
        <v>908</v>
      </c>
      <c r="O318" s="1">
        <v>33599.01</v>
      </c>
      <c r="P318" s="1">
        <v>2023</v>
      </c>
      <c r="Q318" s="1" t="s">
        <v>74</v>
      </c>
      <c r="R318" s="1" t="s">
        <v>33</v>
      </c>
    </row>
    <row r="319" spans="1:18" x14ac:dyDescent="0.35">
      <c r="A319" s="3" t="s">
        <v>70</v>
      </c>
      <c r="B319" s="3"/>
      <c r="C319" s="1" t="s">
        <v>28</v>
      </c>
      <c r="D319" s="1" t="s">
        <v>20</v>
      </c>
      <c r="E319" s="1" t="s">
        <v>37</v>
      </c>
      <c r="F319" s="1" t="s">
        <v>22</v>
      </c>
      <c r="G319" s="1" t="s">
        <v>52</v>
      </c>
      <c r="H319" s="2">
        <v>45180</v>
      </c>
      <c r="I319" s="2">
        <v>45214</v>
      </c>
      <c r="J319" s="1">
        <v>17961.830000000002</v>
      </c>
      <c r="K319" s="1">
        <v>0.33800000000000002</v>
      </c>
      <c r="L319" s="1">
        <v>6071.1</v>
      </c>
      <c r="M319" s="1">
        <v>992946</v>
      </c>
      <c r="N319" s="1">
        <v>47615</v>
      </c>
      <c r="O319" s="1">
        <v>192545.03</v>
      </c>
      <c r="P319" s="1">
        <v>2023</v>
      </c>
      <c r="Q319" s="1" t="s">
        <v>74</v>
      </c>
      <c r="R319" s="1" t="s">
        <v>33</v>
      </c>
    </row>
    <row r="320" spans="1:18" x14ac:dyDescent="0.35">
      <c r="A320" s="3" t="s">
        <v>103</v>
      </c>
      <c r="B320" s="3"/>
      <c r="C320" s="1" t="s">
        <v>19</v>
      </c>
      <c r="D320" s="1" t="s">
        <v>58</v>
      </c>
      <c r="E320" s="1" t="s">
        <v>37</v>
      </c>
      <c r="F320" s="1" t="s">
        <v>22</v>
      </c>
      <c r="G320" s="1" t="s">
        <v>49</v>
      </c>
      <c r="H320" s="2">
        <v>45180</v>
      </c>
      <c r="I320" s="2">
        <v>45205</v>
      </c>
      <c r="J320" s="1">
        <v>22278.19</v>
      </c>
      <c r="K320" s="1">
        <v>0.2747</v>
      </c>
      <c r="L320" s="1">
        <v>6119.82</v>
      </c>
      <c r="M320" s="1">
        <v>982532</v>
      </c>
      <c r="N320" s="1">
        <v>38882</v>
      </c>
      <c r="O320" s="1">
        <v>236831.83</v>
      </c>
      <c r="P320" s="1">
        <v>2023</v>
      </c>
      <c r="Q320" s="1" t="s">
        <v>74</v>
      </c>
      <c r="R320" s="1" t="s">
        <v>33</v>
      </c>
    </row>
    <row r="321" spans="1:18" x14ac:dyDescent="0.35">
      <c r="A321" s="3" t="s">
        <v>93</v>
      </c>
      <c r="B321" s="3"/>
      <c r="C321" s="1" t="s">
        <v>48</v>
      </c>
      <c r="D321" s="1" t="s">
        <v>58</v>
      </c>
      <c r="E321" s="1" t="s">
        <v>51</v>
      </c>
      <c r="F321" s="1" t="s">
        <v>38</v>
      </c>
      <c r="G321" s="1" t="s">
        <v>31</v>
      </c>
      <c r="H321" s="2">
        <v>45180</v>
      </c>
      <c r="I321" s="2">
        <v>45197</v>
      </c>
      <c r="J321" s="1">
        <v>42122.21</v>
      </c>
      <c r="K321" s="1">
        <v>0.74939999999999996</v>
      </c>
      <c r="L321" s="1">
        <v>31566.38</v>
      </c>
      <c r="M321" s="1">
        <v>260132</v>
      </c>
      <c r="N321" s="1">
        <v>8372</v>
      </c>
      <c r="O321" s="1">
        <v>121022.46</v>
      </c>
      <c r="P321" s="1">
        <v>2023</v>
      </c>
      <c r="Q321" s="1" t="s">
        <v>74</v>
      </c>
      <c r="R321" s="1" t="s">
        <v>33</v>
      </c>
    </row>
    <row r="322" spans="1:18" x14ac:dyDescent="0.35">
      <c r="A322" s="3" t="s">
        <v>67</v>
      </c>
      <c r="B322" s="3"/>
      <c r="C322" s="1" t="s">
        <v>19</v>
      </c>
      <c r="D322" s="1" t="s">
        <v>58</v>
      </c>
      <c r="E322" s="1" t="s">
        <v>43</v>
      </c>
      <c r="F322" s="1" t="s">
        <v>22</v>
      </c>
      <c r="G322" s="1" t="s">
        <v>23</v>
      </c>
      <c r="H322" s="2">
        <v>45181</v>
      </c>
      <c r="I322" s="2">
        <v>45198</v>
      </c>
      <c r="J322" s="1">
        <v>10320.24</v>
      </c>
      <c r="K322" s="1">
        <v>0.54390000000000005</v>
      </c>
      <c r="L322" s="1">
        <v>5613.18</v>
      </c>
      <c r="M322" s="1">
        <v>452374</v>
      </c>
      <c r="N322" s="1">
        <v>12125</v>
      </c>
      <c r="O322" s="1">
        <v>73243.56</v>
      </c>
      <c r="P322" s="1">
        <v>2023</v>
      </c>
      <c r="Q322" s="1" t="s">
        <v>74</v>
      </c>
      <c r="R322" s="1" t="s">
        <v>33</v>
      </c>
    </row>
    <row r="323" spans="1:18" x14ac:dyDescent="0.35">
      <c r="A323" s="3" t="s">
        <v>111</v>
      </c>
      <c r="B323" s="3"/>
      <c r="C323" s="1" t="s">
        <v>35</v>
      </c>
      <c r="D323" s="1" t="s">
        <v>69</v>
      </c>
      <c r="E323" s="1" t="s">
        <v>51</v>
      </c>
      <c r="F323" s="1" t="s">
        <v>30</v>
      </c>
      <c r="G323" s="1" t="s">
        <v>23</v>
      </c>
      <c r="H323" s="2">
        <v>45182</v>
      </c>
      <c r="I323" s="2">
        <v>45236</v>
      </c>
      <c r="J323" s="1">
        <v>27597.42</v>
      </c>
      <c r="K323" s="1">
        <v>0.41170000000000001</v>
      </c>
      <c r="L323" s="1">
        <v>11361.86</v>
      </c>
      <c r="M323" s="1">
        <v>423769</v>
      </c>
      <c r="N323" s="1">
        <v>2630</v>
      </c>
      <c r="O323" s="1">
        <v>155809.07999999999</v>
      </c>
      <c r="P323" s="1">
        <v>2023</v>
      </c>
      <c r="Q323" s="1" t="s">
        <v>74</v>
      </c>
      <c r="R323" s="1" t="s">
        <v>33</v>
      </c>
    </row>
    <row r="324" spans="1:18" x14ac:dyDescent="0.35">
      <c r="A324" s="3" t="s">
        <v>66</v>
      </c>
      <c r="B324" s="3"/>
      <c r="C324" s="1" t="s">
        <v>35</v>
      </c>
      <c r="D324" s="1" t="s">
        <v>58</v>
      </c>
      <c r="E324" s="1" t="s">
        <v>21</v>
      </c>
      <c r="F324" s="1" t="s">
        <v>38</v>
      </c>
      <c r="G324" s="1" t="s">
        <v>23</v>
      </c>
      <c r="H324" s="2">
        <v>45182</v>
      </c>
      <c r="I324" s="2">
        <v>45196</v>
      </c>
      <c r="J324" s="1">
        <v>35858.35</v>
      </c>
      <c r="K324" s="1">
        <v>0.99590000000000001</v>
      </c>
      <c r="L324" s="1">
        <v>35711.33</v>
      </c>
      <c r="M324" s="1">
        <v>808462</v>
      </c>
      <c r="N324" s="1">
        <v>44417</v>
      </c>
      <c r="O324" s="1">
        <v>101211.68</v>
      </c>
      <c r="P324" s="1">
        <v>2023</v>
      </c>
      <c r="Q324" s="1" t="s">
        <v>74</v>
      </c>
      <c r="R324" s="1" t="s">
        <v>33</v>
      </c>
    </row>
    <row r="325" spans="1:18" x14ac:dyDescent="0.35">
      <c r="A325" s="3" t="s">
        <v>79</v>
      </c>
      <c r="B325" s="3"/>
      <c r="C325" s="1" t="s">
        <v>48</v>
      </c>
      <c r="D325" s="1" t="s">
        <v>58</v>
      </c>
      <c r="E325" s="1" t="s">
        <v>51</v>
      </c>
      <c r="F325" s="1" t="s">
        <v>22</v>
      </c>
      <c r="G325" s="1" t="s">
        <v>23</v>
      </c>
      <c r="H325" s="2">
        <v>45183</v>
      </c>
      <c r="I325" s="2">
        <v>45193</v>
      </c>
      <c r="J325" s="1">
        <v>19220.34</v>
      </c>
      <c r="K325" s="1">
        <v>1.0854999999999999</v>
      </c>
      <c r="L325" s="1">
        <v>20863.68</v>
      </c>
      <c r="M325" s="1">
        <v>183565</v>
      </c>
      <c r="N325" s="1">
        <v>3493</v>
      </c>
      <c r="O325" s="1">
        <v>102103.67999999999</v>
      </c>
      <c r="P325" s="1">
        <v>2023</v>
      </c>
      <c r="Q325" s="1" t="s">
        <v>74</v>
      </c>
      <c r="R325" s="1" t="s">
        <v>33</v>
      </c>
    </row>
    <row r="326" spans="1:18" x14ac:dyDescent="0.35">
      <c r="A326" s="3" t="s">
        <v>34</v>
      </c>
      <c r="B326" s="3"/>
      <c r="C326" s="1" t="s">
        <v>48</v>
      </c>
      <c r="D326" s="1" t="s">
        <v>29</v>
      </c>
      <c r="E326" s="1" t="s">
        <v>59</v>
      </c>
      <c r="F326" s="1" t="s">
        <v>30</v>
      </c>
      <c r="G326" s="1" t="s">
        <v>49</v>
      </c>
      <c r="H326" s="2">
        <v>45184</v>
      </c>
      <c r="I326" s="2">
        <v>45203</v>
      </c>
      <c r="J326" s="1">
        <v>6912.14</v>
      </c>
      <c r="K326" s="1">
        <v>0.2392</v>
      </c>
      <c r="L326" s="1">
        <v>1653.38</v>
      </c>
      <c r="M326" s="1">
        <v>135362</v>
      </c>
      <c r="N326" s="1">
        <v>48785</v>
      </c>
      <c r="O326" s="1">
        <v>136286.67000000001</v>
      </c>
      <c r="P326" s="1">
        <v>2023</v>
      </c>
      <c r="Q326" s="1" t="s">
        <v>74</v>
      </c>
      <c r="R326" s="1" t="s">
        <v>33</v>
      </c>
    </row>
    <row r="327" spans="1:18" x14ac:dyDescent="0.35">
      <c r="A327" s="3" t="s">
        <v>93</v>
      </c>
      <c r="B327" s="3"/>
      <c r="C327" s="1" t="s">
        <v>28</v>
      </c>
      <c r="D327" s="1" t="s">
        <v>36</v>
      </c>
      <c r="E327" s="1" t="s">
        <v>63</v>
      </c>
      <c r="F327" s="1" t="s">
        <v>38</v>
      </c>
      <c r="G327" s="1" t="s">
        <v>49</v>
      </c>
      <c r="H327" s="2">
        <v>45191</v>
      </c>
      <c r="I327" s="2">
        <v>45226</v>
      </c>
      <c r="J327" s="1">
        <v>48945.7</v>
      </c>
      <c r="K327" s="1">
        <v>0.91810000000000003</v>
      </c>
      <c r="L327" s="1">
        <v>44937.05</v>
      </c>
      <c r="M327" s="1">
        <v>473518</v>
      </c>
      <c r="N327" s="1">
        <v>42717</v>
      </c>
      <c r="O327" s="1">
        <v>231419.39</v>
      </c>
      <c r="P327" s="1">
        <v>2023</v>
      </c>
      <c r="Q327" s="1" t="s">
        <v>74</v>
      </c>
      <c r="R327" s="1" t="s">
        <v>33</v>
      </c>
    </row>
    <row r="328" spans="1:18" x14ac:dyDescent="0.35">
      <c r="A328" s="3" t="s">
        <v>72</v>
      </c>
      <c r="B328" s="3"/>
      <c r="C328" s="1" t="s">
        <v>19</v>
      </c>
      <c r="D328" s="1" t="s">
        <v>29</v>
      </c>
      <c r="E328" s="1" t="s">
        <v>37</v>
      </c>
      <c r="F328" s="1" t="s">
        <v>30</v>
      </c>
      <c r="G328" s="1" t="s">
        <v>23</v>
      </c>
      <c r="H328" s="2">
        <v>45192</v>
      </c>
      <c r="I328" s="2">
        <v>45252</v>
      </c>
      <c r="J328" s="1">
        <v>25251.52</v>
      </c>
      <c r="K328" s="1">
        <v>0.28060000000000002</v>
      </c>
      <c r="L328" s="1">
        <v>7085.58</v>
      </c>
      <c r="M328" s="1">
        <v>192971</v>
      </c>
      <c r="N328" s="1">
        <v>9727</v>
      </c>
      <c r="O328" s="1">
        <v>218453.6</v>
      </c>
      <c r="P328" s="1">
        <v>2023</v>
      </c>
      <c r="Q328" s="1" t="s">
        <v>74</v>
      </c>
      <c r="R328" s="1" t="s">
        <v>33</v>
      </c>
    </row>
    <row r="329" spans="1:18" x14ac:dyDescent="0.35">
      <c r="A329" s="3" t="s">
        <v>119</v>
      </c>
      <c r="B329" s="3"/>
      <c r="C329" s="1" t="s">
        <v>35</v>
      </c>
      <c r="D329" s="1" t="s">
        <v>20</v>
      </c>
      <c r="E329" s="1" t="s">
        <v>51</v>
      </c>
      <c r="F329" s="1" t="s">
        <v>22</v>
      </c>
      <c r="G329" s="1" t="s">
        <v>49</v>
      </c>
      <c r="H329" s="2">
        <v>45192</v>
      </c>
      <c r="I329" s="2">
        <v>45237</v>
      </c>
      <c r="J329" s="1">
        <v>25867.47</v>
      </c>
      <c r="K329" s="1">
        <v>0.1573</v>
      </c>
      <c r="L329" s="1">
        <v>4068.95</v>
      </c>
      <c r="M329" s="1">
        <v>803310</v>
      </c>
      <c r="N329" s="1">
        <v>42761</v>
      </c>
      <c r="O329" s="1">
        <v>235629.04</v>
      </c>
      <c r="P329" s="1">
        <v>2023</v>
      </c>
      <c r="Q329" s="1" t="s">
        <v>74</v>
      </c>
      <c r="R329" s="1" t="s">
        <v>33</v>
      </c>
    </row>
    <row r="330" spans="1:18" x14ac:dyDescent="0.35">
      <c r="A330" s="3" t="s">
        <v>18</v>
      </c>
      <c r="B330" s="3"/>
      <c r="C330" s="1" t="s">
        <v>19</v>
      </c>
      <c r="D330" s="1" t="s">
        <v>20</v>
      </c>
      <c r="E330" s="1" t="s">
        <v>43</v>
      </c>
      <c r="F330" s="1" t="s">
        <v>38</v>
      </c>
      <c r="G330" s="1" t="s">
        <v>44</v>
      </c>
      <c r="H330" s="2">
        <v>45192</v>
      </c>
      <c r="I330" s="2">
        <v>45233</v>
      </c>
      <c r="J330" s="1">
        <v>42918.47</v>
      </c>
      <c r="K330" s="1">
        <v>1.0584</v>
      </c>
      <c r="L330" s="1">
        <v>45424.91</v>
      </c>
      <c r="M330" s="1">
        <v>774305</v>
      </c>
      <c r="N330" s="1">
        <v>18078</v>
      </c>
      <c r="O330" s="1">
        <v>52003.63</v>
      </c>
      <c r="P330" s="1">
        <v>2023</v>
      </c>
      <c r="Q330" s="1" t="s">
        <v>74</v>
      </c>
      <c r="R330" s="1" t="s">
        <v>33</v>
      </c>
    </row>
    <row r="331" spans="1:18" x14ac:dyDescent="0.35">
      <c r="A331" s="3" t="s">
        <v>119</v>
      </c>
      <c r="B331" s="3"/>
      <c r="C331" s="1" t="s">
        <v>35</v>
      </c>
      <c r="D331" s="1" t="s">
        <v>29</v>
      </c>
      <c r="E331" s="1" t="s">
        <v>37</v>
      </c>
      <c r="F331" s="1" t="s">
        <v>22</v>
      </c>
      <c r="G331" s="1" t="s">
        <v>52</v>
      </c>
      <c r="H331" s="2">
        <v>45194</v>
      </c>
      <c r="I331" s="2">
        <v>45253</v>
      </c>
      <c r="J331" s="1">
        <v>16435.439999999999</v>
      </c>
      <c r="K331" s="1">
        <v>0.96299999999999997</v>
      </c>
      <c r="L331" s="1">
        <v>15827.33</v>
      </c>
      <c r="M331" s="1">
        <v>744764</v>
      </c>
      <c r="N331" s="1">
        <v>48292</v>
      </c>
      <c r="O331" s="1">
        <v>84931.63</v>
      </c>
      <c r="P331" s="1">
        <v>2023</v>
      </c>
      <c r="Q331" s="1" t="s">
        <v>74</v>
      </c>
      <c r="R331" s="1" t="s">
        <v>33</v>
      </c>
    </row>
    <row r="332" spans="1:18" x14ac:dyDescent="0.35">
      <c r="A332" s="3" t="s">
        <v>64</v>
      </c>
      <c r="B332" s="3"/>
      <c r="C332" s="1" t="s">
        <v>28</v>
      </c>
      <c r="D332" s="1" t="s">
        <v>20</v>
      </c>
      <c r="E332" s="1" t="s">
        <v>51</v>
      </c>
      <c r="F332" s="1" t="s">
        <v>38</v>
      </c>
      <c r="G332" s="1" t="s">
        <v>23</v>
      </c>
      <c r="H332" s="2">
        <v>45194</v>
      </c>
      <c r="I332" s="2">
        <v>45240</v>
      </c>
      <c r="J332" s="1">
        <v>18618.05</v>
      </c>
      <c r="K332" s="1">
        <v>0.29120000000000001</v>
      </c>
      <c r="L332" s="1">
        <v>5421.58</v>
      </c>
      <c r="M332" s="1">
        <v>710224</v>
      </c>
      <c r="N332" s="1">
        <v>7847</v>
      </c>
      <c r="O332" s="1">
        <v>119021.77</v>
      </c>
      <c r="P332" s="1">
        <v>2023</v>
      </c>
      <c r="Q332" s="1" t="s">
        <v>74</v>
      </c>
      <c r="R332" s="1" t="s">
        <v>33</v>
      </c>
    </row>
    <row r="333" spans="1:18" x14ac:dyDescent="0.35">
      <c r="A333" s="3" t="s">
        <v>107</v>
      </c>
      <c r="B333" s="3"/>
      <c r="C333" s="1" t="s">
        <v>28</v>
      </c>
      <c r="D333" s="1" t="s">
        <v>20</v>
      </c>
      <c r="E333" s="1" t="s">
        <v>37</v>
      </c>
      <c r="F333" s="1" t="s">
        <v>38</v>
      </c>
      <c r="G333" s="1" t="s">
        <v>31</v>
      </c>
      <c r="H333" s="2">
        <v>45195</v>
      </c>
      <c r="I333" s="2">
        <v>45242</v>
      </c>
      <c r="J333" s="1">
        <v>43269.19</v>
      </c>
      <c r="K333" s="1">
        <v>0.63800000000000001</v>
      </c>
      <c r="L333" s="1">
        <v>27605.74</v>
      </c>
      <c r="M333" s="1">
        <v>680153</v>
      </c>
      <c r="N333" s="1">
        <v>20639</v>
      </c>
      <c r="O333" s="1">
        <v>151257.85</v>
      </c>
      <c r="P333" s="1">
        <v>2023</v>
      </c>
      <c r="Q333" s="1" t="s">
        <v>74</v>
      </c>
      <c r="R333" s="1" t="s">
        <v>33</v>
      </c>
    </row>
    <row r="334" spans="1:18" x14ac:dyDescent="0.35">
      <c r="A334" s="3" t="s">
        <v>89</v>
      </c>
      <c r="B334" s="3"/>
      <c r="C334" s="1" t="s">
        <v>19</v>
      </c>
      <c r="D334" s="1" t="s">
        <v>29</v>
      </c>
      <c r="E334" s="1" t="s">
        <v>37</v>
      </c>
      <c r="F334" s="1" t="s">
        <v>38</v>
      </c>
      <c r="G334" s="1" t="s">
        <v>49</v>
      </c>
      <c r="H334" s="2">
        <v>45196</v>
      </c>
      <c r="I334" s="2">
        <v>45244</v>
      </c>
      <c r="J334" s="1">
        <v>3091.1</v>
      </c>
      <c r="K334" s="1">
        <v>1.1731</v>
      </c>
      <c r="L334" s="1">
        <v>3626.17</v>
      </c>
      <c r="M334" s="1">
        <v>69830</v>
      </c>
      <c r="N334" s="1">
        <v>48664</v>
      </c>
      <c r="O334" s="1">
        <v>198694.71</v>
      </c>
      <c r="P334" s="1">
        <v>2023</v>
      </c>
      <c r="Q334" s="1" t="s">
        <v>74</v>
      </c>
      <c r="R334" s="1" t="s">
        <v>33</v>
      </c>
    </row>
    <row r="335" spans="1:18" x14ac:dyDescent="0.35">
      <c r="A335" s="3" t="s">
        <v>111</v>
      </c>
      <c r="B335" s="3"/>
      <c r="C335" s="1" t="s">
        <v>35</v>
      </c>
      <c r="D335" s="1" t="s">
        <v>58</v>
      </c>
      <c r="E335" s="1" t="s">
        <v>51</v>
      </c>
      <c r="F335" s="1" t="s">
        <v>22</v>
      </c>
      <c r="G335" s="1" t="s">
        <v>23</v>
      </c>
      <c r="H335" s="2">
        <v>45197</v>
      </c>
      <c r="I335" s="2">
        <v>45231</v>
      </c>
      <c r="J335" s="1">
        <v>3453.93</v>
      </c>
      <c r="K335" s="1">
        <v>0.97770000000000001</v>
      </c>
      <c r="L335" s="1">
        <v>3376.91</v>
      </c>
      <c r="M335" s="1">
        <v>926602</v>
      </c>
      <c r="N335" s="1">
        <v>2685</v>
      </c>
      <c r="O335" s="1">
        <v>213800.93</v>
      </c>
      <c r="P335" s="1">
        <v>2023</v>
      </c>
      <c r="Q335" s="1" t="s">
        <v>74</v>
      </c>
      <c r="R335" s="1" t="s">
        <v>33</v>
      </c>
    </row>
    <row r="336" spans="1:18" x14ac:dyDescent="0.35">
      <c r="A336" s="3" t="s">
        <v>100</v>
      </c>
      <c r="B336" s="3"/>
      <c r="C336" s="1" t="s">
        <v>35</v>
      </c>
      <c r="D336" s="1" t="s">
        <v>58</v>
      </c>
      <c r="E336" s="1" t="s">
        <v>37</v>
      </c>
      <c r="F336" s="1" t="s">
        <v>38</v>
      </c>
      <c r="G336" s="1" t="s">
        <v>31</v>
      </c>
      <c r="H336" s="2">
        <v>45199</v>
      </c>
      <c r="I336" s="2">
        <v>45256</v>
      </c>
      <c r="J336" s="1">
        <v>7969.58</v>
      </c>
      <c r="K336" s="1">
        <v>8.1000000000000003E-2</v>
      </c>
      <c r="L336" s="1">
        <v>645.54</v>
      </c>
      <c r="M336" s="1">
        <v>841131</v>
      </c>
      <c r="N336" s="1">
        <v>20259</v>
      </c>
      <c r="O336" s="1">
        <v>150785.79</v>
      </c>
      <c r="P336" s="1">
        <v>2023</v>
      </c>
      <c r="Q336" s="1" t="s">
        <v>74</v>
      </c>
      <c r="R336" s="1" t="s">
        <v>33</v>
      </c>
    </row>
    <row r="337" spans="1:18" x14ac:dyDescent="0.35">
      <c r="A337" s="3" t="s">
        <v>34</v>
      </c>
      <c r="B337" s="3"/>
      <c r="C337" s="1" t="s">
        <v>28</v>
      </c>
      <c r="D337" s="1" t="s">
        <v>29</v>
      </c>
      <c r="E337" s="1" t="s">
        <v>59</v>
      </c>
      <c r="F337" s="1" t="s">
        <v>38</v>
      </c>
      <c r="G337" s="1" t="s">
        <v>49</v>
      </c>
      <c r="H337" s="2">
        <v>45199</v>
      </c>
      <c r="I337" s="2">
        <v>45227</v>
      </c>
      <c r="J337" s="1">
        <v>36044.79</v>
      </c>
      <c r="K337" s="1">
        <v>0.50390000000000001</v>
      </c>
      <c r="L337" s="1">
        <v>18162.97</v>
      </c>
      <c r="M337" s="1">
        <v>670016</v>
      </c>
      <c r="N337" s="1">
        <v>43681</v>
      </c>
      <c r="O337" s="1">
        <v>65135.56</v>
      </c>
      <c r="P337" s="1">
        <v>2023</v>
      </c>
      <c r="Q337" s="1" t="s">
        <v>74</v>
      </c>
      <c r="R337" s="1" t="s">
        <v>33</v>
      </c>
    </row>
    <row r="338" spans="1:18" x14ac:dyDescent="0.35">
      <c r="A338" s="3" t="s">
        <v>115</v>
      </c>
      <c r="B338" s="3"/>
      <c r="C338" s="1" t="s">
        <v>28</v>
      </c>
      <c r="D338" s="1" t="s">
        <v>20</v>
      </c>
      <c r="E338" s="1" t="s">
        <v>59</v>
      </c>
      <c r="F338" s="1" t="s">
        <v>38</v>
      </c>
      <c r="G338" s="1" t="s">
        <v>23</v>
      </c>
      <c r="H338" s="2">
        <v>45201</v>
      </c>
      <c r="I338" s="2">
        <v>45255</v>
      </c>
      <c r="J338" s="1">
        <v>27612.2</v>
      </c>
      <c r="K338" s="1">
        <v>1.1892</v>
      </c>
      <c r="L338" s="1">
        <v>32836.43</v>
      </c>
      <c r="M338" s="1">
        <v>578373</v>
      </c>
      <c r="N338" s="1">
        <v>49696</v>
      </c>
      <c r="O338" s="1">
        <v>15194.58</v>
      </c>
      <c r="P338" s="1">
        <v>2023</v>
      </c>
      <c r="Q338" s="1" t="s">
        <v>24</v>
      </c>
      <c r="R338" s="1" t="s">
        <v>25</v>
      </c>
    </row>
    <row r="339" spans="1:18" x14ac:dyDescent="0.35">
      <c r="A339" s="3" t="s">
        <v>111</v>
      </c>
      <c r="B339" s="3"/>
      <c r="C339" s="1" t="s">
        <v>19</v>
      </c>
      <c r="D339" s="1" t="s">
        <v>36</v>
      </c>
      <c r="E339" s="1" t="s">
        <v>37</v>
      </c>
      <c r="F339" s="1" t="s">
        <v>38</v>
      </c>
      <c r="G339" s="1" t="s">
        <v>49</v>
      </c>
      <c r="H339" s="2">
        <v>45201</v>
      </c>
      <c r="I339" s="2">
        <v>45215</v>
      </c>
      <c r="J339" s="1">
        <v>19620</v>
      </c>
      <c r="K339" s="1">
        <v>0.94279999999999997</v>
      </c>
      <c r="L339" s="1">
        <v>18497.740000000002</v>
      </c>
      <c r="M339" s="1">
        <v>171771</v>
      </c>
      <c r="N339" s="1">
        <v>48574</v>
      </c>
      <c r="O339" s="1">
        <v>100457.38</v>
      </c>
      <c r="P339" s="1">
        <v>2023</v>
      </c>
      <c r="Q339" s="1" t="s">
        <v>24</v>
      </c>
      <c r="R339" s="1" t="s">
        <v>25</v>
      </c>
    </row>
    <row r="340" spans="1:18" x14ac:dyDescent="0.35">
      <c r="A340" s="3" t="s">
        <v>100</v>
      </c>
      <c r="B340" s="3"/>
      <c r="C340" s="1" t="s">
        <v>28</v>
      </c>
      <c r="D340" s="1" t="s">
        <v>58</v>
      </c>
      <c r="E340" s="1" t="s">
        <v>43</v>
      </c>
      <c r="F340" s="1" t="s">
        <v>38</v>
      </c>
      <c r="G340" s="1" t="s">
        <v>23</v>
      </c>
      <c r="H340" s="2">
        <v>45202</v>
      </c>
      <c r="I340" s="2">
        <v>45253</v>
      </c>
      <c r="J340" s="1">
        <v>21421.86</v>
      </c>
      <c r="K340" s="1">
        <v>0.7782</v>
      </c>
      <c r="L340" s="1">
        <v>16670.490000000002</v>
      </c>
      <c r="M340" s="1">
        <v>207064</v>
      </c>
      <c r="N340" s="1">
        <v>29048</v>
      </c>
      <c r="O340" s="1">
        <v>56790.67</v>
      </c>
      <c r="P340" s="1">
        <v>2023</v>
      </c>
      <c r="Q340" s="1" t="s">
        <v>24</v>
      </c>
      <c r="R340" s="1" t="s">
        <v>25</v>
      </c>
    </row>
    <row r="341" spans="1:18" x14ac:dyDescent="0.35">
      <c r="A341" s="3" t="s">
        <v>57</v>
      </c>
      <c r="B341" s="3"/>
      <c r="C341" s="1" t="s">
        <v>19</v>
      </c>
      <c r="D341" s="1" t="s">
        <v>29</v>
      </c>
      <c r="E341" s="1" t="s">
        <v>59</v>
      </c>
      <c r="F341" s="1" t="s">
        <v>38</v>
      </c>
      <c r="G341" s="1" t="s">
        <v>49</v>
      </c>
      <c r="H341" s="2">
        <v>45202</v>
      </c>
      <c r="I341" s="2">
        <v>45230</v>
      </c>
      <c r="J341" s="1">
        <v>1991.41</v>
      </c>
      <c r="K341" s="1">
        <v>0.98270000000000002</v>
      </c>
      <c r="L341" s="1">
        <v>1956.96</v>
      </c>
      <c r="M341" s="1">
        <v>327776</v>
      </c>
      <c r="N341" s="1">
        <v>20478</v>
      </c>
      <c r="O341" s="1">
        <v>73684.929999999993</v>
      </c>
      <c r="P341" s="1">
        <v>2023</v>
      </c>
      <c r="Q341" s="1" t="s">
        <v>24</v>
      </c>
      <c r="R341" s="1" t="s">
        <v>25</v>
      </c>
    </row>
    <row r="342" spans="1:18" x14ac:dyDescent="0.35">
      <c r="A342" s="3" t="s">
        <v>113</v>
      </c>
      <c r="B342" s="3"/>
      <c r="C342" s="1" t="s">
        <v>48</v>
      </c>
      <c r="D342" s="1" t="s">
        <v>20</v>
      </c>
      <c r="E342" s="1" t="s">
        <v>21</v>
      </c>
      <c r="F342" s="1" t="s">
        <v>30</v>
      </c>
      <c r="G342" s="1" t="s">
        <v>49</v>
      </c>
      <c r="H342" s="2">
        <v>45203</v>
      </c>
      <c r="I342" s="2">
        <v>45252</v>
      </c>
      <c r="J342" s="1">
        <v>9346.59</v>
      </c>
      <c r="K342" s="1">
        <v>0.1739</v>
      </c>
      <c r="L342" s="1">
        <v>1625.37</v>
      </c>
      <c r="M342" s="1">
        <v>493072</v>
      </c>
      <c r="N342" s="1">
        <v>7957</v>
      </c>
      <c r="O342" s="1">
        <v>35940.730000000003</v>
      </c>
      <c r="P342" s="1">
        <v>2023</v>
      </c>
      <c r="Q342" s="1" t="s">
        <v>24</v>
      </c>
      <c r="R342" s="1" t="s">
        <v>25</v>
      </c>
    </row>
    <row r="343" spans="1:18" x14ac:dyDescent="0.35">
      <c r="A343" s="3" t="s">
        <v>110</v>
      </c>
      <c r="B343" s="3"/>
      <c r="C343" s="1" t="s">
        <v>48</v>
      </c>
      <c r="D343" s="1" t="s">
        <v>20</v>
      </c>
      <c r="E343" s="1" t="s">
        <v>37</v>
      </c>
      <c r="F343" s="1" t="s">
        <v>38</v>
      </c>
      <c r="G343" s="1" t="s">
        <v>23</v>
      </c>
      <c r="H343" s="2">
        <v>45204</v>
      </c>
      <c r="I343" s="2">
        <v>45261</v>
      </c>
      <c r="J343" s="1">
        <v>4816.47</v>
      </c>
      <c r="K343" s="1">
        <v>0.4536</v>
      </c>
      <c r="L343" s="1">
        <v>2184.75</v>
      </c>
      <c r="M343" s="1">
        <v>536428</v>
      </c>
      <c r="N343" s="1">
        <v>44227</v>
      </c>
      <c r="O343" s="1">
        <v>225975.55</v>
      </c>
      <c r="P343" s="1">
        <v>2023</v>
      </c>
      <c r="Q343" s="1" t="s">
        <v>24</v>
      </c>
      <c r="R343" s="1" t="s">
        <v>25</v>
      </c>
    </row>
    <row r="344" spans="1:18" x14ac:dyDescent="0.35">
      <c r="A344" s="3" t="s">
        <v>87</v>
      </c>
      <c r="B344" s="3"/>
      <c r="C344" s="1" t="s">
        <v>35</v>
      </c>
      <c r="D344" s="1" t="s">
        <v>20</v>
      </c>
      <c r="E344" s="1" t="s">
        <v>63</v>
      </c>
      <c r="F344" s="1" t="s">
        <v>22</v>
      </c>
      <c r="G344" s="1" t="s">
        <v>23</v>
      </c>
      <c r="H344" s="2">
        <v>45205</v>
      </c>
      <c r="I344" s="2">
        <v>45242</v>
      </c>
      <c r="J344" s="1">
        <v>27459.1</v>
      </c>
      <c r="K344" s="1">
        <v>0.53090000000000004</v>
      </c>
      <c r="L344" s="1">
        <v>14578.04</v>
      </c>
      <c r="M344" s="1">
        <v>637086</v>
      </c>
      <c r="N344" s="1">
        <v>2712</v>
      </c>
      <c r="O344" s="1">
        <v>222908.61</v>
      </c>
      <c r="P344" s="1">
        <v>2023</v>
      </c>
      <c r="Q344" s="1" t="s">
        <v>24</v>
      </c>
      <c r="R344" s="1" t="s">
        <v>25</v>
      </c>
    </row>
    <row r="345" spans="1:18" x14ac:dyDescent="0.35">
      <c r="A345" s="3" t="s">
        <v>89</v>
      </c>
      <c r="B345" s="3"/>
      <c r="C345" s="1" t="s">
        <v>48</v>
      </c>
      <c r="D345" s="1" t="s">
        <v>29</v>
      </c>
      <c r="E345" s="1" t="s">
        <v>37</v>
      </c>
      <c r="F345" s="1" t="s">
        <v>38</v>
      </c>
      <c r="G345" s="1" t="s">
        <v>49</v>
      </c>
      <c r="H345" s="2">
        <v>45205</v>
      </c>
      <c r="I345" s="2">
        <v>45231</v>
      </c>
      <c r="J345" s="1">
        <v>16665.77</v>
      </c>
      <c r="K345" s="1">
        <v>0.65280000000000005</v>
      </c>
      <c r="L345" s="1">
        <v>10879.41</v>
      </c>
      <c r="M345" s="1">
        <v>155095</v>
      </c>
      <c r="N345" s="1">
        <v>9984</v>
      </c>
      <c r="O345" s="1">
        <v>61659.06</v>
      </c>
      <c r="P345" s="1">
        <v>2023</v>
      </c>
      <c r="Q345" s="1" t="s">
        <v>24</v>
      </c>
      <c r="R345" s="1" t="s">
        <v>25</v>
      </c>
    </row>
    <row r="346" spans="1:18" x14ac:dyDescent="0.35">
      <c r="A346" s="3" t="s">
        <v>83</v>
      </c>
      <c r="B346" s="3"/>
      <c r="C346" s="1" t="s">
        <v>28</v>
      </c>
      <c r="D346" s="1" t="s">
        <v>69</v>
      </c>
      <c r="E346" s="1" t="s">
        <v>37</v>
      </c>
      <c r="F346" s="1" t="s">
        <v>22</v>
      </c>
      <c r="G346" s="1" t="s">
        <v>49</v>
      </c>
      <c r="H346" s="2">
        <v>45205</v>
      </c>
      <c r="I346" s="2">
        <v>45228</v>
      </c>
      <c r="J346" s="1">
        <v>30636.66</v>
      </c>
      <c r="K346" s="1">
        <v>0.86399999999999999</v>
      </c>
      <c r="L346" s="1">
        <v>26470.07</v>
      </c>
      <c r="M346" s="1">
        <v>223487</v>
      </c>
      <c r="N346" s="1">
        <v>45155</v>
      </c>
      <c r="O346" s="1">
        <v>160388.29999999999</v>
      </c>
      <c r="P346" s="1">
        <v>2023</v>
      </c>
      <c r="Q346" s="1" t="s">
        <v>24</v>
      </c>
      <c r="R346" s="1" t="s">
        <v>25</v>
      </c>
    </row>
    <row r="347" spans="1:18" x14ac:dyDescent="0.35">
      <c r="A347" s="3" t="s">
        <v>72</v>
      </c>
      <c r="B347" s="3"/>
      <c r="C347" s="1" t="s">
        <v>28</v>
      </c>
      <c r="D347" s="1" t="s">
        <v>69</v>
      </c>
      <c r="E347" s="1" t="s">
        <v>43</v>
      </c>
      <c r="F347" s="1" t="s">
        <v>22</v>
      </c>
      <c r="G347" s="1" t="s">
        <v>23</v>
      </c>
      <c r="H347" s="2">
        <v>45207</v>
      </c>
      <c r="I347" s="2">
        <v>45256</v>
      </c>
      <c r="J347" s="1">
        <v>37522.61</v>
      </c>
      <c r="K347" s="1">
        <v>0.95530000000000004</v>
      </c>
      <c r="L347" s="1">
        <v>35845.35</v>
      </c>
      <c r="M347" s="1">
        <v>199893</v>
      </c>
      <c r="N347" s="1">
        <v>25263</v>
      </c>
      <c r="O347" s="1">
        <v>123626.91</v>
      </c>
      <c r="P347" s="1">
        <v>2023</v>
      </c>
      <c r="Q347" s="1" t="s">
        <v>24</v>
      </c>
      <c r="R347" s="1" t="s">
        <v>25</v>
      </c>
    </row>
    <row r="348" spans="1:18" x14ac:dyDescent="0.35">
      <c r="A348" s="3" t="s">
        <v>108</v>
      </c>
      <c r="B348" s="3"/>
      <c r="C348" s="1" t="s">
        <v>48</v>
      </c>
      <c r="D348" s="1" t="s">
        <v>58</v>
      </c>
      <c r="E348" s="1" t="s">
        <v>21</v>
      </c>
      <c r="F348" s="1" t="s">
        <v>30</v>
      </c>
      <c r="G348" s="1" t="s">
        <v>23</v>
      </c>
      <c r="H348" s="2">
        <v>45207</v>
      </c>
      <c r="I348" s="2">
        <v>45252</v>
      </c>
      <c r="J348" s="1">
        <v>27349.14</v>
      </c>
      <c r="K348" s="1">
        <v>0.80330000000000001</v>
      </c>
      <c r="L348" s="1">
        <v>21969.56</v>
      </c>
      <c r="M348" s="1">
        <v>79986</v>
      </c>
      <c r="N348" s="1">
        <v>45847</v>
      </c>
      <c r="O348" s="1">
        <v>183001.75</v>
      </c>
      <c r="P348" s="1">
        <v>2023</v>
      </c>
      <c r="Q348" s="1" t="s">
        <v>24</v>
      </c>
      <c r="R348" s="1" t="s">
        <v>25</v>
      </c>
    </row>
    <row r="349" spans="1:18" x14ac:dyDescent="0.35">
      <c r="A349" s="3" t="s">
        <v>91</v>
      </c>
      <c r="B349" s="3"/>
      <c r="C349" s="1" t="s">
        <v>28</v>
      </c>
      <c r="D349" s="1" t="s">
        <v>58</v>
      </c>
      <c r="E349" s="1" t="s">
        <v>43</v>
      </c>
      <c r="F349" s="1" t="s">
        <v>38</v>
      </c>
      <c r="G349" s="1" t="s">
        <v>52</v>
      </c>
      <c r="H349" s="2">
        <v>45207</v>
      </c>
      <c r="I349" s="2">
        <v>45242</v>
      </c>
      <c r="J349" s="1">
        <v>10762.64</v>
      </c>
      <c r="K349" s="1">
        <v>0.11940000000000001</v>
      </c>
      <c r="L349" s="1">
        <v>1285.06</v>
      </c>
      <c r="M349" s="1">
        <v>752479</v>
      </c>
      <c r="N349" s="1">
        <v>36242</v>
      </c>
      <c r="O349" s="1">
        <v>164721.51</v>
      </c>
      <c r="P349" s="1">
        <v>2023</v>
      </c>
      <c r="Q349" s="1" t="s">
        <v>24</v>
      </c>
      <c r="R349" s="1" t="s">
        <v>25</v>
      </c>
    </row>
    <row r="350" spans="1:18" x14ac:dyDescent="0.35">
      <c r="A350" s="3" t="s">
        <v>97</v>
      </c>
      <c r="B350" s="3"/>
      <c r="C350" s="1" t="s">
        <v>28</v>
      </c>
      <c r="D350" s="1" t="s">
        <v>36</v>
      </c>
      <c r="E350" s="1" t="s">
        <v>59</v>
      </c>
      <c r="F350" s="1" t="s">
        <v>38</v>
      </c>
      <c r="G350" s="1" t="s">
        <v>44</v>
      </c>
      <c r="H350" s="2">
        <v>45207</v>
      </c>
      <c r="I350" s="2">
        <v>45241</v>
      </c>
      <c r="J350" s="1">
        <v>10930.67</v>
      </c>
      <c r="K350" s="1">
        <v>0.32450000000000001</v>
      </c>
      <c r="L350" s="1">
        <v>3547</v>
      </c>
      <c r="M350" s="1">
        <v>697919</v>
      </c>
      <c r="N350" s="1">
        <v>37861</v>
      </c>
      <c r="O350" s="1">
        <v>120493.09</v>
      </c>
      <c r="P350" s="1">
        <v>2023</v>
      </c>
      <c r="Q350" s="1" t="s">
        <v>24</v>
      </c>
      <c r="R350" s="1" t="s">
        <v>25</v>
      </c>
    </row>
    <row r="351" spans="1:18" x14ac:dyDescent="0.35">
      <c r="A351" s="3" t="s">
        <v>34</v>
      </c>
      <c r="B351" s="3"/>
      <c r="C351" s="1" t="s">
        <v>28</v>
      </c>
      <c r="D351" s="1" t="s">
        <v>36</v>
      </c>
      <c r="E351" s="1" t="s">
        <v>37</v>
      </c>
      <c r="F351" s="1" t="s">
        <v>30</v>
      </c>
      <c r="G351" s="1" t="s">
        <v>31</v>
      </c>
      <c r="H351" s="2">
        <v>45207</v>
      </c>
      <c r="I351" s="2">
        <v>45214</v>
      </c>
      <c r="J351" s="1">
        <v>48740.45</v>
      </c>
      <c r="K351" s="1">
        <v>0.66849999999999998</v>
      </c>
      <c r="L351" s="1">
        <v>32582.99</v>
      </c>
      <c r="M351" s="1">
        <v>741295</v>
      </c>
      <c r="N351" s="1">
        <v>8375</v>
      </c>
      <c r="O351" s="1">
        <v>161278.07</v>
      </c>
      <c r="P351" s="1">
        <v>2023</v>
      </c>
      <c r="Q351" s="1" t="s">
        <v>24</v>
      </c>
      <c r="R351" s="1" t="s">
        <v>25</v>
      </c>
    </row>
    <row r="352" spans="1:18" x14ac:dyDescent="0.35">
      <c r="A352" s="3" t="s">
        <v>85</v>
      </c>
      <c r="B352" s="3"/>
      <c r="C352" s="1" t="s">
        <v>19</v>
      </c>
      <c r="D352" s="1" t="s">
        <v>36</v>
      </c>
      <c r="E352" s="1" t="s">
        <v>43</v>
      </c>
      <c r="F352" s="1" t="s">
        <v>30</v>
      </c>
      <c r="G352" s="1" t="s">
        <v>44</v>
      </c>
      <c r="H352" s="2">
        <v>45210</v>
      </c>
      <c r="I352" s="2">
        <v>45249</v>
      </c>
      <c r="J352" s="1">
        <v>16638.34</v>
      </c>
      <c r="K352" s="1">
        <v>0.53490000000000004</v>
      </c>
      <c r="L352" s="1">
        <v>8899.85</v>
      </c>
      <c r="M352" s="1">
        <v>133365</v>
      </c>
      <c r="N352" s="1">
        <v>17968</v>
      </c>
      <c r="O352" s="1">
        <v>41583.58</v>
      </c>
      <c r="P352" s="1">
        <v>2023</v>
      </c>
      <c r="Q352" s="1" t="s">
        <v>24</v>
      </c>
      <c r="R352" s="1" t="s">
        <v>25</v>
      </c>
    </row>
    <row r="353" spans="1:18" x14ac:dyDescent="0.35">
      <c r="A353" s="3" t="s">
        <v>93</v>
      </c>
      <c r="B353" s="3"/>
      <c r="C353" s="1" t="s">
        <v>28</v>
      </c>
      <c r="D353" s="1" t="s">
        <v>20</v>
      </c>
      <c r="E353" s="1" t="s">
        <v>51</v>
      </c>
      <c r="F353" s="1" t="s">
        <v>30</v>
      </c>
      <c r="G353" s="1" t="s">
        <v>31</v>
      </c>
      <c r="H353" s="2">
        <v>45210</v>
      </c>
      <c r="I353" s="2">
        <v>45218</v>
      </c>
      <c r="J353" s="1">
        <v>4105.09</v>
      </c>
      <c r="K353" s="1">
        <v>0.42080000000000001</v>
      </c>
      <c r="L353" s="1">
        <v>1727.42</v>
      </c>
      <c r="M353" s="1">
        <v>519845</v>
      </c>
      <c r="N353" s="1">
        <v>32963</v>
      </c>
      <c r="O353" s="1">
        <v>134037.24</v>
      </c>
      <c r="P353" s="1">
        <v>2023</v>
      </c>
      <c r="Q353" s="1" t="s">
        <v>24</v>
      </c>
      <c r="R353" s="1" t="s">
        <v>25</v>
      </c>
    </row>
    <row r="354" spans="1:18" x14ac:dyDescent="0.35">
      <c r="A354" s="3" t="s">
        <v>108</v>
      </c>
      <c r="B354" s="3"/>
      <c r="C354" s="1" t="s">
        <v>28</v>
      </c>
      <c r="D354" s="1" t="s">
        <v>20</v>
      </c>
      <c r="E354" s="1" t="s">
        <v>37</v>
      </c>
      <c r="F354" s="1" t="s">
        <v>22</v>
      </c>
      <c r="G354" s="1" t="s">
        <v>52</v>
      </c>
      <c r="H354" s="2">
        <v>45210</v>
      </c>
      <c r="I354" s="2">
        <v>45215</v>
      </c>
      <c r="J354" s="1">
        <v>49105.93</v>
      </c>
      <c r="K354" s="1">
        <v>0.43569999999999998</v>
      </c>
      <c r="L354" s="1">
        <v>21395.45</v>
      </c>
      <c r="M354" s="1">
        <v>907412</v>
      </c>
      <c r="N354" s="1">
        <v>33078</v>
      </c>
      <c r="O354" s="1">
        <v>56641.13</v>
      </c>
      <c r="P354" s="1">
        <v>2023</v>
      </c>
      <c r="Q354" s="1" t="s">
        <v>24</v>
      </c>
      <c r="R354" s="1" t="s">
        <v>25</v>
      </c>
    </row>
    <row r="355" spans="1:18" x14ac:dyDescent="0.35">
      <c r="A355" s="3" t="s">
        <v>75</v>
      </c>
      <c r="B355" s="3"/>
      <c r="C355" s="1" t="s">
        <v>19</v>
      </c>
      <c r="D355" s="1" t="s">
        <v>69</v>
      </c>
      <c r="E355" s="1" t="s">
        <v>51</v>
      </c>
      <c r="F355" s="1" t="s">
        <v>38</v>
      </c>
      <c r="G355" s="1" t="s">
        <v>52</v>
      </c>
      <c r="H355" s="2">
        <v>45211</v>
      </c>
      <c r="I355" s="2">
        <v>45221</v>
      </c>
      <c r="J355" s="1">
        <v>16185.44</v>
      </c>
      <c r="K355" s="1">
        <v>0.61850000000000005</v>
      </c>
      <c r="L355" s="1">
        <v>10010.69</v>
      </c>
      <c r="M355" s="1">
        <v>223068</v>
      </c>
      <c r="N355" s="1">
        <v>10282</v>
      </c>
      <c r="O355" s="1">
        <v>136415.59</v>
      </c>
      <c r="P355" s="1">
        <v>2023</v>
      </c>
      <c r="Q355" s="1" t="s">
        <v>24</v>
      </c>
      <c r="R355" s="1" t="s">
        <v>25</v>
      </c>
    </row>
    <row r="356" spans="1:18" x14ac:dyDescent="0.35">
      <c r="A356" s="3" t="s">
        <v>84</v>
      </c>
      <c r="B356" s="3"/>
      <c r="C356" s="1" t="s">
        <v>48</v>
      </c>
      <c r="D356" s="1" t="s">
        <v>36</v>
      </c>
      <c r="E356" s="1" t="s">
        <v>63</v>
      </c>
      <c r="F356" s="1" t="s">
        <v>30</v>
      </c>
      <c r="G356" s="1" t="s">
        <v>52</v>
      </c>
      <c r="H356" s="2">
        <v>45213</v>
      </c>
      <c r="I356" s="2">
        <v>45223</v>
      </c>
      <c r="J356" s="1">
        <v>10974.19</v>
      </c>
      <c r="K356" s="1">
        <v>0.17319999999999999</v>
      </c>
      <c r="L356" s="1">
        <v>1900.73</v>
      </c>
      <c r="M356" s="1">
        <v>556302</v>
      </c>
      <c r="N356" s="1">
        <v>15208</v>
      </c>
      <c r="O356" s="1">
        <v>79710.100000000006</v>
      </c>
      <c r="P356" s="1">
        <v>2023</v>
      </c>
      <c r="Q356" s="1" t="s">
        <v>24</v>
      </c>
      <c r="R356" s="1" t="s">
        <v>25</v>
      </c>
    </row>
    <row r="357" spans="1:18" x14ac:dyDescent="0.35">
      <c r="A357" s="3" t="s">
        <v>100</v>
      </c>
      <c r="B357" s="3"/>
      <c r="C357" s="1" t="s">
        <v>28</v>
      </c>
      <c r="D357" s="1" t="s">
        <v>36</v>
      </c>
      <c r="E357" s="1" t="s">
        <v>63</v>
      </c>
      <c r="F357" s="1" t="s">
        <v>30</v>
      </c>
      <c r="G357" s="1" t="s">
        <v>44</v>
      </c>
      <c r="H357" s="2">
        <v>45214</v>
      </c>
      <c r="I357" s="2">
        <v>45250</v>
      </c>
      <c r="J357" s="1">
        <v>45320.87</v>
      </c>
      <c r="K357" s="1">
        <v>0.85129999999999995</v>
      </c>
      <c r="L357" s="1">
        <v>38581.660000000003</v>
      </c>
      <c r="M357" s="1">
        <v>229242</v>
      </c>
      <c r="N357" s="1">
        <v>567</v>
      </c>
      <c r="O357" s="1">
        <v>53041.26</v>
      </c>
      <c r="P357" s="1">
        <v>2023</v>
      </c>
      <c r="Q357" s="1" t="s">
        <v>24</v>
      </c>
      <c r="R357" s="1" t="s">
        <v>25</v>
      </c>
    </row>
    <row r="358" spans="1:18" x14ac:dyDescent="0.35">
      <c r="A358" s="3" t="s">
        <v>62</v>
      </c>
      <c r="B358" s="3"/>
      <c r="C358" s="1" t="s">
        <v>35</v>
      </c>
      <c r="D358" s="1" t="s">
        <v>20</v>
      </c>
      <c r="E358" s="1" t="s">
        <v>59</v>
      </c>
      <c r="F358" s="1" t="s">
        <v>30</v>
      </c>
      <c r="G358" s="1" t="s">
        <v>44</v>
      </c>
      <c r="H358" s="2">
        <v>45214</v>
      </c>
      <c r="I358" s="2">
        <v>45227</v>
      </c>
      <c r="J358" s="1">
        <v>6444.35</v>
      </c>
      <c r="K358" s="1">
        <v>0.56399999999999995</v>
      </c>
      <c r="L358" s="1">
        <v>3634.61</v>
      </c>
      <c r="M358" s="1">
        <v>448539</v>
      </c>
      <c r="N358" s="1">
        <v>11319</v>
      </c>
      <c r="O358" s="1">
        <v>191283.20000000001</v>
      </c>
      <c r="P358" s="1">
        <v>2023</v>
      </c>
      <c r="Q358" s="1" t="s">
        <v>24</v>
      </c>
      <c r="R358" s="1" t="s">
        <v>25</v>
      </c>
    </row>
    <row r="359" spans="1:18" x14ac:dyDescent="0.35">
      <c r="A359" s="3" t="s">
        <v>109</v>
      </c>
      <c r="B359" s="3"/>
      <c r="C359" s="1" t="s">
        <v>19</v>
      </c>
      <c r="D359" s="1" t="s">
        <v>69</v>
      </c>
      <c r="E359" s="1" t="s">
        <v>43</v>
      </c>
      <c r="F359" s="1" t="s">
        <v>30</v>
      </c>
      <c r="G359" s="1" t="s">
        <v>23</v>
      </c>
      <c r="H359" s="2">
        <v>45216</v>
      </c>
      <c r="I359" s="2">
        <v>45270</v>
      </c>
      <c r="J359" s="1">
        <v>18082.16</v>
      </c>
      <c r="K359" s="1">
        <v>0.69389999999999996</v>
      </c>
      <c r="L359" s="1">
        <v>12547.21</v>
      </c>
      <c r="M359" s="1">
        <v>542623</v>
      </c>
      <c r="N359" s="1">
        <v>6845</v>
      </c>
      <c r="O359" s="1">
        <v>104393.07</v>
      </c>
      <c r="P359" s="1">
        <v>2023</v>
      </c>
      <c r="Q359" s="1" t="s">
        <v>24</v>
      </c>
      <c r="R359" s="1" t="s">
        <v>25</v>
      </c>
    </row>
    <row r="360" spans="1:18" x14ac:dyDescent="0.35">
      <c r="A360" s="3" t="s">
        <v>108</v>
      </c>
      <c r="B360" s="3"/>
      <c r="C360" s="1" t="s">
        <v>48</v>
      </c>
      <c r="D360" s="1" t="s">
        <v>69</v>
      </c>
      <c r="E360" s="1" t="s">
        <v>51</v>
      </c>
      <c r="F360" s="1" t="s">
        <v>38</v>
      </c>
      <c r="G360" s="1" t="s">
        <v>52</v>
      </c>
      <c r="H360" s="2">
        <v>45216</v>
      </c>
      <c r="I360" s="2">
        <v>45237</v>
      </c>
      <c r="J360" s="1">
        <v>31033.65</v>
      </c>
      <c r="K360" s="1">
        <v>0.9163</v>
      </c>
      <c r="L360" s="1">
        <v>28436.13</v>
      </c>
      <c r="M360" s="1">
        <v>286570</v>
      </c>
      <c r="N360" s="1">
        <v>33980</v>
      </c>
      <c r="O360" s="1">
        <v>81687.53</v>
      </c>
      <c r="P360" s="1">
        <v>2023</v>
      </c>
      <c r="Q360" s="1" t="s">
        <v>24</v>
      </c>
      <c r="R360" s="1" t="s">
        <v>25</v>
      </c>
    </row>
    <row r="361" spans="1:18" x14ac:dyDescent="0.35">
      <c r="A361" s="3" t="s">
        <v>82</v>
      </c>
      <c r="B361" s="3"/>
      <c r="C361" s="1" t="s">
        <v>35</v>
      </c>
      <c r="D361" s="1" t="s">
        <v>20</v>
      </c>
      <c r="E361" s="1" t="s">
        <v>59</v>
      </c>
      <c r="F361" s="1" t="s">
        <v>30</v>
      </c>
      <c r="G361" s="1" t="s">
        <v>44</v>
      </c>
      <c r="H361" s="2">
        <v>45218</v>
      </c>
      <c r="I361" s="2">
        <v>45262</v>
      </c>
      <c r="J361" s="1">
        <v>4420.6400000000003</v>
      </c>
      <c r="K361" s="1">
        <v>0.24030000000000001</v>
      </c>
      <c r="L361" s="1">
        <v>1062.28</v>
      </c>
      <c r="M361" s="1">
        <v>519462</v>
      </c>
      <c r="N361" s="1">
        <v>29633</v>
      </c>
      <c r="O361" s="1">
        <v>85444.79</v>
      </c>
      <c r="P361" s="1">
        <v>2023</v>
      </c>
      <c r="Q361" s="1" t="s">
        <v>24</v>
      </c>
      <c r="R361" s="1" t="s">
        <v>25</v>
      </c>
    </row>
    <row r="362" spans="1:18" x14ac:dyDescent="0.35">
      <c r="A362" s="3" t="s">
        <v>62</v>
      </c>
      <c r="B362" s="3"/>
      <c r="C362" s="1" t="s">
        <v>48</v>
      </c>
      <c r="D362" s="1" t="s">
        <v>69</v>
      </c>
      <c r="E362" s="1" t="s">
        <v>37</v>
      </c>
      <c r="F362" s="1" t="s">
        <v>30</v>
      </c>
      <c r="G362" s="1" t="s">
        <v>31</v>
      </c>
      <c r="H362" s="2">
        <v>45218</v>
      </c>
      <c r="I362" s="2">
        <v>45261</v>
      </c>
      <c r="J362" s="1">
        <v>1798.82</v>
      </c>
      <c r="K362" s="1">
        <v>0.17080000000000001</v>
      </c>
      <c r="L362" s="1">
        <v>307.24</v>
      </c>
      <c r="M362" s="1">
        <v>943572</v>
      </c>
      <c r="N362" s="1">
        <v>19881</v>
      </c>
      <c r="O362" s="1">
        <v>6609.36</v>
      </c>
      <c r="P362" s="1">
        <v>2023</v>
      </c>
      <c r="Q362" s="1" t="s">
        <v>24</v>
      </c>
      <c r="R362" s="1" t="s">
        <v>25</v>
      </c>
    </row>
    <row r="363" spans="1:18" x14ac:dyDescent="0.35">
      <c r="A363" s="3" t="s">
        <v>87</v>
      </c>
      <c r="B363" s="3"/>
      <c r="C363" s="1" t="s">
        <v>48</v>
      </c>
      <c r="D363" s="1" t="s">
        <v>58</v>
      </c>
      <c r="E363" s="1" t="s">
        <v>43</v>
      </c>
      <c r="F363" s="1" t="s">
        <v>38</v>
      </c>
      <c r="G363" s="1" t="s">
        <v>44</v>
      </c>
      <c r="H363" s="2">
        <v>45219</v>
      </c>
      <c r="I363" s="2">
        <v>45244</v>
      </c>
      <c r="J363" s="1">
        <v>19819.32</v>
      </c>
      <c r="K363" s="1">
        <v>0.91120000000000001</v>
      </c>
      <c r="L363" s="1">
        <v>18059.36</v>
      </c>
      <c r="M363" s="1">
        <v>160152</v>
      </c>
      <c r="N363" s="1">
        <v>2848</v>
      </c>
      <c r="O363" s="1">
        <v>204426.86</v>
      </c>
      <c r="P363" s="1">
        <v>2023</v>
      </c>
      <c r="Q363" s="1" t="s">
        <v>24</v>
      </c>
      <c r="R363" s="1" t="s">
        <v>25</v>
      </c>
    </row>
    <row r="364" spans="1:18" x14ac:dyDescent="0.35">
      <c r="A364" s="3" t="s">
        <v>67</v>
      </c>
      <c r="B364" s="3"/>
      <c r="C364" s="1" t="s">
        <v>48</v>
      </c>
      <c r="D364" s="1" t="s">
        <v>69</v>
      </c>
      <c r="E364" s="1" t="s">
        <v>43</v>
      </c>
      <c r="F364" s="1" t="s">
        <v>22</v>
      </c>
      <c r="G364" s="1" t="s">
        <v>44</v>
      </c>
      <c r="H364" s="2">
        <v>45221</v>
      </c>
      <c r="I364" s="2">
        <v>45254</v>
      </c>
      <c r="J364" s="1">
        <v>44161.48</v>
      </c>
      <c r="K364" s="1">
        <v>0.58679999999999999</v>
      </c>
      <c r="L364" s="1">
        <v>25913.96</v>
      </c>
      <c r="M364" s="1">
        <v>40271</v>
      </c>
      <c r="N364" s="1">
        <v>41389</v>
      </c>
      <c r="O364" s="1">
        <v>154173.56</v>
      </c>
      <c r="P364" s="1">
        <v>2023</v>
      </c>
      <c r="Q364" s="1" t="s">
        <v>24</v>
      </c>
      <c r="R364" s="1" t="s">
        <v>25</v>
      </c>
    </row>
    <row r="365" spans="1:18" x14ac:dyDescent="0.35">
      <c r="A365" s="3" t="s">
        <v>95</v>
      </c>
      <c r="B365" s="3"/>
      <c r="C365" s="1" t="s">
        <v>48</v>
      </c>
      <c r="D365" s="1" t="s">
        <v>69</v>
      </c>
      <c r="E365" s="1" t="s">
        <v>37</v>
      </c>
      <c r="F365" s="1" t="s">
        <v>38</v>
      </c>
      <c r="G365" s="1" t="s">
        <v>23</v>
      </c>
      <c r="H365" s="2">
        <v>45221</v>
      </c>
      <c r="I365" s="2">
        <v>45233</v>
      </c>
      <c r="J365" s="1">
        <v>29100.36</v>
      </c>
      <c r="K365" s="1">
        <v>0.65639999999999998</v>
      </c>
      <c r="L365" s="1">
        <v>19101.48</v>
      </c>
      <c r="M365" s="1">
        <v>949272</v>
      </c>
      <c r="N365" s="1">
        <v>25956</v>
      </c>
      <c r="O365" s="1">
        <v>205502.48</v>
      </c>
      <c r="P365" s="1">
        <v>2023</v>
      </c>
      <c r="Q365" s="1" t="s">
        <v>24</v>
      </c>
      <c r="R365" s="1" t="s">
        <v>25</v>
      </c>
    </row>
    <row r="366" spans="1:18" x14ac:dyDescent="0.35">
      <c r="A366" s="3" t="s">
        <v>88</v>
      </c>
      <c r="B366" s="3"/>
      <c r="C366" s="1" t="s">
        <v>35</v>
      </c>
      <c r="D366" s="1" t="s">
        <v>69</v>
      </c>
      <c r="E366" s="1" t="s">
        <v>37</v>
      </c>
      <c r="F366" s="1" t="s">
        <v>38</v>
      </c>
      <c r="G366" s="1" t="s">
        <v>44</v>
      </c>
      <c r="H366" s="2">
        <v>45222</v>
      </c>
      <c r="I366" s="2">
        <v>45269</v>
      </c>
      <c r="J366" s="1">
        <v>47314.48</v>
      </c>
      <c r="K366" s="1">
        <v>0.97809999999999997</v>
      </c>
      <c r="L366" s="1">
        <v>46278.29</v>
      </c>
      <c r="M366" s="1">
        <v>586818</v>
      </c>
      <c r="N366" s="1">
        <v>2504</v>
      </c>
      <c r="O366" s="1">
        <v>116432.35</v>
      </c>
      <c r="P366" s="1">
        <v>2023</v>
      </c>
      <c r="Q366" s="1" t="s">
        <v>24</v>
      </c>
      <c r="R366" s="1" t="s">
        <v>25</v>
      </c>
    </row>
    <row r="367" spans="1:18" x14ac:dyDescent="0.35">
      <c r="A367" s="3" t="s">
        <v>66</v>
      </c>
      <c r="B367" s="3"/>
      <c r="C367" s="1" t="s">
        <v>35</v>
      </c>
      <c r="D367" s="1" t="s">
        <v>20</v>
      </c>
      <c r="E367" s="1" t="s">
        <v>43</v>
      </c>
      <c r="F367" s="1" t="s">
        <v>30</v>
      </c>
      <c r="G367" s="1" t="s">
        <v>52</v>
      </c>
      <c r="H367" s="2">
        <v>45222</v>
      </c>
      <c r="I367" s="2">
        <v>45234</v>
      </c>
      <c r="J367" s="1">
        <v>48504.02</v>
      </c>
      <c r="K367" s="1">
        <v>0.60370000000000001</v>
      </c>
      <c r="L367" s="1">
        <v>29281.88</v>
      </c>
      <c r="M367" s="1">
        <v>728826</v>
      </c>
      <c r="N367" s="1">
        <v>9742</v>
      </c>
      <c r="O367" s="1">
        <v>119247.78</v>
      </c>
      <c r="P367" s="1">
        <v>2023</v>
      </c>
      <c r="Q367" s="1" t="s">
        <v>24</v>
      </c>
      <c r="R367" s="1" t="s">
        <v>25</v>
      </c>
    </row>
    <row r="368" spans="1:18" x14ac:dyDescent="0.35">
      <c r="A368" s="3" t="s">
        <v>42</v>
      </c>
      <c r="B368" s="3"/>
      <c r="C368" s="1" t="s">
        <v>28</v>
      </c>
      <c r="D368" s="1" t="s">
        <v>69</v>
      </c>
      <c r="E368" s="1" t="s">
        <v>51</v>
      </c>
      <c r="F368" s="1" t="s">
        <v>22</v>
      </c>
      <c r="G368" s="1" t="s">
        <v>49</v>
      </c>
      <c r="H368" s="2">
        <v>45223</v>
      </c>
      <c r="I368" s="2">
        <v>45276</v>
      </c>
      <c r="J368" s="1">
        <v>49053.8</v>
      </c>
      <c r="K368" s="1">
        <v>0.69269999999999998</v>
      </c>
      <c r="L368" s="1">
        <v>33979.57</v>
      </c>
      <c r="M368" s="1">
        <v>164228</v>
      </c>
      <c r="N368" s="1">
        <v>37143</v>
      </c>
      <c r="O368" s="1">
        <v>183493.23</v>
      </c>
      <c r="P368" s="1">
        <v>2023</v>
      </c>
      <c r="Q368" s="1" t="s">
        <v>24</v>
      </c>
      <c r="R368" s="1" t="s">
        <v>25</v>
      </c>
    </row>
    <row r="369" spans="1:18" x14ac:dyDescent="0.35">
      <c r="A369" s="3" t="s">
        <v>106</v>
      </c>
      <c r="B369" s="3"/>
      <c r="C369" s="1" t="s">
        <v>28</v>
      </c>
      <c r="D369" s="1" t="s">
        <v>36</v>
      </c>
      <c r="E369" s="1" t="s">
        <v>63</v>
      </c>
      <c r="F369" s="1" t="s">
        <v>30</v>
      </c>
      <c r="G369" s="1" t="s">
        <v>52</v>
      </c>
      <c r="H369" s="2">
        <v>45223</v>
      </c>
      <c r="I369" s="2">
        <v>45264</v>
      </c>
      <c r="J369" s="1">
        <v>14099.81</v>
      </c>
      <c r="K369" s="1">
        <v>1.0309999999999999</v>
      </c>
      <c r="L369" s="1">
        <v>14536.9</v>
      </c>
      <c r="M369" s="1">
        <v>953881</v>
      </c>
      <c r="N369" s="1">
        <v>44618</v>
      </c>
      <c r="O369" s="1">
        <v>204719.32</v>
      </c>
      <c r="P369" s="1">
        <v>2023</v>
      </c>
      <c r="Q369" s="1" t="s">
        <v>24</v>
      </c>
      <c r="R369" s="1" t="s">
        <v>25</v>
      </c>
    </row>
    <row r="370" spans="1:18" x14ac:dyDescent="0.35">
      <c r="A370" s="3" t="s">
        <v>102</v>
      </c>
      <c r="B370" s="3"/>
      <c r="C370" s="1" t="s">
        <v>35</v>
      </c>
      <c r="D370" s="1" t="s">
        <v>29</v>
      </c>
      <c r="E370" s="1" t="s">
        <v>51</v>
      </c>
      <c r="F370" s="1" t="s">
        <v>30</v>
      </c>
      <c r="G370" s="1" t="s">
        <v>52</v>
      </c>
      <c r="H370" s="2">
        <v>45224</v>
      </c>
      <c r="I370" s="2">
        <v>45271</v>
      </c>
      <c r="J370" s="1">
        <v>4300.78</v>
      </c>
      <c r="K370" s="1">
        <v>0.12690000000000001</v>
      </c>
      <c r="L370" s="1">
        <v>545.77</v>
      </c>
      <c r="M370" s="1">
        <v>770835</v>
      </c>
      <c r="N370" s="1">
        <v>38149</v>
      </c>
      <c r="O370" s="1">
        <v>124361.65</v>
      </c>
      <c r="P370" s="1">
        <v>2023</v>
      </c>
      <c r="Q370" s="1" t="s">
        <v>24</v>
      </c>
      <c r="R370" s="1" t="s">
        <v>25</v>
      </c>
    </row>
    <row r="371" spans="1:18" x14ac:dyDescent="0.35">
      <c r="A371" s="3" t="s">
        <v>106</v>
      </c>
      <c r="B371" s="3"/>
      <c r="C371" s="1" t="s">
        <v>35</v>
      </c>
      <c r="D371" s="1" t="s">
        <v>29</v>
      </c>
      <c r="E371" s="1" t="s">
        <v>43</v>
      </c>
      <c r="F371" s="1" t="s">
        <v>38</v>
      </c>
      <c r="G371" s="1" t="s">
        <v>31</v>
      </c>
      <c r="H371" s="2">
        <v>45224</v>
      </c>
      <c r="I371" s="2">
        <v>45258</v>
      </c>
      <c r="J371" s="1">
        <v>22430.42</v>
      </c>
      <c r="K371" s="1">
        <v>1.0895999999999999</v>
      </c>
      <c r="L371" s="1">
        <v>24440.19</v>
      </c>
      <c r="M371" s="1">
        <v>510811</v>
      </c>
      <c r="N371" s="1">
        <v>19786</v>
      </c>
      <c r="O371" s="1">
        <v>41408.6</v>
      </c>
      <c r="P371" s="1">
        <v>2023</v>
      </c>
      <c r="Q371" s="1" t="s">
        <v>24</v>
      </c>
      <c r="R371" s="1" t="s">
        <v>25</v>
      </c>
    </row>
    <row r="372" spans="1:18" x14ac:dyDescent="0.35">
      <c r="A372" s="3" t="s">
        <v>95</v>
      </c>
      <c r="B372" s="3"/>
      <c r="C372" s="1" t="s">
        <v>35</v>
      </c>
      <c r="D372" s="1" t="s">
        <v>69</v>
      </c>
      <c r="E372" s="1" t="s">
        <v>51</v>
      </c>
      <c r="F372" s="1" t="s">
        <v>38</v>
      </c>
      <c r="G372" s="1" t="s">
        <v>49</v>
      </c>
      <c r="H372" s="2">
        <v>45224</v>
      </c>
      <c r="I372" s="2">
        <v>45246</v>
      </c>
      <c r="J372" s="1">
        <v>25866.880000000001</v>
      </c>
      <c r="K372" s="1">
        <v>1.0689</v>
      </c>
      <c r="L372" s="1">
        <v>27649.11</v>
      </c>
      <c r="M372" s="1">
        <v>830854</v>
      </c>
      <c r="N372" s="1">
        <v>26904</v>
      </c>
      <c r="O372" s="1">
        <v>19896.8</v>
      </c>
      <c r="P372" s="1">
        <v>2023</v>
      </c>
      <c r="Q372" s="1" t="s">
        <v>24</v>
      </c>
      <c r="R372" s="1" t="s">
        <v>25</v>
      </c>
    </row>
    <row r="373" spans="1:18" x14ac:dyDescent="0.35">
      <c r="A373" s="3" t="s">
        <v>68</v>
      </c>
      <c r="B373" s="3"/>
      <c r="C373" s="1" t="s">
        <v>35</v>
      </c>
      <c r="D373" s="1" t="s">
        <v>20</v>
      </c>
      <c r="E373" s="1" t="s">
        <v>37</v>
      </c>
      <c r="F373" s="1" t="s">
        <v>30</v>
      </c>
      <c r="G373" s="1" t="s">
        <v>44</v>
      </c>
      <c r="H373" s="2">
        <v>45225</v>
      </c>
      <c r="I373" s="2">
        <v>45258</v>
      </c>
      <c r="J373" s="1">
        <v>20503.95</v>
      </c>
      <c r="K373" s="1">
        <v>0.37240000000000001</v>
      </c>
      <c r="L373" s="1">
        <v>7635.67</v>
      </c>
      <c r="M373" s="1">
        <v>877823</v>
      </c>
      <c r="N373" s="1">
        <v>18837</v>
      </c>
      <c r="O373" s="1">
        <v>118030.06</v>
      </c>
      <c r="P373" s="1">
        <v>2023</v>
      </c>
      <c r="Q373" s="1" t="s">
        <v>24</v>
      </c>
      <c r="R373" s="1" t="s">
        <v>25</v>
      </c>
    </row>
    <row r="374" spans="1:18" x14ac:dyDescent="0.35">
      <c r="A374" s="3" t="s">
        <v>95</v>
      </c>
      <c r="B374" s="3"/>
      <c r="C374" s="1" t="s">
        <v>28</v>
      </c>
      <c r="D374" s="1" t="s">
        <v>20</v>
      </c>
      <c r="E374" s="1" t="s">
        <v>43</v>
      </c>
      <c r="F374" s="1" t="s">
        <v>22</v>
      </c>
      <c r="G374" s="1" t="s">
        <v>44</v>
      </c>
      <c r="H374" s="2">
        <v>45226</v>
      </c>
      <c r="I374" s="2">
        <v>45233</v>
      </c>
      <c r="J374" s="1">
        <v>14467.79</v>
      </c>
      <c r="K374" s="1">
        <v>0.64980000000000004</v>
      </c>
      <c r="L374" s="1">
        <v>9401.17</v>
      </c>
      <c r="M374" s="1">
        <v>186379</v>
      </c>
      <c r="N374" s="1">
        <v>30071</v>
      </c>
      <c r="O374" s="1">
        <v>143584.35999999999</v>
      </c>
      <c r="P374" s="1">
        <v>2023</v>
      </c>
      <c r="Q374" s="1" t="s">
        <v>24</v>
      </c>
      <c r="R374" s="1" t="s">
        <v>25</v>
      </c>
    </row>
    <row r="375" spans="1:18" x14ac:dyDescent="0.35">
      <c r="A375" s="3" t="s">
        <v>93</v>
      </c>
      <c r="B375" s="3"/>
      <c r="C375" s="1" t="s">
        <v>48</v>
      </c>
      <c r="D375" s="1" t="s">
        <v>29</v>
      </c>
      <c r="E375" s="1" t="s">
        <v>51</v>
      </c>
      <c r="F375" s="1" t="s">
        <v>30</v>
      </c>
      <c r="G375" s="1" t="s">
        <v>31</v>
      </c>
      <c r="H375" s="2">
        <v>45231</v>
      </c>
      <c r="I375" s="2">
        <v>45291</v>
      </c>
      <c r="J375" s="1">
        <v>49966.32</v>
      </c>
      <c r="K375" s="1">
        <v>0.54520000000000002</v>
      </c>
      <c r="L375" s="1">
        <v>27241.64</v>
      </c>
      <c r="M375" s="1">
        <v>375509</v>
      </c>
      <c r="N375" s="1">
        <v>5800</v>
      </c>
      <c r="O375" s="1">
        <v>112572.13</v>
      </c>
      <c r="P375" s="1">
        <v>2023</v>
      </c>
      <c r="Q375" s="1" t="s">
        <v>65</v>
      </c>
      <c r="R375" s="1" t="s">
        <v>25</v>
      </c>
    </row>
    <row r="376" spans="1:18" x14ac:dyDescent="0.35">
      <c r="A376" s="3" t="s">
        <v>87</v>
      </c>
      <c r="B376" s="3"/>
      <c r="C376" s="1" t="s">
        <v>48</v>
      </c>
      <c r="D376" s="1" t="s">
        <v>58</v>
      </c>
      <c r="E376" s="1" t="s">
        <v>59</v>
      </c>
      <c r="F376" s="1" t="s">
        <v>38</v>
      </c>
      <c r="G376" s="1" t="s">
        <v>49</v>
      </c>
      <c r="H376" s="2">
        <v>45232</v>
      </c>
      <c r="I376" s="2">
        <v>45285</v>
      </c>
      <c r="J376" s="1">
        <v>20109.349999999999</v>
      </c>
      <c r="K376" s="1">
        <v>1.0710999999999999</v>
      </c>
      <c r="L376" s="1">
        <v>21539.119999999999</v>
      </c>
      <c r="M376" s="1">
        <v>886325</v>
      </c>
      <c r="N376" s="1">
        <v>27560</v>
      </c>
      <c r="O376" s="1">
        <v>136864.04</v>
      </c>
      <c r="P376" s="1">
        <v>2023</v>
      </c>
      <c r="Q376" s="1" t="s">
        <v>65</v>
      </c>
      <c r="R376" s="1" t="s">
        <v>25</v>
      </c>
    </row>
    <row r="377" spans="1:18" x14ac:dyDescent="0.35">
      <c r="A377" s="3" t="s">
        <v>111</v>
      </c>
      <c r="B377" s="3"/>
      <c r="C377" s="1" t="s">
        <v>48</v>
      </c>
      <c r="D377" s="1" t="s">
        <v>36</v>
      </c>
      <c r="E377" s="1" t="s">
        <v>59</v>
      </c>
      <c r="F377" s="1" t="s">
        <v>22</v>
      </c>
      <c r="G377" s="1" t="s">
        <v>52</v>
      </c>
      <c r="H377" s="2">
        <v>45234</v>
      </c>
      <c r="I377" s="2">
        <v>45293</v>
      </c>
      <c r="J377" s="1">
        <v>8717.76</v>
      </c>
      <c r="K377" s="1">
        <v>0.85440000000000005</v>
      </c>
      <c r="L377" s="1">
        <v>7448.45</v>
      </c>
      <c r="M377" s="1">
        <v>744233</v>
      </c>
      <c r="N377" s="1">
        <v>41892</v>
      </c>
      <c r="O377" s="1">
        <v>47652.3</v>
      </c>
      <c r="P377" s="1">
        <v>2023</v>
      </c>
      <c r="Q377" s="1" t="s">
        <v>65</v>
      </c>
      <c r="R377" s="1" t="s">
        <v>25</v>
      </c>
    </row>
    <row r="378" spans="1:18" x14ac:dyDescent="0.35">
      <c r="A378" s="3" t="s">
        <v>92</v>
      </c>
      <c r="B378" s="3"/>
      <c r="C378" s="1" t="s">
        <v>48</v>
      </c>
      <c r="D378" s="1" t="s">
        <v>69</v>
      </c>
      <c r="E378" s="1" t="s">
        <v>21</v>
      </c>
      <c r="F378" s="1" t="s">
        <v>30</v>
      </c>
      <c r="G378" s="1" t="s">
        <v>23</v>
      </c>
      <c r="H378" s="2">
        <v>45234</v>
      </c>
      <c r="I378" s="2">
        <v>45255</v>
      </c>
      <c r="J378" s="1">
        <v>28544.78</v>
      </c>
      <c r="K378" s="1">
        <v>0.68569999999999998</v>
      </c>
      <c r="L378" s="1">
        <v>19573.16</v>
      </c>
      <c r="M378" s="1">
        <v>427754</v>
      </c>
      <c r="N378" s="1">
        <v>6586</v>
      </c>
      <c r="O378" s="1">
        <v>174183.08</v>
      </c>
      <c r="P378" s="1">
        <v>2023</v>
      </c>
      <c r="Q378" s="1" t="s">
        <v>65</v>
      </c>
      <c r="R378" s="1" t="s">
        <v>25</v>
      </c>
    </row>
    <row r="379" spans="1:18" x14ac:dyDescent="0.35">
      <c r="A379" s="3" t="s">
        <v>108</v>
      </c>
      <c r="B379" s="3"/>
      <c r="C379" s="1" t="s">
        <v>48</v>
      </c>
      <c r="D379" s="1" t="s">
        <v>29</v>
      </c>
      <c r="E379" s="1" t="s">
        <v>51</v>
      </c>
      <c r="F379" s="1" t="s">
        <v>38</v>
      </c>
      <c r="G379" s="1" t="s">
        <v>23</v>
      </c>
      <c r="H379" s="2">
        <v>45235</v>
      </c>
      <c r="I379" s="2">
        <v>45282</v>
      </c>
      <c r="J379" s="1">
        <v>1503.35</v>
      </c>
      <c r="K379" s="1">
        <v>0.12479999999999999</v>
      </c>
      <c r="L379" s="1">
        <v>187.62</v>
      </c>
      <c r="M379" s="1">
        <v>139806</v>
      </c>
      <c r="N379" s="1">
        <v>39539</v>
      </c>
      <c r="O379" s="1">
        <v>55323.29</v>
      </c>
      <c r="P379" s="1">
        <v>2023</v>
      </c>
      <c r="Q379" s="1" t="s">
        <v>65</v>
      </c>
      <c r="R379" s="1" t="s">
        <v>25</v>
      </c>
    </row>
    <row r="380" spans="1:18" x14ac:dyDescent="0.35">
      <c r="A380" s="3" t="s">
        <v>109</v>
      </c>
      <c r="B380" s="3"/>
      <c r="C380" s="1" t="s">
        <v>28</v>
      </c>
      <c r="D380" s="1" t="s">
        <v>58</v>
      </c>
      <c r="E380" s="1" t="s">
        <v>63</v>
      </c>
      <c r="F380" s="1" t="s">
        <v>22</v>
      </c>
      <c r="G380" s="1" t="s">
        <v>44</v>
      </c>
      <c r="H380" s="2">
        <v>45235</v>
      </c>
      <c r="I380" s="2">
        <v>45270</v>
      </c>
      <c r="J380" s="1">
        <v>37561.379999999997</v>
      </c>
      <c r="K380" s="1">
        <v>0.90539999999999998</v>
      </c>
      <c r="L380" s="1">
        <v>34008.07</v>
      </c>
      <c r="M380" s="1">
        <v>568388</v>
      </c>
      <c r="N380" s="1">
        <v>15413</v>
      </c>
      <c r="O380" s="1">
        <v>98051.19</v>
      </c>
      <c r="P380" s="1">
        <v>2023</v>
      </c>
      <c r="Q380" s="1" t="s">
        <v>65</v>
      </c>
      <c r="R380" s="1" t="s">
        <v>25</v>
      </c>
    </row>
    <row r="381" spans="1:18" x14ac:dyDescent="0.35">
      <c r="A381" s="3" t="s">
        <v>105</v>
      </c>
      <c r="B381" s="3"/>
      <c r="C381" s="1" t="s">
        <v>28</v>
      </c>
      <c r="D381" s="1" t="s">
        <v>36</v>
      </c>
      <c r="E381" s="1" t="s">
        <v>59</v>
      </c>
      <c r="F381" s="1" t="s">
        <v>30</v>
      </c>
      <c r="G381" s="1" t="s">
        <v>49</v>
      </c>
      <c r="H381" s="2">
        <v>45235</v>
      </c>
      <c r="I381" s="2">
        <v>45259</v>
      </c>
      <c r="J381" s="1">
        <v>5194.3</v>
      </c>
      <c r="K381" s="1">
        <v>0.68430000000000002</v>
      </c>
      <c r="L381" s="1">
        <v>3554.46</v>
      </c>
      <c r="M381" s="1">
        <v>668840</v>
      </c>
      <c r="N381" s="1">
        <v>30322</v>
      </c>
      <c r="O381" s="1">
        <v>138728.51999999999</v>
      </c>
      <c r="P381" s="1">
        <v>2023</v>
      </c>
      <c r="Q381" s="1" t="s">
        <v>65</v>
      </c>
      <c r="R381" s="1" t="s">
        <v>25</v>
      </c>
    </row>
    <row r="382" spans="1:18" x14ac:dyDescent="0.35">
      <c r="A382" s="3" t="s">
        <v>110</v>
      </c>
      <c r="B382" s="3"/>
      <c r="C382" s="1" t="s">
        <v>35</v>
      </c>
      <c r="D382" s="1" t="s">
        <v>29</v>
      </c>
      <c r="E382" s="1" t="s">
        <v>43</v>
      </c>
      <c r="F382" s="1" t="s">
        <v>38</v>
      </c>
      <c r="G382" s="1" t="s">
        <v>31</v>
      </c>
      <c r="H382" s="2">
        <v>45236</v>
      </c>
      <c r="I382" s="2">
        <v>45266</v>
      </c>
      <c r="J382" s="1">
        <v>33891.839999999997</v>
      </c>
      <c r="K382" s="1">
        <v>0.16739999999999999</v>
      </c>
      <c r="L382" s="1">
        <v>5673.49</v>
      </c>
      <c r="M382" s="1">
        <v>945566</v>
      </c>
      <c r="N382" s="1">
        <v>36771</v>
      </c>
      <c r="O382" s="1">
        <v>15075.62</v>
      </c>
      <c r="P382" s="1">
        <v>2023</v>
      </c>
      <c r="Q382" s="1" t="s">
        <v>65</v>
      </c>
      <c r="R382" s="1" t="s">
        <v>25</v>
      </c>
    </row>
    <row r="383" spans="1:18" x14ac:dyDescent="0.35">
      <c r="A383" s="3" t="s">
        <v>70</v>
      </c>
      <c r="B383" s="3"/>
      <c r="C383" s="1" t="s">
        <v>48</v>
      </c>
      <c r="D383" s="1" t="s">
        <v>69</v>
      </c>
      <c r="E383" s="1" t="s">
        <v>37</v>
      </c>
      <c r="F383" s="1" t="s">
        <v>30</v>
      </c>
      <c r="G383" s="1" t="s">
        <v>52</v>
      </c>
      <c r="H383" s="2">
        <v>45237</v>
      </c>
      <c r="I383" s="2">
        <v>45296</v>
      </c>
      <c r="J383" s="1">
        <v>11796.48</v>
      </c>
      <c r="K383" s="1">
        <v>0.8528</v>
      </c>
      <c r="L383" s="1">
        <v>10060.040000000001</v>
      </c>
      <c r="M383" s="1">
        <v>588972</v>
      </c>
      <c r="N383" s="1">
        <v>7905</v>
      </c>
      <c r="O383" s="1">
        <v>46921.73</v>
      </c>
      <c r="P383" s="1">
        <v>2023</v>
      </c>
      <c r="Q383" s="1" t="s">
        <v>65</v>
      </c>
      <c r="R383" s="1" t="s">
        <v>25</v>
      </c>
    </row>
    <row r="384" spans="1:18" x14ac:dyDescent="0.35">
      <c r="A384" s="3" t="s">
        <v>67</v>
      </c>
      <c r="B384" s="3"/>
      <c r="C384" s="1" t="s">
        <v>19</v>
      </c>
      <c r="D384" s="1" t="s">
        <v>29</v>
      </c>
      <c r="E384" s="1" t="s">
        <v>43</v>
      </c>
      <c r="F384" s="1" t="s">
        <v>22</v>
      </c>
      <c r="G384" s="1" t="s">
        <v>23</v>
      </c>
      <c r="H384" s="2">
        <v>45239</v>
      </c>
      <c r="I384" s="2">
        <v>45270</v>
      </c>
      <c r="J384" s="1">
        <v>38758.339999999997</v>
      </c>
      <c r="K384" s="1">
        <v>1.0158</v>
      </c>
      <c r="L384" s="1">
        <v>39370.720000000001</v>
      </c>
      <c r="M384" s="1">
        <v>675506</v>
      </c>
      <c r="N384" s="1">
        <v>5308</v>
      </c>
      <c r="O384" s="1">
        <v>23789.84</v>
      </c>
      <c r="P384" s="1">
        <v>2023</v>
      </c>
      <c r="Q384" s="1" t="s">
        <v>65</v>
      </c>
      <c r="R384" s="1" t="s">
        <v>25</v>
      </c>
    </row>
    <row r="385" spans="1:18" x14ac:dyDescent="0.35">
      <c r="A385" s="3" t="s">
        <v>87</v>
      </c>
      <c r="B385" s="3"/>
      <c r="C385" s="1" t="s">
        <v>35</v>
      </c>
      <c r="D385" s="1" t="s">
        <v>69</v>
      </c>
      <c r="E385" s="1" t="s">
        <v>51</v>
      </c>
      <c r="F385" s="1" t="s">
        <v>38</v>
      </c>
      <c r="G385" s="1" t="s">
        <v>31</v>
      </c>
      <c r="H385" s="2">
        <v>45240</v>
      </c>
      <c r="I385" s="2">
        <v>45287</v>
      </c>
      <c r="J385" s="1">
        <v>29496.22</v>
      </c>
      <c r="K385" s="1">
        <v>0.57320000000000004</v>
      </c>
      <c r="L385" s="1">
        <v>16907.23</v>
      </c>
      <c r="M385" s="1">
        <v>566711</v>
      </c>
      <c r="N385" s="1">
        <v>22628</v>
      </c>
      <c r="O385" s="1">
        <v>109248.43</v>
      </c>
      <c r="P385" s="1">
        <v>2023</v>
      </c>
      <c r="Q385" s="1" t="s">
        <v>65</v>
      </c>
      <c r="R385" s="1" t="s">
        <v>25</v>
      </c>
    </row>
    <row r="386" spans="1:18" x14ac:dyDescent="0.35">
      <c r="A386" s="3" t="s">
        <v>101</v>
      </c>
      <c r="B386" s="3"/>
      <c r="C386" s="1" t="s">
        <v>28</v>
      </c>
      <c r="D386" s="1" t="s">
        <v>20</v>
      </c>
      <c r="E386" s="1" t="s">
        <v>37</v>
      </c>
      <c r="F386" s="1" t="s">
        <v>22</v>
      </c>
      <c r="G386" s="1" t="s">
        <v>44</v>
      </c>
      <c r="H386" s="2">
        <v>45241</v>
      </c>
      <c r="I386" s="2">
        <v>45292</v>
      </c>
      <c r="J386" s="1">
        <v>34736.42</v>
      </c>
      <c r="K386" s="1">
        <v>0.1615</v>
      </c>
      <c r="L386" s="1">
        <v>5609.93</v>
      </c>
      <c r="M386" s="1">
        <v>774234</v>
      </c>
      <c r="N386" s="1">
        <v>217</v>
      </c>
      <c r="O386" s="1">
        <v>237453.09</v>
      </c>
      <c r="P386" s="1">
        <v>2023</v>
      </c>
      <c r="Q386" s="1" t="s">
        <v>65</v>
      </c>
      <c r="R386" s="1" t="s">
        <v>25</v>
      </c>
    </row>
    <row r="387" spans="1:18" x14ac:dyDescent="0.35">
      <c r="A387" s="3" t="s">
        <v>86</v>
      </c>
      <c r="B387" s="3"/>
      <c r="C387" s="1" t="s">
        <v>28</v>
      </c>
      <c r="D387" s="1" t="s">
        <v>36</v>
      </c>
      <c r="E387" s="1" t="s">
        <v>21</v>
      </c>
      <c r="F387" s="1" t="s">
        <v>22</v>
      </c>
      <c r="G387" s="1" t="s">
        <v>31</v>
      </c>
      <c r="H387" s="2">
        <v>45241</v>
      </c>
      <c r="I387" s="2">
        <v>45282</v>
      </c>
      <c r="J387" s="1">
        <v>33378.050000000003</v>
      </c>
      <c r="K387" s="1">
        <v>1.0047999999999999</v>
      </c>
      <c r="L387" s="1">
        <v>33538.26</v>
      </c>
      <c r="M387" s="1">
        <v>898765</v>
      </c>
      <c r="N387" s="1">
        <v>11816</v>
      </c>
      <c r="O387" s="1">
        <v>113733.13</v>
      </c>
      <c r="P387" s="1">
        <v>2023</v>
      </c>
      <c r="Q387" s="1" t="s">
        <v>65</v>
      </c>
      <c r="R387" s="1" t="s">
        <v>25</v>
      </c>
    </row>
    <row r="388" spans="1:18" x14ac:dyDescent="0.35">
      <c r="A388" s="3" t="s">
        <v>93</v>
      </c>
      <c r="B388" s="3"/>
      <c r="C388" s="1" t="s">
        <v>28</v>
      </c>
      <c r="D388" s="1" t="s">
        <v>20</v>
      </c>
      <c r="E388" s="1" t="s">
        <v>59</v>
      </c>
      <c r="F388" s="1" t="s">
        <v>22</v>
      </c>
      <c r="G388" s="1" t="s">
        <v>49</v>
      </c>
      <c r="H388" s="2">
        <v>45242</v>
      </c>
      <c r="I388" s="2">
        <v>45288</v>
      </c>
      <c r="J388" s="1">
        <v>49388.58</v>
      </c>
      <c r="K388" s="1">
        <v>9.4799999999999995E-2</v>
      </c>
      <c r="L388" s="1">
        <v>4682.04</v>
      </c>
      <c r="M388" s="1">
        <v>937989</v>
      </c>
      <c r="N388" s="1">
        <v>2644</v>
      </c>
      <c r="O388" s="1">
        <v>248155.75</v>
      </c>
      <c r="P388" s="1">
        <v>2023</v>
      </c>
      <c r="Q388" s="1" t="s">
        <v>65</v>
      </c>
      <c r="R388" s="1" t="s">
        <v>25</v>
      </c>
    </row>
    <row r="389" spans="1:18" x14ac:dyDescent="0.35">
      <c r="A389" s="3" t="s">
        <v>55</v>
      </c>
      <c r="B389" s="3"/>
      <c r="C389" s="1" t="s">
        <v>48</v>
      </c>
      <c r="D389" s="1" t="s">
        <v>36</v>
      </c>
      <c r="E389" s="1" t="s">
        <v>37</v>
      </c>
      <c r="F389" s="1" t="s">
        <v>30</v>
      </c>
      <c r="G389" s="1" t="s">
        <v>31</v>
      </c>
      <c r="H389" s="2">
        <v>45243</v>
      </c>
      <c r="I389" s="2">
        <v>45262</v>
      </c>
      <c r="J389" s="1">
        <v>13122.43</v>
      </c>
      <c r="K389" s="1">
        <v>0.34820000000000001</v>
      </c>
      <c r="L389" s="1">
        <v>4569.2299999999996</v>
      </c>
      <c r="M389" s="1">
        <v>666912</v>
      </c>
      <c r="N389" s="1">
        <v>8384</v>
      </c>
      <c r="O389" s="1">
        <v>37162.89</v>
      </c>
      <c r="P389" s="1">
        <v>2023</v>
      </c>
      <c r="Q389" s="1" t="s">
        <v>65</v>
      </c>
      <c r="R389" s="1" t="s">
        <v>25</v>
      </c>
    </row>
    <row r="390" spans="1:18" x14ac:dyDescent="0.35">
      <c r="A390" s="3" t="s">
        <v>79</v>
      </c>
      <c r="B390" s="3"/>
      <c r="C390" s="1" t="s">
        <v>48</v>
      </c>
      <c r="D390" s="1" t="s">
        <v>20</v>
      </c>
      <c r="E390" s="1" t="s">
        <v>51</v>
      </c>
      <c r="F390" s="1" t="s">
        <v>30</v>
      </c>
      <c r="G390" s="1" t="s">
        <v>49</v>
      </c>
      <c r="H390" s="2">
        <v>45244</v>
      </c>
      <c r="I390" s="2">
        <v>45276</v>
      </c>
      <c r="J390" s="1">
        <v>41076.910000000003</v>
      </c>
      <c r="K390" s="1">
        <v>0.80110000000000003</v>
      </c>
      <c r="L390" s="1">
        <v>32906.71</v>
      </c>
      <c r="M390" s="1">
        <v>176494</v>
      </c>
      <c r="N390" s="1">
        <v>39664</v>
      </c>
      <c r="O390" s="1">
        <v>145897.39000000001</v>
      </c>
      <c r="P390" s="1">
        <v>2023</v>
      </c>
      <c r="Q390" s="1" t="s">
        <v>65</v>
      </c>
      <c r="R390" s="1" t="s">
        <v>25</v>
      </c>
    </row>
    <row r="391" spans="1:18" x14ac:dyDescent="0.35">
      <c r="A391" s="3" t="s">
        <v>111</v>
      </c>
      <c r="B391" s="3"/>
      <c r="C391" s="1" t="s">
        <v>48</v>
      </c>
      <c r="D391" s="1" t="s">
        <v>20</v>
      </c>
      <c r="E391" s="1" t="s">
        <v>51</v>
      </c>
      <c r="F391" s="1" t="s">
        <v>30</v>
      </c>
      <c r="G391" s="1" t="s">
        <v>44</v>
      </c>
      <c r="H391" s="2">
        <v>45245</v>
      </c>
      <c r="I391" s="2">
        <v>45253</v>
      </c>
      <c r="J391" s="1">
        <v>29912.93</v>
      </c>
      <c r="K391" s="1">
        <v>0.2359</v>
      </c>
      <c r="L391" s="1">
        <v>7056.46</v>
      </c>
      <c r="M391" s="1">
        <v>417000</v>
      </c>
      <c r="N391" s="1">
        <v>27867</v>
      </c>
      <c r="O391" s="1">
        <v>83312.53</v>
      </c>
      <c r="P391" s="1">
        <v>2023</v>
      </c>
      <c r="Q391" s="1" t="s">
        <v>65</v>
      </c>
      <c r="R391" s="1" t="s">
        <v>25</v>
      </c>
    </row>
    <row r="392" spans="1:18" x14ac:dyDescent="0.35">
      <c r="A392" s="3" t="s">
        <v>57</v>
      </c>
      <c r="B392" s="3"/>
      <c r="C392" s="1" t="s">
        <v>48</v>
      </c>
      <c r="D392" s="1" t="s">
        <v>69</v>
      </c>
      <c r="E392" s="1" t="s">
        <v>21</v>
      </c>
      <c r="F392" s="1" t="s">
        <v>38</v>
      </c>
      <c r="G392" s="1" t="s">
        <v>49</v>
      </c>
      <c r="H392" s="2">
        <v>45248</v>
      </c>
      <c r="I392" s="2">
        <v>45264</v>
      </c>
      <c r="J392" s="1">
        <v>48264.160000000003</v>
      </c>
      <c r="K392" s="1">
        <v>1.1628000000000001</v>
      </c>
      <c r="L392" s="1">
        <v>56121.57</v>
      </c>
      <c r="M392" s="1">
        <v>315605</v>
      </c>
      <c r="N392" s="1">
        <v>48260</v>
      </c>
      <c r="O392" s="1">
        <v>175264.65</v>
      </c>
      <c r="P392" s="1">
        <v>2023</v>
      </c>
      <c r="Q392" s="1" t="s">
        <v>65</v>
      </c>
      <c r="R392" s="1" t="s">
        <v>25</v>
      </c>
    </row>
    <row r="393" spans="1:18" x14ac:dyDescent="0.35">
      <c r="A393" s="3" t="s">
        <v>113</v>
      </c>
      <c r="B393" s="3"/>
      <c r="C393" s="1" t="s">
        <v>35</v>
      </c>
      <c r="D393" s="1" t="s">
        <v>29</v>
      </c>
      <c r="E393" s="1" t="s">
        <v>21</v>
      </c>
      <c r="F393" s="1" t="s">
        <v>38</v>
      </c>
      <c r="G393" s="1" t="s">
        <v>52</v>
      </c>
      <c r="H393" s="2">
        <v>45249</v>
      </c>
      <c r="I393" s="2">
        <v>45308</v>
      </c>
      <c r="J393" s="1">
        <v>19440.490000000002</v>
      </c>
      <c r="K393" s="1">
        <v>0.55700000000000005</v>
      </c>
      <c r="L393" s="1">
        <v>10828.35</v>
      </c>
      <c r="M393" s="1">
        <v>44455</v>
      </c>
      <c r="N393" s="1">
        <v>11691</v>
      </c>
      <c r="O393" s="1">
        <v>141383.29999999999</v>
      </c>
      <c r="P393" s="1">
        <v>2023</v>
      </c>
      <c r="Q393" s="1" t="s">
        <v>65</v>
      </c>
      <c r="R393" s="1" t="s">
        <v>25</v>
      </c>
    </row>
    <row r="394" spans="1:18" x14ac:dyDescent="0.35">
      <c r="A394" s="3" t="s">
        <v>91</v>
      </c>
      <c r="B394" s="3"/>
      <c r="C394" s="1" t="s">
        <v>19</v>
      </c>
      <c r="D394" s="1" t="s">
        <v>36</v>
      </c>
      <c r="E394" s="1" t="s">
        <v>59</v>
      </c>
      <c r="F394" s="1" t="s">
        <v>30</v>
      </c>
      <c r="G394" s="1" t="s">
        <v>31</v>
      </c>
      <c r="H394" s="2">
        <v>45250</v>
      </c>
      <c r="I394" s="2">
        <v>45286</v>
      </c>
      <c r="J394" s="1">
        <v>43471.86</v>
      </c>
      <c r="K394" s="1">
        <v>0.64259999999999995</v>
      </c>
      <c r="L394" s="1">
        <v>27935.02</v>
      </c>
      <c r="M394" s="1">
        <v>205472</v>
      </c>
      <c r="N394" s="1">
        <v>13133</v>
      </c>
      <c r="O394" s="1">
        <v>127659.45</v>
      </c>
      <c r="P394" s="1">
        <v>2023</v>
      </c>
      <c r="Q394" s="1" t="s">
        <v>65</v>
      </c>
      <c r="R394" s="1" t="s">
        <v>25</v>
      </c>
    </row>
    <row r="395" spans="1:18" x14ac:dyDescent="0.35">
      <c r="A395" s="3" t="s">
        <v>119</v>
      </c>
      <c r="B395" s="3"/>
      <c r="C395" s="1" t="s">
        <v>35</v>
      </c>
      <c r="D395" s="1" t="s">
        <v>20</v>
      </c>
      <c r="E395" s="1" t="s">
        <v>43</v>
      </c>
      <c r="F395" s="1" t="s">
        <v>38</v>
      </c>
      <c r="G395" s="1" t="s">
        <v>49</v>
      </c>
      <c r="H395" s="2">
        <v>45251</v>
      </c>
      <c r="I395" s="2">
        <v>45297</v>
      </c>
      <c r="J395" s="1">
        <v>15276.46</v>
      </c>
      <c r="K395" s="1">
        <v>0.32829999999999998</v>
      </c>
      <c r="L395" s="1">
        <v>5015.26</v>
      </c>
      <c r="M395" s="1">
        <v>685958</v>
      </c>
      <c r="N395" s="1">
        <v>26016</v>
      </c>
      <c r="O395" s="1">
        <v>71455.78</v>
      </c>
      <c r="P395" s="1">
        <v>2023</v>
      </c>
      <c r="Q395" s="1" t="s">
        <v>65</v>
      </c>
      <c r="R395" s="1" t="s">
        <v>25</v>
      </c>
    </row>
    <row r="396" spans="1:18" x14ac:dyDescent="0.35">
      <c r="A396" s="3" t="s">
        <v>86</v>
      </c>
      <c r="B396" s="3"/>
      <c r="C396" s="1" t="s">
        <v>28</v>
      </c>
      <c r="D396" s="1" t="s">
        <v>69</v>
      </c>
      <c r="E396" s="1" t="s">
        <v>51</v>
      </c>
      <c r="F396" s="1" t="s">
        <v>22</v>
      </c>
      <c r="G396" s="1" t="s">
        <v>31</v>
      </c>
      <c r="H396" s="2">
        <v>45251</v>
      </c>
      <c r="I396" s="2">
        <v>45291</v>
      </c>
      <c r="J396" s="1">
        <v>39639.53</v>
      </c>
      <c r="K396" s="1">
        <v>0.91049999999999998</v>
      </c>
      <c r="L396" s="1">
        <v>36091.79</v>
      </c>
      <c r="M396" s="1">
        <v>854654</v>
      </c>
      <c r="N396" s="1">
        <v>28851</v>
      </c>
      <c r="O396" s="1">
        <v>184631.26</v>
      </c>
      <c r="P396" s="1">
        <v>2023</v>
      </c>
      <c r="Q396" s="1" t="s">
        <v>65</v>
      </c>
      <c r="R396" s="1" t="s">
        <v>25</v>
      </c>
    </row>
    <row r="397" spans="1:18" x14ac:dyDescent="0.35">
      <c r="A397" s="3" t="s">
        <v>66</v>
      </c>
      <c r="B397" s="3"/>
      <c r="C397" s="1" t="s">
        <v>28</v>
      </c>
      <c r="D397" s="1" t="s">
        <v>69</v>
      </c>
      <c r="E397" s="1" t="s">
        <v>21</v>
      </c>
      <c r="F397" s="1" t="s">
        <v>38</v>
      </c>
      <c r="G397" s="1" t="s">
        <v>23</v>
      </c>
      <c r="H397" s="2">
        <v>45252</v>
      </c>
      <c r="I397" s="2">
        <v>45295</v>
      </c>
      <c r="J397" s="1">
        <v>30648.81</v>
      </c>
      <c r="K397" s="1">
        <v>1.1326000000000001</v>
      </c>
      <c r="L397" s="1">
        <v>34712.839999999997</v>
      </c>
      <c r="M397" s="1">
        <v>962575</v>
      </c>
      <c r="N397" s="1">
        <v>43797</v>
      </c>
      <c r="O397" s="1">
        <v>93460.89</v>
      </c>
      <c r="P397" s="1">
        <v>2023</v>
      </c>
      <c r="Q397" s="1" t="s">
        <v>65</v>
      </c>
      <c r="R397" s="1" t="s">
        <v>25</v>
      </c>
    </row>
    <row r="398" spans="1:18" x14ac:dyDescent="0.35">
      <c r="A398" s="3" t="s">
        <v>18</v>
      </c>
      <c r="B398" s="3"/>
      <c r="C398" s="1" t="s">
        <v>28</v>
      </c>
      <c r="D398" s="1" t="s">
        <v>20</v>
      </c>
      <c r="E398" s="1" t="s">
        <v>59</v>
      </c>
      <c r="F398" s="1" t="s">
        <v>30</v>
      </c>
      <c r="G398" s="1" t="s">
        <v>31</v>
      </c>
      <c r="H398" s="2">
        <v>45255</v>
      </c>
      <c r="I398" s="2">
        <v>45306</v>
      </c>
      <c r="J398" s="1">
        <v>4103.75</v>
      </c>
      <c r="K398" s="1">
        <v>1.1609</v>
      </c>
      <c r="L398" s="1">
        <v>4764.04</v>
      </c>
      <c r="M398" s="1">
        <v>868835</v>
      </c>
      <c r="N398" s="1">
        <v>25494</v>
      </c>
      <c r="O398" s="1">
        <v>51518.02</v>
      </c>
      <c r="P398" s="1">
        <v>2023</v>
      </c>
      <c r="Q398" s="1" t="s">
        <v>65</v>
      </c>
      <c r="R398" s="1" t="s">
        <v>25</v>
      </c>
    </row>
    <row r="399" spans="1:18" x14ac:dyDescent="0.35">
      <c r="A399" s="3" t="s">
        <v>68</v>
      </c>
      <c r="B399" s="3"/>
      <c r="C399" s="1" t="s">
        <v>48</v>
      </c>
      <c r="D399" s="1" t="s">
        <v>58</v>
      </c>
      <c r="E399" s="1" t="s">
        <v>63</v>
      </c>
      <c r="F399" s="1" t="s">
        <v>38</v>
      </c>
      <c r="G399" s="1" t="s">
        <v>23</v>
      </c>
      <c r="H399" s="2">
        <v>45255</v>
      </c>
      <c r="I399" s="2">
        <v>45266</v>
      </c>
      <c r="J399" s="1">
        <v>4923.38</v>
      </c>
      <c r="K399" s="1">
        <v>0.79649999999999999</v>
      </c>
      <c r="L399" s="1">
        <v>3921.47</v>
      </c>
      <c r="M399" s="1">
        <v>331384</v>
      </c>
      <c r="N399" s="1">
        <v>29323</v>
      </c>
      <c r="O399" s="1">
        <v>152642.29999999999</v>
      </c>
      <c r="P399" s="1">
        <v>2023</v>
      </c>
      <c r="Q399" s="1" t="s">
        <v>65</v>
      </c>
      <c r="R399" s="1" t="s">
        <v>25</v>
      </c>
    </row>
    <row r="400" spans="1:18" x14ac:dyDescent="0.35">
      <c r="A400" s="3" t="s">
        <v>97</v>
      </c>
      <c r="B400" s="3"/>
      <c r="C400" s="1" t="s">
        <v>35</v>
      </c>
      <c r="D400" s="1" t="s">
        <v>29</v>
      </c>
      <c r="E400" s="1" t="s">
        <v>51</v>
      </c>
      <c r="F400" s="1" t="s">
        <v>38</v>
      </c>
      <c r="G400" s="1" t="s">
        <v>23</v>
      </c>
      <c r="H400" s="2">
        <v>45255</v>
      </c>
      <c r="I400" s="2">
        <v>45261</v>
      </c>
      <c r="J400" s="1">
        <v>8455.32</v>
      </c>
      <c r="K400" s="1">
        <v>1.1639999999999999</v>
      </c>
      <c r="L400" s="1">
        <v>9841.99</v>
      </c>
      <c r="M400" s="1">
        <v>33205</v>
      </c>
      <c r="N400" s="1">
        <v>12285</v>
      </c>
      <c r="O400" s="1">
        <v>243221.49</v>
      </c>
      <c r="P400" s="1">
        <v>2023</v>
      </c>
      <c r="Q400" s="1" t="s">
        <v>65</v>
      </c>
      <c r="R400" s="1" t="s">
        <v>25</v>
      </c>
    </row>
    <row r="401" spans="1:18" x14ac:dyDescent="0.35">
      <c r="A401" s="3" t="s">
        <v>91</v>
      </c>
      <c r="B401" s="3"/>
      <c r="C401" s="1" t="s">
        <v>28</v>
      </c>
      <c r="D401" s="1" t="s">
        <v>69</v>
      </c>
      <c r="E401" s="1" t="s">
        <v>37</v>
      </c>
      <c r="F401" s="1" t="s">
        <v>38</v>
      </c>
      <c r="G401" s="1" t="s">
        <v>31</v>
      </c>
      <c r="H401" s="2">
        <v>45257</v>
      </c>
      <c r="I401" s="2">
        <v>45316</v>
      </c>
      <c r="J401" s="1">
        <v>13029.26</v>
      </c>
      <c r="K401" s="1">
        <v>1.1222000000000001</v>
      </c>
      <c r="L401" s="1">
        <v>14621.44</v>
      </c>
      <c r="M401" s="1">
        <v>302477</v>
      </c>
      <c r="N401" s="1">
        <v>29643</v>
      </c>
      <c r="O401" s="1">
        <v>64746.54</v>
      </c>
      <c r="P401" s="1">
        <v>2023</v>
      </c>
      <c r="Q401" s="1" t="s">
        <v>65</v>
      </c>
      <c r="R401" s="1" t="s">
        <v>25</v>
      </c>
    </row>
    <row r="402" spans="1:18" x14ac:dyDescent="0.35">
      <c r="A402" s="3" t="s">
        <v>57</v>
      </c>
      <c r="B402" s="3"/>
      <c r="C402" s="1" t="s">
        <v>35</v>
      </c>
      <c r="D402" s="1" t="s">
        <v>29</v>
      </c>
      <c r="E402" s="1" t="s">
        <v>43</v>
      </c>
      <c r="F402" s="1" t="s">
        <v>38</v>
      </c>
      <c r="G402" s="1" t="s">
        <v>31</v>
      </c>
      <c r="H402" s="2">
        <v>45257</v>
      </c>
      <c r="I402" s="2">
        <v>45298</v>
      </c>
      <c r="J402" s="1">
        <v>5788.56</v>
      </c>
      <c r="K402" s="1">
        <v>0.59109999999999996</v>
      </c>
      <c r="L402" s="1">
        <v>3421.62</v>
      </c>
      <c r="M402" s="1">
        <v>734423</v>
      </c>
      <c r="N402" s="1">
        <v>44344</v>
      </c>
      <c r="O402" s="1">
        <v>55447.54</v>
      </c>
      <c r="P402" s="1">
        <v>2023</v>
      </c>
      <c r="Q402" s="1" t="s">
        <v>65</v>
      </c>
      <c r="R402" s="1" t="s">
        <v>25</v>
      </c>
    </row>
    <row r="403" spans="1:18" x14ac:dyDescent="0.35">
      <c r="A403" s="3" t="s">
        <v>98</v>
      </c>
      <c r="B403" s="3"/>
      <c r="C403" s="1" t="s">
        <v>35</v>
      </c>
      <c r="D403" s="1" t="s">
        <v>58</v>
      </c>
      <c r="E403" s="1" t="s">
        <v>59</v>
      </c>
      <c r="F403" s="1" t="s">
        <v>22</v>
      </c>
      <c r="G403" s="1" t="s">
        <v>31</v>
      </c>
      <c r="H403" s="2">
        <v>45257</v>
      </c>
      <c r="I403" s="2">
        <v>45285</v>
      </c>
      <c r="J403" s="1">
        <v>44978.96</v>
      </c>
      <c r="K403" s="1">
        <v>0.98609999999999998</v>
      </c>
      <c r="L403" s="1">
        <v>44353.75</v>
      </c>
      <c r="M403" s="1">
        <v>805284</v>
      </c>
      <c r="N403" s="1">
        <v>28105</v>
      </c>
      <c r="O403" s="1">
        <v>211610.86</v>
      </c>
      <c r="P403" s="1">
        <v>2023</v>
      </c>
      <c r="Q403" s="1" t="s">
        <v>65</v>
      </c>
      <c r="R403" s="1" t="s">
        <v>25</v>
      </c>
    </row>
    <row r="404" spans="1:18" x14ac:dyDescent="0.35">
      <c r="A404" s="3" t="s">
        <v>94</v>
      </c>
      <c r="B404" s="3"/>
      <c r="C404" s="1" t="s">
        <v>28</v>
      </c>
      <c r="D404" s="1" t="s">
        <v>69</v>
      </c>
      <c r="E404" s="1" t="s">
        <v>21</v>
      </c>
      <c r="F404" s="1" t="s">
        <v>30</v>
      </c>
      <c r="G404" s="1" t="s">
        <v>23</v>
      </c>
      <c r="H404" s="2">
        <v>45260</v>
      </c>
      <c r="I404" s="2">
        <v>45300</v>
      </c>
      <c r="J404" s="1">
        <v>5785.04</v>
      </c>
      <c r="K404" s="1">
        <v>0.53979999999999995</v>
      </c>
      <c r="L404" s="1">
        <v>3122.76</v>
      </c>
      <c r="M404" s="1">
        <v>332998</v>
      </c>
      <c r="N404" s="1">
        <v>26694</v>
      </c>
      <c r="O404" s="1">
        <v>22053.87</v>
      </c>
      <c r="P404" s="1">
        <v>2023</v>
      </c>
      <c r="Q404" s="1" t="s">
        <v>65</v>
      </c>
      <c r="R404" s="1" t="s">
        <v>25</v>
      </c>
    </row>
    <row r="405" spans="1:18" x14ac:dyDescent="0.35">
      <c r="A405" s="3" t="s">
        <v>67</v>
      </c>
      <c r="B405" s="3"/>
      <c r="C405" s="1" t="s">
        <v>28</v>
      </c>
      <c r="D405" s="1" t="s">
        <v>29</v>
      </c>
      <c r="E405" s="1" t="s">
        <v>21</v>
      </c>
      <c r="F405" s="1" t="s">
        <v>38</v>
      </c>
      <c r="G405" s="1" t="s">
        <v>52</v>
      </c>
      <c r="H405" s="2">
        <v>45261</v>
      </c>
      <c r="I405" s="2">
        <v>45308</v>
      </c>
      <c r="J405" s="1">
        <v>37685.129999999997</v>
      </c>
      <c r="K405" s="1">
        <v>0.58689999999999998</v>
      </c>
      <c r="L405" s="1">
        <v>22117.4</v>
      </c>
      <c r="M405" s="1">
        <v>81551</v>
      </c>
      <c r="N405" s="1">
        <v>5509</v>
      </c>
      <c r="O405" s="1">
        <v>139364.99</v>
      </c>
      <c r="P405" s="1">
        <v>2023</v>
      </c>
      <c r="Q405" s="1" t="s">
        <v>73</v>
      </c>
      <c r="R405" s="1" t="s">
        <v>25</v>
      </c>
    </row>
    <row r="406" spans="1:18" x14ac:dyDescent="0.35">
      <c r="A406" s="3" t="s">
        <v>105</v>
      </c>
      <c r="B406" s="3"/>
      <c r="C406" s="1" t="s">
        <v>28</v>
      </c>
      <c r="D406" s="1" t="s">
        <v>69</v>
      </c>
      <c r="E406" s="1" t="s">
        <v>63</v>
      </c>
      <c r="F406" s="1" t="s">
        <v>30</v>
      </c>
      <c r="G406" s="1" t="s">
        <v>31</v>
      </c>
      <c r="H406" s="2">
        <v>45261</v>
      </c>
      <c r="I406" s="2">
        <v>45285</v>
      </c>
      <c r="J406" s="1">
        <v>25518.38</v>
      </c>
      <c r="K406" s="1">
        <v>0.14960000000000001</v>
      </c>
      <c r="L406" s="1">
        <v>3817.55</v>
      </c>
      <c r="M406" s="1">
        <v>597354</v>
      </c>
      <c r="N406" s="1">
        <v>25871</v>
      </c>
      <c r="O406" s="1">
        <v>97440.84</v>
      </c>
      <c r="P406" s="1">
        <v>2023</v>
      </c>
      <c r="Q406" s="1" t="s">
        <v>73</v>
      </c>
      <c r="R406" s="1" t="s">
        <v>25</v>
      </c>
    </row>
    <row r="407" spans="1:18" x14ac:dyDescent="0.35">
      <c r="A407" s="3" t="s">
        <v>42</v>
      </c>
      <c r="B407" s="3"/>
      <c r="C407" s="1" t="s">
        <v>19</v>
      </c>
      <c r="D407" s="1" t="s">
        <v>69</v>
      </c>
      <c r="E407" s="1" t="s">
        <v>59</v>
      </c>
      <c r="F407" s="1" t="s">
        <v>22</v>
      </c>
      <c r="G407" s="1" t="s">
        <v>23</v>
      </c>
      <c r="H407" s="2">
        <v>45263</v>
      </c>
      <c r="I407" s="2">
        <v>45269</v>
      </c>
      <c r="J407" s="1">
        <v>14929.78</v>
      </c>
      <c r="K407" s="1">
        <v>1.1778</v>
      </c>
      <c r="L407" s="1">
        <v>17584.29</v>
      </c>
      <c r="M407" s="1">
        <v>137916</v>
      </c>
      <c r="N407" s="1">
        <v>25932</v>
      </c>
      <c r="O407" s="1">
        <v>96521.79</v>
      </c>
      <c r="P407" s="1">
        <v>2023</v>
      </c>
      <c r="Q407" s="1" t="s">
        <v>73</v>
      </c>
      <c r="R407" s="1" t="s">
        <v>25</v>
      </c>
    </row>
    <row r="408" spans="1:18" x14ac:dyDescent="0.35">
      <c r="A408" s="3" t="s">
        <v>27</v>
      </c>
      <c r="B408" s="3"/>
      <c r="C408" s="1" t="s">
        <v>35</v>
      </c>
      <c r="D408" s="1" t="s">
        <v>69</v>
      </c>
      <c r="E408" s="1" t="s">
        <v>63</v>
      </c>
      <c r="F408" s="1" t="s">
        <v>22</v>
      </c>
      <c r="G408" s="1" t="s">
        <v>23</v>
      </c>
      <c r="H408" s="2">
        <v>45266</v>
      </c>
      <c r="I408" s="2">
        <v>45284</v>
      </c>
      <c r="J408" s="1">
        <v>48745.52</v>
      </c>
      <c r="K408" s="1">
        <v>0.497</v>
      </c>
      <c r="L408" s="1">
        <v>24226.52</v>
      </c>
      <c r="M408" s="1">
        <v>591028</v>
      </c>
      <c r="N408" s="1">
        <v>47419</v>
      </c>
      <c r="O408" s="1">
        <v>231765.53</v>
      </c>
      <c r="P408" s="1">
        <v>2023</v>
      </c>
      <c r="Q408" s="1" t="s">
        <v>73</v>
      </c>
      <c r="R408" s="1" t="s">
        <v>25</v>
      </c>
    </row>
    <row r="409" spans="1:18" x14ac:dyDescent="0.35">
      <c r="A409" s="3" t="s">
        <v>86</v>
      </c>
      <c r="B409" s="3"/>
      <c r="C409" s="1" t="s">
        <v>35</v>
      </c>
      <c r="D409" s="1" t="s">
        <v>29</v>
      </c>
      <c r="E409" s="1" t="s">
        <v>63</v>
      </c>
      <c r="F409" s="1" t="s">
        <v>22</v>
      </c>
      <c r="G409" s="1" t="s">
        <v>52</v>
      </c>
      <c r="H409" s="2">
        <v>45268</v>
      </c>
      <c r="I409" s="2">
        <v>45302</v>
      </c>
      <c r="J409" s="1">
        <v>44570.11</v>
      </c>
      <c r="K409" s="1">
        <v>0.13270000000000001</v>
      </c>
      <c r="L409" s="1">
        <v>5914.45</v>
      </c>
      <c r="M409" s="1">
        <v>813398</v>
      </c>
      <c r="N409" s="1">
        <v>43287</v>
      </c>
      <c r="O409" s="1">
        <v>187660.91</v>
      </c>
      <c r="P409" s="1">
        <v>2023</v>
      </c>
      <c r="Q409" s="1" t="s">
        <v>73</v>
      </c>
      <c r="R409" s="1" t="s">
        <v>25</v>
      </c>
    </row>
    <row r="410" spans="1:18" x14ac:dyDescent="0.35">
      <c r="A410" s="3" t="s">
        <v>87</v>
      </c>
      <c r="B410" s="3"/>
      <c r="C410" s="1" t="s">
        <v>35</v>
      </c>
      <c r="D410" s="1" t="s">
        <v>36</v>
      </c>
      <c r="E410" s="1" t="s">
        <v>21</v>
      </c>
      <c r="F410" s="1" t="s">
        <v>38</v>
      </c>
      <c r="G410" s="1" t="s">
        <v>49</v>
      </c>
      <c r="H410" s="2">
        <v>45268</v>
      </c>
      <c r="I410" s="2">
        <v>45273</v>
      </c>
      <c r="J410" s="1">
        <v>6030.51</v>
      </c>
      <c r="K410" s="1">
        <v>1.0186999999999999</v>
      </c>
      <c r="L410" s="1">
        <v>6143.28</v>
      </c>
      <c r="M410" s="1">
        <v>462762</v>
      </c>
      <c r="N410" s="1">
        <v>27342</v>
      </c>
      <c r="O410" s="1">
        <v>212910.98</v>
      </c>
      <c r="P410" s="1">
        <v>2023</v>
      </c>
      <c r="Q410" s="1" t="s">
        <v>73</v>
      </c>
      <c r="R410" s="1" t="s">
        <v>25</v>
      </c>
    </row>
    <row r="411" spans="1:18" x14ac:dyDescent="0.35">
      <c r="A411" s="3" t="s">
        <v>85</v>
      </c>
      <c r="B411" s="3"/>
      <c r="C411" s="1" t="s">
        <v>35</v>
      </c>
      <c r="D411" s="1" t="s">
        <v>69</v>
      </c>
      <c r="E411" s="1" t="s">
        <v>21</v>
      </c>
      <c r="F411" s="1" t="s">
        <v>22</v>
      </c>
      <c r="G411" s="1" t="s">
        <v>44</v>
      </c>
      <c r="H411" s="2">
        <v>45272</v>
      </c>
      <c r="I411" s="2">
        <v>45318</v>
      </c>
      <c r="J411" s="1">
        <v>1797.34</v>
      </c>
      <c r="K411" s="1">
        <v>0.56920000000000004</v>
      </c>
      <c r="L411" s="1">
        <v>1023.05</v>
      </c>
      <c r="M411" s="1">
        <v>880161</v>
      </c>
      <c r="N411" s="1">
        <v>27302</v>
      </c>
      <c r="O411" s="1">
        <v>182197.15</v>
      </c>
      <c r="P411" s="1">
        <v>2023</v>
      </c>
      <c r="Q411" s="1" t="s">
        <v>73</v>
      </c>
      <c r="R411" s="1" t="s">
        <v>25</v>
      </c>
    </row>
    <row r="412" spans="1:18" x14ac:dyDescent="0.35">
      <c r="A412" s="3" t="s">
        <v>95</v>
      </c>
      <c r="B412" s="3"/>
      <c r="C412" s="1" t="s">
        <v>28</v>
      </c>
      <c r="D412" s="1" t="s">
        <v>36</v>
      </c>
      <c r="E412" s="1" t="s">
        <v>51</v>
      </c>
      <c r="F412" s="1" t="s">
        <v>38</v>
      </c>
      <c r="G412" s="1" t="s">
        <v>44</v>
      </c>
      <c r="H412" s="2">
        <v>45275</v>
      </c>
      <c r="I412" s="2">
        <v>45333</v>
      </c>
      <c r="J412" s="1">
        <v>3667.21</v>
      </c>
      <c r="K412" s="1">
        <v>0.40699999999999997</v>
      </c>
      <c r="L412" s="1">
        <v>1492.55</v>
      </c>
      <c r="M412" s="1">
        <v>842685</v>
      </c>
      <c r="N412" s="1">
        <v>15615</v>
      </c>
      <c r="O412" s="1">
        <v>236169.16</v>
      </c>
      <c r="P412" s="1">
        <v>2023</v>
      </c>
      <c r="Q412" s="1" t="s">
        <v>73</v>
      </c>
      <c r="R412" s="1" t="s">
        <v>25</v>
      </c>
    </row>
    <row r="413" spans="1:18" x14ac:dyDescent="0.35">
      <c r="A413" s="3" t="s">
        <v>114</v>
      </c>
      <c r="B413" s="3"/>
      <c r="C413" s="1" t="s">
        <v>48</v>
      </c>
      <c r="D413" s="1" t="s">
        <v>20</v>
      </c>
      <c r="E413" s="1" t="s">
        <v>21</v>
      </c>
      <c r="F413" s="1" t="s">
        <v>30</v>
      </c>
      <c r="G413" s="1" t="s">
        <v>31</v>
      </c>
      <c r="H413" s="2">
        <v>45275</v>
      </c>
      <c r="I413" s="2">
        <v>45291</v>
      </c>
      <c r="J413" s="1">
        <v>34435.699999999997</v>
      </c>
      <c r="K413" s="1">
        <v>1.1496999999999999</v>
      </c>
      <c r="L413" s="1">
        <v>39590.720000000001</v>
      </c>
      <c r="M413" s="1">
        <v>773660</v>
      </c>
      <c r="N413" s="1">
        <v>42189</v>
      </c>
      <c r="O413" s="1">
        <v>134397.85</v>
      </c>
      <c r="P413" s="1">
        <v>2023</v>
      </c>
      <c r="Q413" s="1" t="s">
        <v>73</v>
      </c>
      <c r="R413" s="1" t="s">
        <v>25</v>
      </c>
    </row>
    <row r="414" spans="1:18" x14ac:dyDescent="0.35">
      <c r="A414" s="3" t="s">
        <v>27</v>
      </c>
      <c r="B414" s="3"/>
      <c r="C414" s="1" t="s">
        <v>48</v>
      </c>
      <c r="D414" s="1" t="s">
        <v>58</v>
      </c>
      <c r="E414" s="1" t="s">
        <v>63</v>
      </c>
      <c r="F414" s="1" t="s">
        <v>30</v>
      </c>
      <c r="G414" s="1" t="s">
        <v>44</v>
      </c>
      <c r="H414" s="2">
        <v>45277</v>
      </c>
      <c r="I414" s="2">
        <v>45330</v>
      </c>
      <c r="J414" s="1">
        <v>15548.34</v>
      </c>
      <c r="K414" s="1">
        <v>0.24629999999999999</v>
      </c>
      <c r="L414" s="1">
        <v>3829.56</v>
      </c>
      <c r="M414" s="1">
        <v>997697</v>
      </c>
      <c r="N414" s="1">
        <v>27566</v>
      </c>
      <c r="O414" s="1">
        <v>122998.19</v>
      </c>
      <c r="P414" s="1">
        <v>2023</v>
      </c>
      <c r="Q414" s="1" t="s">
        <v>73</v>
      </c>
      <c r="R414" s="1" t="s">
        <v>25</v>
      </c>
    </row>
    <row r="415" spans="1:18" x14ac:dyDescent="0.35">
      <c r="A415" s="3" t="s">
        <v>62</v>
      </c>
      <c r="B415" s="3"/>
      <c r="C415" s="1" t="s">
        <v>19</v>
      </c>
      <c r="D415" s="1" t="s">
        <v>69</v>
      </c>
      <c r="E415" s="1" t="s">
        <v>37</v>
      </c>
      <c r="F415" s="1" t="s">
        <v>38</v>
      </c>
      <c r="G415" s="1" t="s">
        <v>44</v>
      </c>
      <c r="H415" s="2">
        <v>45279</v>
      </c>
      <c r="I415" s="2">
        <v>45320</v>
      </c>
      <c r="J415" s="1">
        <v>25617.27</v>
      </c>
      <c r="K415" s="1">
        <v>0.47220000000000001</v>
      </c>
      <c r="L415" s="1">
        <v>12096.47</v>
      </c>
      <c r="M415" s="1">
        <v>198550</v>
      </c>
      <c r="N415" s="1">
        <v>1808</v>
      </c>
      <c r="O415" s="1">
        <v>83125</v>
      </c>
      <c r="P415" s="1">
        <v>2023</v>
      </c>
      <c r="Q415" s="1" t="s">
        <v>73</v>
      </c>
      <c r="R415" s="1" t="s">
        <v>25</v>
      </c>
    </row>
    <row r="416" spans="1:18" x14ac:dyDescent="0.35">
      <c r="A416" s="3" t="s">
        <v>81</v>
      </c>
      <c r="B416" s="3"/>
      <c r="C416" s="1" t="s">
        <v>28</v>
      </c>
      <c r="D416" s="1" t="s">
        <v>58</v>
      </c>
      <c r="E416" s="1" t="s">
        <v>21</v>
      </c>
      <c r="F416" s="1" t="s">
        <v>38</v>
      </c>
      <c r="G416" s="1" t="s">
        <v>52</v>
      </c>
      <c r="H416" s="2">
        <v>45280</v>
      </c>
      <c r="I416" s="2">
        <v>45307</v>
      </c>
      <c r="J416" s="1">
        <v>16096.18</v>
      </c>
      <c r="K416" s="1">
        <v>0.54020000000000001</v>
      </c>
      <c r="L416" s="1">
        <v>8695.16</v>
      </c>
      <c r="M416" s="1">
        <v>598285</v>
      </c>
      <c r="N416" s="1">
        <v>5840</v>
      </c>
      <c r="O416" s="1">
        <v>57845.31</v>
      </c>
      <c r="P416" s="1">
        <v>2023</v>
      </c>
      <c r="Q416" s="1" t="s">
        <v>73</v>
      </c>
      <c r="R416" s="1" t="s">
        <v>25</v>
      </c>
    </row>
    <row r="417" spans="1:18" x14ac:dyDescent="0.35">
      <c r="A417" s="3" t="s">
        <v>115</v>
      </c>
      <c r="B417" s="3"/>
      <c r="C417" s="1" t="s">
        <v>48</v>
      </c>
      <c r="D417" s="1" t="s">
        <v>69</v>
      </c>
      <c r="E417" s="1" t="s">
        <v>63</v>
      </c>
      <c r="F417" s="1" t="s">
        <v>38</v>
      </c>
      <c r="G417" s="1" t="s">
        <v>49</v>
      </c>
      <c r="H417" s="2">
        <v>45280</v>
      </c>
      <c r="I417" s="2">
        <v>45286</v>
      </c>
      <c r="J417" s="1">
        <v>24655.78</v>
      </c>
      <c r="K417" s="1">
        <v>0.36159999999999998</v>
      </c>
      <c r="L417" s="1">
        <v>8915.5300000000007</v>
      </c>
      <c r="M417" s="1">
        <v>975264</v>
      </c>
      <c r="N417" s="1">
        <v>5726</v>
      </c>
      <c r="O417" s="1">
        <v>33436.99</v>
      </c>
      <c r="P417" s="1">
        <v>2023</v>
      </c>
      <c r="Q417" s="1" t="s">
        <v>73</v>
      </c>
      <c r="R417" s="1" t="s">
        <v>25</v>
      </c>
    </row>
    <row r="418" spans="1:18" x14ac:dyDescent="0.35">
      <c r="A418" s="3" t="s">
        <v>101</v>
      </c>
      <c r="B418" s="3"/>
      <c r="C418" s="1" t="s">
        <v>19</v>
      </c>
      <c r="D418" s="1" t="s">
        <v>69</v>
      </c>
      <c r="E418" s="1" t="s">
        <v>59</v>
      </c>
      <c r="F418" s="1" t="s">
        <v>38</v>
      </c>
      <c r="G418" s="1" t="s">
        <v>44</v>
      </c>
      <c r="H418" s="2">
        <v>45282</v>
      </c>
      <c r="I418" s="2">
        <v>45339</v>
      </c>
      <c r="J418" s="1">
        <v>14548.88</v>
      </c>
      <c r="K418" s="1">
        <v>0.73160000000000003</v>
      </c>
      <c r="L418" s="1">
        <v>10643.96</v>
      </c>
      <c r="M418" s="1">
        <v>213974</v>
      </c>
      <c r="N418" s="1">
        <v>29903</v>
      </c>
      <c r="O418" s="1">
        <v>232779.89</v>
      </c>
      <c r="P418" s="1">
        <v>2023</v>
      </c>
      <c r="Q418" s="1" t="s">
        <v>73</v>
      </c>
      <c r="R418" s="1" t="s">
        <v>25</v>
      </c>
    </row>
    <row r="419" spans="1:18" x14ac:dyDescent="0.35">
      <c r="A419" s="3" t="s">
        <v>42</v>
      </c>
      <c r="B419" s="3"/>
      <c r="C419" s="1" t="s">
        <v>48</v>
      </c>
      <c r="D419" s="1" t="s">
        <v>20</v>
      </c>
      <c r="E419" s="1" t="s">
        <v>21</v>
      </c>
      <c r="F419" s="1" t="s">
        <v>22</v>
      </c>
      <c r="G419" s="1" t="s">
        <v>52</v>
      </c>
      <c r="H419" s="2">
        <v>45283</v>
      </c>
      <c r="I419" s="2">
        <v>45336</v>
      </c>
      <c r="J419" s="1">
        <v>20176.77</v>
      </c>
      <c r="K419" s="1">
        <v>9.5500000000000002E-2</v>
      </c>
      <c r="L419" s="1">
        <v>1926.88</v>
      </c>
      <c r="M419" s="1">
        <v>772057</v>
      </c>
      <c r="N419" s="1">
        <v>18649</v>
      </c>
      <c r="O419" s="1">
        <v>74179.199999999997</v>
      </c>
      <c r="P419" s="1">
        <v>2023</v>
      </c>
      <c r="Q419" s="1" t="s">
        <v>73</v>
      </c>
      <c r="R419" s="1" t="s">
        <v>25</v>
      </c>
    </row>
    <row r="420" spans="1:18" x14ac:dyDescent="0.35">
      <c r="A420" s="3" t="s">
        <v>34</v>
      </c>
      <c r="B420" s="3"/>
      <c r="C420" s="1" t="s">
        <v>28</v>
      </c>
      <c r="D420" s="1" t="s">
        <v>20</v>
      </c>
      <c r="E420" s="1" t="s">
        <v>51</v>
      </c>
      <c r="F420" s="1" t="s">
        <v>22</v>
      </c>
      <c r="G420" s="1" t="s">
        <v>23</v>
      </c>
      <c r="H420" s="2">
        <v>45284</v>
      </c>
      <c r="I420" s="2">
        <v>45303</v>
      </c>
      <c r="J420" s="1">
        <v>44286.44</v>
      </c>
      <c r="K420" s="1">
        <v>0.7994</v>
      </c>
      <c r="L420" s="1">
        <v>35402.58</v>
      </c>
      <c r="M420" s="1">
        <v>357148</v>
      </c>
      <c r="N420" s="1">
        <v>23745</v>
      </c>
      <c r="O420" s="1">
        <v>76925.72</v>
      </c>
      <c r="P420" s="1">
        <v>2023</v>
      </c>
      <c r="Q420" s="1" t="s">
        <v>73</v>
      </c>
      <c r="R420" s="1" t="s">
        <v>25</v>
      </c>
    </row>
    <row r="421" spans="1:18" x14ac:dyDescent="0.35">
      <c r="A421" s="3" t="s">
        <v>42</v>
      </c>
      <c r="B421" s="3"/>
      <c r="C421" s="1" t="s">
        <v>48</v>
      </c>
      <c r="D421" s="1" t="s">
        <v>29</v>
      </c>
      <c r="E421" s="1" t="s">
        <v>51</v>
      </c>
      <c r="F421" s="1" t="s">
        <v>38</v>
      </c>
      <c r="G421" s="1" t="s">
        <v>52</v>
      </c>
      <c r="H421" s="2">
        <v>45285</v>
      </c>
      <c r="I421" s="2">
        <v>45329</v>
      </c>
      <c r="J421" s="1">
        <v>41257.620000000003</v>
      </c>
      <c r="K421" s="1">
        <v>0.96530000000000005</v>
      </c>
      <c r="L421" s="1">
        <v>39825.980000000003</v>
      </c>
      <c r="M421" s="1">
        <v>663453</v>
      </c>
      <c r="N421" s="1">
        <v>9656</v>
      </c>
      <c r="O421" s="1">
        <v>112913.54</v>
      </c>
      <c r="P421" s="1">
        <v>2023</v>
      </c>
      <c r="Q421" s="1" t="s">
        <v>73</v>
      </c>
      <c r="R421" s="1" t="s">
        <v>25</v>
      </c>
    </row>
    <row r="422" spans="1:18" x14ac:dyDescent="0.35">
      <c r="A422" s="3" t="s">
        <v>78</v>
      </c>
      <c r="B422" s="3"/>
      <c r="C422" s="1" t="s">
        <v>35</v>
      </c>
      <c r="D422" s="1" t="s">
        <v>20</v>
      </c>
      <c r="E422" s="1" t="s">
        <v>21</v>
      </c>
      <c r="F422" s="1" t="s">
        <v>30</v>
      </c>
      <c r="G422" s="1" t="s">
        <v>31</v>
      </c>
      <c r="H422" s="2">
        <v>45285</v>
      </c>
      <c r="I422" s="2">
        <v>45309</v>
      </c>
      <c r="J422" s="1">
        <v>48417.13</v>
      </c>
      <c r="K422" s="1">
        <v>0.84119999999999995</v>
      </c>
      <c r="L422" s="1">
        <v>40728.49</v>
      </c>
      <c r="M422" s="1">
        <v>420997</v>
      </c>
      <c r="N422" s="1">
        <v>8550</v>
      </c>
      <c r="O422" s="1">
        <v>150785.1</v>
      </c>
      <c r="P422" s="1">
        <v>2023</v>
      </c>
      <c r="Q422" s="1" t="s">
        <v>73</v>
      </c>
      <c r="R422" s="1" t="s">
        <v>25</v>
      </c>
    </row>
    <row r="423" spans="1:18" x14ac:dyDescent="0.35">
      <c r="A423" s="3" t="s">
        <v>87</v>
      </c>
      <c r="B423" s="3"/>
      <c r="C423" s="1" t="s">
        <v>19</v>
      </c>
      <c r="D423" s="1" t="s">
        <v>69</v>
      </c>
      <c r="E423" s="1" t="s">
        <v>37</v>
      </c>
      <c r="F423" s="1" t="s">
        <v>38</v>
      </c>
      <c r="G423" s="1" t="s">
        <v>23</v>
      </c>
      <c r="H423" s="2">
        <v>45286</v>
      </c>
      <c r="I423" s="2">
        <v>45344</v>
      </c>
      <c r="J423" s="1">
        <v>31978.14</v>
      </c>
      <c r="K423" s="1">
        <v>0.70630000000000004</v>
      </c>
      <c r="L423" s="1">
        <v>22586.16</v>
      </c>
      <c r="M423" s="1">
        <v>545118</v>
      </c>
      <c r="N423" s="1">
        <v>18536</v>
      </c>
      <c r="O423" s="1">
        <v>16143.76</v>
      </c>
      <c r="P423" s="1">
        <v>2023</v>
      </c>
      <c r="Q423" s="1" t="s">
        <v>73</v>
      </c>
      <c r="R423" s="1" t="s">
        <v>25</v>
      </c>
    </row>
    <row r="424" spans="1:18" x14ac:dyDescent="0.35">
      <c r="A424" s="3" t="s">
        <v>92</v>
      </c>
      <c r="B424" s="3"/>
      <c r="C424" s="1" t="s">
        <v>35</v>
      </c>
      <c r="D424" s="1" t="s">
        <v>29</v>
      </c>
      <c r="E424" s="1" t="s">
        <v>63</v>
      </c>
      <c r="F424" s="1" t="s">
        <v>38</v>
      </c>
      <c r="G424" s="1" t="s">
        <v>31</v>
      </c>
      <c r="H424" s="2">
        <v>45286</v>
      </c>
      <c r="I424" s="2">
        <v>45336</v>
      </c>
      <c r="J424" s="1">
        <v>21485.64</v>
      </c>
      <c r="K424" s="1">
        <v>0.3906</v>
      </c>
      <c r="L424" s="1">
        <v>8392.2900000000009</v>
      </c>
      <c r="M424" s="1">
        <v>59866</v>
      </c>
      <c r="N424" s="1">
        <v>12011</v>
      </c>
      <c r="O424" s="1">
        <v>15017.84</v>
      </c>
      <c r="P424" s="1">
        <v>2023</v>
      </c>
      <c r="Q424" s="1" t="s">
        <v>73</v>
      </c>
      <c r="R424" s="1" t="s">
        <v>25</v>
      </c>
    </row>
    <row r="425" spans="1:18" x14ac:dyDescent="0.35">
      <c r="A425" s="3" t="s">
        <v>86</v>
      </c>
      <c r="B425" s="3"/>
      <c r="C425" s="1" t="s">
        <v>19</v>
      </c>
      <c r="D425" s="1" t="s">
        <v>69</v>
      </c>
      <c r="E425" s="1" t="s">
        <v>59</v>
      </c>
      <c r="F425" s="1" t="s">
        <v>30</v>
      </c>
      <c r="G425" s="1" t="s">
        <v>31</v>
      </c>
      <c r="H425" s="2">
        <v>45286</v>
      </c>
      <c r="I425" s="2">
        <v>45332</v>
      </c>
      <c r="J425" s="1">
        <v>25960.880000000001</v>
      </c>
      <c r="K425" s="1">
        <v>0.81859999999999999</v>
      </c>
      <c r="L425" s="1">
        <v>21251.58</v>
      </c>
      <c r="M425" s="1">
        <v>894642</v>
      </c>
      <c r="N425" s="1">
        <v>35241</v>
      </c>
      <c r="O425" s="1">
        <v>86131.72</v>
      </c>
      <c r="P425" s="1">
        <v>2023</v>
      </c>
      <c r="Q425" s="1" t="s">
        <v>73</v>
      </c>
      <c r="R425" s="1" t="s">
        <v>25</v>
      </c>
    </row>
    <row r="426" spans="1:18" x14ac:dyDescent="0.35">
      <c r="A426" s="3" t="s">
        <v>71</v>
      </c>
      <c r="B426" s="3"/>
      <c r="C426" s="1" t="s">
        <v>48</v>
      </c>
      <c r="D426" s="1" t="s">
        <v>36</v>
      </c>
      <c r="E426" s="1" t="s">
        <v>51</v>
      </c>
      <c r="F426" s="1" t="s">
        <v>38</v>
      </c>
      <c r="G426" s="1" t="s">
        <v>52</v>
      </c>
      <c r="H426" s="2">
        <v>45287</v>
      </c>
      <c r="I426" s="2">
        <v>45334</v>
      </c>
      <c r="J426" s="1">
        <v>41871.39</v>
      </c>
      <c r="K426" s="1">
        <v>6.9400000000000003E-2</v>
      </c>
      <c r="L426" s="1">
        <v>2905.87</v>
      </c>
      <c r="M426" s="1">
        <v>154408</v>
      </c>
      <c r="N426" s="1">
        <v>23051</v>
      </c>
      <c r="O426" s="1">
        <v>220286.91</v>
      </c>
      <c r="P426" s="1">
        <v>2023</v>
      </c>
      <c r="Q426" s="1" t="s">
        <v>73</v>
      </c>
      <c r="R426" s="1" t="s">
        <v>25</v>
      </c>
    </row>
    <row r="427" spans="1:18" x14ac:dyDescent="0.35">
      <c r="A427" s="3" t="s">
        <v>118</v>
      </c>
      <c r="B427" s="3"/>
      <c r="C427" s="1" t="s">
        <v>19</v>
      </c>
      <c r="D427" s="1" t="s">
        <v>36</v>
      </c>
      <c r="E427" s="1" t="s">
        <v>21</v>
      </c>
      <c r="F427" s="1" t="s">
        <v>38</v>
      </c>
      <c r="G427" s="1" t="s">
        <v>52</v>
      </c>
      <c r="H427" s="2">
        <v>45288</v>
      </c>
      <c r="I427" s="2">
        <v>45345</v>
      </c>
      <c r="J427" s="1">
        <v>19442.45</v>
      </c>
      <c r="K427" s="1">
        <v>0.72560000000000002</v>
      </c>
      <c r="L427" s="1">
        <v>14107.44</v>
      </c>
      <c r="M427" s="1">
        <v>415537</v>
      </c>
      <c r="N427" s="1">
        <v>11712</v>
      </c>
      <c r="O427" s="1">
        <v>210590.72</v>
      </c>
      <c r="P427" s="1">
        <v>2023</v>
      </c>
      <c r="Q427" s="1" t="s">
        <v>73</v>
      </c>
      <c r="R427" s="1" t="s">
        <v>25</v>
      </c>
    </row>
    <row r="428" spans="1:18" x14ac:dyDescent="0.35">
      <c r="A428" s="3" t="s">
        <v>89</v>
      </c>
      <c r="B428" s="3"/>
      <c r="C428" s="1" t="s">
        <v>19</v>
      </c>
      <c r="D428" s="1" t="s">
        <v>36</v>
      </c>
      <c r="E428" s="1" t="s">
        <v>21</v>
      </c>
      <c r="F428" s="1" t="s">
        <v>22</v>
      </c>
      <c r="G428" s="1" t="s">
        <v>52</v>
      </c>
      <c r="H428" s="2">
        <v>45288</v>
      </c>
      <c r="I428" s="2">
        <v>45328</v>
      </c>
      <c r="J428" s="1">
        <v>41941.56</v>
      </c>
      <c r="K428" s="1">
        <v>0.2984</v>
      </c>
      <c r="L428" s="1">
        <v>12515.36</v>
      </c>
      <c r="M428" s="1">
        <v>688569</v>
      </c>
      <c r="N428" s="1">
        <v>48286</v>
      </c>
      <c r="O428" s="1">
        <v>214686.55</v>
      </c>
      <c r="P428" s="1">
        <v>2023</v>
      </c>
      <c r="Q428" s="1" t="s">
        <v>73</v>
      </c>
      <c r="R428" s="1" t="s">
        <v>25</v>
      </c>
    </row>
    <row r="429" spans="1:18" x14ac:dyDescent="0.35">
      <c r="A429" s="3" t="s">
        <v>42</v>
      </c>
      <c r="B429" s="3"/>
      <c r="C429" s="1" t="s">
        <v>48</v>
      </c>
      <c r="D429" s="1" t="s">
        <v>29</v>
      </c>
      <c r="E429" s="1" t="s">
        <v>59</v>
      </c>
      <c r="F429" s="1" t="s">
        <v>38</v>
      </c>
      <c r="G429" s="1" t="s">
        <v>23</v>
      </c>
      <c r="H429" s="2">
        <v>45289</v>
      </c>
      <c r="I429" s="2">
        <v>45343</v>
      </c>
      <c r="J429" s="1">
        <v>28434.29</v>
      </c>
      <c r="K429" s="1">
        <v>1.0508999999999999</v>
      </c>
      <c r="L429" s="1">
        <v>29881.599999999999</v>
      </c>
      <c r="M429" s="1">
        <v>660810</v>
      </c>
      <c r="N429" s="1">
        <v>49217</v>
      </c>
      <c r="O429" s="1">
        <v>42865.57</v>
      </c>
      <c r="P429" s="1">
        <v>2023</v>
      </c>
      <c r="Q429" s="1" t="s">
        <v>73</v>
      </c>
      <c r="R429" s="1" t="s">
        <v>25</v>
      </c>
    </row>
    <row r="430" spans="1:18" x14ac:dyDescent="0.35">
      <c r="A430" s="3" t="s">
        <v>72</v>
      </c>
      <c r="B430" s="3"/>
      <c r="C430" s="1" t="s">
        <v>19</v>
      </c>
      <c r="D430" s="1" t="s">
        <v>36</v>
      </c>
      <c r="E430" s="1" t="s">
        <v>21</v>
      </c>
      <c r="F430" s="1" t="s">
        <v>30</v>
      </c>
      <c r="G430" s="1" t="s">
        <v>31</v>
      </c>
      <c r="H430" s="2">
        <v>45289</v>
      </c>
      <c r="I430" s="2">
        <v>45321</v>
      </c>
      <c r="J430" s="1">
        <v>21144.01</v>
      </c>
      <c r="K430" s="1">
        <v>1.038</v>
      </c>
      <c r="L430" s="1">
        <v>21947.48</v>
      </c>
      <c r="M430" s="1">
        <v>66802</v>
      </c>
      <c r="N430" s="1">
        <v>44229</v>
      </c>
      <c r="O430" s="1">
        <v>165096.59</v>
      </c>
      <c r="P430" s="1">
        <v>2023</v>
      </c>
      <c r="Q430" s="1" t="s">
        <v>73</v>
      </c>
      <c r="R430" s="1" t="s">
        <v>25</v>
      </c>
    </row>
    <row r="431" spans="1:18" x14ac:dyDescent="0.35">
      <c r="A431" s="3" t="s">
        <v>111</v>
      </c>
      <c r="B431" s="3"/>
      <c r="C431" s="1" t="s">
        <v>28</v>
      </c>
      <c r="D431" s="1" t="s">
        <v>58</v>
      </c>
      <c r="E431" s="1" t="s">
        <v>51</v>
      </c>
      <c r="F431" s="1" t="s">
        <v>38</v>
      </c>
      <c r="G431" s="1" t="s">
        <v>49</v>
      </c>
      <c r="H431" s="2">
        <v>45292</v>
      </c>
      <c r="I431" s="2">
        <v>45352</v>
      </c>
      <c r="J431" s="1">
        <v>39261.24</v>
      </c>
      <c r="K431" s="1">
        <v>1.0403</v>
      </c>
      <c r="L431" s="1">
        <v>40843.47</v>
      </c>
      <c r="M431" s="1">
        <v>358048</v>
      </c>
      <c r="N431" s="1">
        <v>18005</v>
      </c>
      <c r="O431" s="1">
        <v>35496.379999999997</v>
      </c>
      <c r="P431" s="1">
        <v>2024</v>
      </c>
      <c r="Q431" s="1" t="s">
        <v>56</v>
      </c>
      <c r="R431" s="1" t="s">
        <v>40</v>
      </c>
    </row>
    <row r="432" spans="1:18" x14ac:dyDescent="0.35">
      <c r="A432" s="3" t="s">
        <v>93</v>
      </c>
      <c r="B432" s="3"/>
      <c r="C432" s="1" t="s">
        <v>35</v>
      </c>
      <c r="D432" s="1" t="s">
        <v>36</v>
      </c>
      <c r="E432" s="1" t="s">
        <v>59</v>
      </c>
      <c r="F432" s="1" t="s">
        <v>38</v>
      </c>
      <c r="G432" s="1" t="s">
        <v>52</v>
      </c>
      <c r="H432" s="2">
        <v>45292</v>
      </c>
      <c r="I432" s="2">
        <v>45342</v>
      </c>
      <c r="J432" s="1">
        <v>28481.87</v>
      </c>
      <c r="K432" s="1">
        <v>0.55469999999999997</v>
      </c>
      <c r="L432" s="1">
        <v>15798.89</v>
      </c>
      <c r="M432" s="1">
        <v>127955</v>
      </c>
      <c r="N432" s="1">
        <v>47270</v>
      </c>
      <c r="O432" s="1">
        <v>217385.43</v>
      </c>
      <c r="P432" s="1">
        <v>2024</v>
      </c>
      <c r="Q432" s="1" t="s">
        <v>56</v>
      </c>
      <c r="R432" s="1" t="s">
        <v>40</v>
      </c>
    </row>
    <row r="433" spans="1:18" x14ac:dyDescent="0.35">
      <c r="A433" s="3" t="s">
        <v>91</v>
      </c>
      <c r="B433" s="3"/>
      <c r="C433" s="1" t="s">
        <v>48</v>
      </c>
      <c r="D433" s="1" t="s">
        <v>36</v>
      </c>
      <c r="E433" s="1" t="s">
        <v>51</v>
      </c>
      <c r="F433" s="1" t="s">
        <v>38</v>
      </c>
      <c r="G433" s="1" t="s">
        <v>44</v>
      </c>
      <c r="H433" s="2">
        <v>45292</v>
      </c>
      <c r="I433" s="2">
        <v>45317</v>
      </c>
      <c r="J433" s="1">
        <v>9507.4599999999991</v>
      </c>
      <c r="K433" s="1">
        <v>0.48849999999999999</v>
      </c>
      <c r="L433" s="1">
        <v>4644.3900000000003</v>
      </c>
      <c r="M433" s="1">
        <v>341601</v>
      </c>
      <c r="N433" s="1">
        <v>885</v>
      </c>
      <c r="O433" s="1">
        <v>100350.73</v>
      </c>
      <c r="P433" s="1">
        <v>2024</v>
      </c>
      <c r="Q433" s="1" t="s">
        <v>56</v>
      </c>
      <c r="R433" s="1" t="s">
        <v>40</v>
      </c>
    </row>
    <row r="434" spans="1:18" x14ac:dyDescent="0.35">
      <c r="A434" s="3" t="s">
        <v>89</v>
      </c>
      <c r="B434" s="3"/>
      <c r="C434" s="1" t="s">
        <v>28</v>
      </c>
      <c r="D434" s="1" t="s">
        <v>69</v>
      </c>
      <c r="E434" s="1" t="s">
        <v>59</v>
      </c>
      <c r="F434" s="1" t="s">
        <v>22</v>
      </c>
      <c r="G434" s="1" t="s">
        <v>23</v>
      </c>
      <c r="H434" s="2">
        <v>45293</v>
      </c>
      <c r="I434" s="2">
        <v>45343</v>
      </c>
      <c r="J434" s="1">
        <v>21078.06</v>
      </c>
      <c r="K434" s="1">
        <v>0.20080000000000001</v>
      </c>
      <c r="L434" s="1">
        <v>4232.47</v>
      </c>
      <c r="M434" s="1">
        <v>584765</v>
      </c>
      <c r="N434" s="1">
        <v>32629</v>
      </c>
      <c r="O434" s="1">
        <v>228037.37</v>
      </c>
      <c r="P434" s="1">
        <v>2024</v>
      </c>
      <c r="Q434" s="1" t="s">
        <v>56</v>
      </c>
      <c r="R434" s="1" t="s">
        <v>40</v>
      </c>
    </row>
    <row r="435" spans="1:18" x14ac:dyDescent="0.35">
      <c r="A435" s="3" t="s">
        <v>89</v>
      </c>
      <c r="B435" s="3"/>
      <c r="C435" s="1" t="s">
        <v>19</v>
      </c>
      <c r="D435" s="1" t="s">
        <v>20</v>
      </c>
      <c r="E435" s="1" t="s">
        <v>51</v>
      </c>
      <c r="F435" s="1" t="s">
        <v>30</v>
      </c>
      <c r="G435" s="1" t="s">
        <v>23</v>
      </c>
      <c r="H435" s="2">
        <v>45293</v>
      </c>
      <c r="I435" s="2">
        <v>45309</v>
      </c>
      <c r="J435" s="1">
        <v>11616.95</v>
      </c>
      <c r="K435" s="1">
        <v>5.0999999999999997E-2</v>
      </c>
      <c r="L435" s="1">
        <v>592.46</v>
      </c>
      <c r="M435" s="1">
        <v>717835</v>
      </c>
      <c r="N435" s="1">
        <v>34984</v>
      </c>
      <c r="O435" s="1">
        <v>57960.79</v>
      </c>
      <c r="P435" s="1">
        <v>2024</v>
      </c>
      <c r="Q435" s="1" t="s">
        <v>56</v>
      </c>
      <c r="R435" s="1" t="s">
        <v>40</v>
      </c>
    </row>
    <row r="436" spans="1:18" x14ac:dyDescent="0.35">
      <c r="A436" s="3" t="s">
        <v>18</v>
      </c>
      <c r="B436" s="3"/>
      <c r="C436" s="1" t="s">
        <v>48</v>
      </c>
      <c r="D436" s="1" t="s">
        <v>58</v>
      </c>
      <c r="E436" s="1" t="s">
        <v>37</v>
      </c>
      <c r="F436" s="1" t="s">
        <v>22</v>
      </c>
      <c r="G436" s="1" t="s">
        <v>44</v>
      </c>
      <c r="H436" s="2">
        <v>45296</v>
      </c>
      <c r="I436" s="2">
        <v>45321</v>
      </c>
      <c r="J436" s="1">
        <v>7467.16</v>
      </c>
      <c r="K436" s="1">
        <v>1.0344</v>
      </c>
      <c r="L436" s="1">
        <v>7724.03</v>
      </c>
      <c r="M436" s="1">
        <v>605990</v>
      </c>
      <c r="N436" s="1">
        <v>27681</v>
      </c>
      <c r="O436" s="1">
        <v>94526.05</v>
      </c>
      <c r="P436" s="1">
        <v>2024</v>
      </c>
      <c r="Q436" s="1" t="s">
        <v>56</v>
      </c>
      <c r="R436" s="1" t="s">
        <v>40</v>
      </c>
    </row>
    <row r="437" spans="1:18" x14ac:dyDescent="0.35">
      <c r="A437" s="3" t="s">
        <v>91</v>
      </c>
      <c r="B437" s="3"/>
      <c r="C437" s="1" t="s">
        <v>19</v>
      </c>
      <c r="D437" s="1" t="s">
        <v>29</v>
      </c>
      <c r="E437" s="1" t="s">
        <v>63</v>
      </c>
      <c r="F437" s="1" t="s">
        <v>22</v>
      </c>
      <c r="G437" s="1" t="s">
        <v>49</v>
      </c>
      <c r="H437" s="2">
        <v>45296</v>
      </c>
      <c r="I437" s="2">
        <v>45317</v>
      </c>
      <c r="J437" s="1">
        <v>47266.89</v>
      </c>
      <c r="K437" s="1">
        <v>0.8679</v>
      </c>
      <c r="L437" s="1">
        <v>41022.93</v>
      </c>
      <c r="M437" s="1">
        <v>529886</v>
      </c>
      <c r="N437" s="1">
        <v>39015</v>
      </c>
      <c r="O437" s="1">
        <v>156083.85</v>
      </c>
      <c r="P437" s="1">
        <v>2024</v>
      </c>
      <c r="Q437" s="1" t="s">
        <v>56</v>
      </c>
      <c r="R437" s="1" t="s">
        <v>40</v>
      </c>
    </row>
    <row r="438" spans="1:18" x14ac:dyDescent="0.35">
      <c r="A438" s="3" t="s">
        <v>88</v>
      </c>
      <c r="B438" s="3"/>
      <c r="C438" s="1" t="s">
        <v>19</v>
      </c>
      <c r="D438" s="1" t="s">
        <v>29</v>
      </c>
      <c r="E438" s="1" t="s">
        <v>63</v>
      </c>
      <c r="F438" s="1" t="s">
        <v>30</v>
      </c>
      <c r="G438" s="1" t="s">
        <v>23</v>
      </c>
      <c r="H438" s="2">
        <v>45296</v>
      </c>
      <c r="I438" s="2">
        <v>45304</v>
      </c>
      <c r="J438" s="1">
        <v>43319.23</v>
      </c>
      <c r="K438" s="1">
        <v>0.26919999999999999</v>
      </c>
      <c r="L438" s="1">
        <v>11661.54</v>
      </c>
      <c r="M438" s="1">
        <v>128414</v>
      </c>
      <c r="N438" s="1">
        <v>15564</v>
      </c>
      <c r="O438" s="1">
        <v>160062.70000000001</v>
      </c>
      <c r="P438" s="1">
        <v>2024</v>
      </c>
      <c r="Q438" s="1" t="s">
        <v>56</v>
      </c>
      <c r="R438" s="1" t="s">
        <v>40</v>
      </c>
    </row>
    <row r="439" spans="1:18" x14ac:dyDescent="0.35">
      <c r="A439" s="3" t="s">
        <v>96</v>
      </c>
      <c r="B439" s="3"/>
      <c r="C439" s="1" t="s">
        <v>28</v>
      </c>
      <c r="D439" s="1" t="s">
        <v>69</v>
      </c>
      <c r="E439" s="1" t="s">
        <v>37</v>
      </c>
      <c r="F439" s="1" t="s">
        <v>38</v>
      </c>
      <c r="G439" s="1" t="s">
        <v>52</v>
      </c>
      <c r="H439" s="2">
        <v>45297</v>
      </c>
      <c r="I439" s="2">
        <v>45335</v>
      </c>
      <c r="J439" s="1">
        <v>38192.06</v>
      </c>
      <c r="K439" s="1">
        <v>1.0617000000000001</v>
      </c>
      <c r="L439" s="1">
        <v>40548.51</v>
      </c>
      <c r="M439" s="1">
        <v>245455</v>
      </c>
      <c r="N439" s="1">
        <v>3177</v>
      </c>
      <c r="O439" s="1">
        <v>73093.59</v>
      </c>
      <c r="P439" s="1">
        <v>2024</v>
      </c>
      <c r="Q439" s="1" t="s">
        <v>56</v>
      </c>
      <c r="R439" s="1" t="s">
        <v>40</v>
      </c>
    </row>
    <row r="440" spans="1:18" x14ac:dyDescent="0.35">
      <c r="A440" s="3" t="s">
        <v>114</v>
      </c>
      <c r="B440" s="3"/>
      <c r="C440" s="1" t="s">
        <v>35</v>
      </c>
      <c r="D440" s="1" t="s">
        <v>36</v>
      </c>
      <c r="E440" s="1" t="s">
        <v>37</v>
      </c>
      <c r="F440" s="1" t="s">
        <v>22</v>
      </c>
      <c r="G440" s="1" t="s">
        <v>52</v>
      </c>
      <c r="H440" s="2">
        <v>45298</v>
      </c>
      <c r="I440" s="2">
        <v>45303</v>
      </c>
      <c r="J440" s="1">
        <v>4612.83</v>
      </c>
      <c r="K440" s="1">
        <v>4.5699999999999998E-2</v>
      </c>
      <c r="L440" s="1">
        <v>210.81</v>
      </c>
      <c r="M440" s="1">
        <v>130784</v>
      </c>
      <c r="N440" s="1">
        <v>9432</v>
      </c>
      <c r="O440" s="1">
        <v>76191.17</v>
      </c>
      <c r="P440" s="1">
        <v>2024</v>
      </c>
      <c r="Q440" s="1" t="s">
        <v>56</v>
      </c>
      <c r="R440" s="1" t="s">
        <v>40</v>
      </c>
    </row>
    <row r="441" spans="1:18" x14ac:dyDescent="0.35">
      <c r="A441" s="3" t="s">
        <v>107</v>
      </c>
      <c r="B441" s="3"/>
      <c r="C441" s="1" t="s">
        <v>28</v>
      </c>
      <c r="D441" s="1" t="s">
        <v>69</v>
      </c>
      <c r="E441" s="1" t="s">
        <v>51</v>
      </c>
      <c r="F441" s="1" t="s">
        <v>38</v>
      </c>
      <c r="G441" s="1" t="s">
        <v>23</v>
      </c>
      <c r="H441" s="2">
        <v>45299</v>
      </c>
      <c r="I441" s="2">
        <v>45356</v>
      </c>
      <c r="J441" s="1">
        <v>3659.49</v>
      </c>
      <c r="K441" s="1">
        <v>0.27529999999999999</v>
      </c>
      <c r="L441" s="1">
        <v>1007.46</v>
      </c>
      <c r="M441" s="1">
        <v>486535</v>
      </c>
      <c r="N441" s="1">
        <v>21856</v>
      </c>
      <c r="O441" s="1">
        <v>142236.96</v>
      </c>
      <c r="P441" s="1">
        <v>2024</v>
      </c>
      <c r="Q441" s="1" t="s">
        <v>56</v>
      </c>
      <c r="R441" s="1" t="s">
        <v>40</v>
      </c>
    </row>
    <row r="442" spans="1:18" x14ac:dyDescent="0.35">
      <c r="A442" s="3" t="s">
        <v>67</v>
      </c>
      <c r="B442" s="3"/>
      <c r="C442" s="1" t="s">
        <v>19</v>
      </c>
      <c r="D442" s="1" t="s">
        <v>20</v>
      </c>
      <c r="E442" s="1" t="s">
        <v>51</v>
      </c>
      <c r="F442" s="1" t="s">
        <v>30</v>
      </c>
      <c r="G442" s="1" t="s">
        <v>23</v>
      </c>
      <c r="H442" s="2">
        <v>45299</v>
      </c>
      <c r="I442" s="2">
        <v>45346</v>
      </c>
      <c r="J442" s="1">
        <v>33214.1</v>
      </c>
      <c r="K442" s="1">
        <v>0.11749999999999999</v>
      </c>
      <c r="L442" s="1">
        <v>3902.66</v>
      </c>
      <c r="M442" s="1">
        <v>998977</v>
      </c>
      <c r="N442" s="1">
        <v>47563</v>
      </c>
      <c r="O442" s="1">
        <v>211473.82</v>
      </c>
      <c r="P442" s="1">
        <v>2024</v>
      </c>
      <c r="Q442" s="1" t="s">
        <v>56</v>
      </c>
      <c r="R442" s="1" t="s">
        <v>40</v>
      </c>
    </row>
    <row r="443" spans="1:18" x14ac:dyDescent="0.35">
      <c r="A443" s="3" t="s">
        <v>103</v>
      </c>
      <c r="B443" s="3"/>
      <c r="C443" s="1" t="s">
        <v>28</v>
      </c>
      <c r="D443" s="1" t="s">
        <v>29</v>
      </c>
      <c r="E443" s="1" t="s">
        <v>63</v>
      </c>
      <c r="F443" s="1" t="s">
        <v>22</v>
      </c>
      <c r="G443" s="1" t="s">
        <v>49</v>
      </c>
      <c r="H443" s="2">
        <v>45299</v>
      </c>
      <c r="I443" s="2">
        <v>45328</v>
      </c>
      <c r="J443" s="1">
        <v>46091.1</v>
      </c>
      <c r="K443" s="1">
        <v>0.223</v>
      </c>
      <c r="L443" s="1">
        <v>10278.32</v>
      </c>
      <c r="M443" s="1">
        <v>909138</v>
      </c>
      <c r="N443" s="1">
        <v>2417</v>
      </c>
      <c r="O443" s="1">
        <v>140451.87</v>
      </c>
      <c r="P443" s="1">
        <v>2024</v>
      </c>
      <c r="Q443" s="1" t="s">
        <v>56</v>
      </c>
      <c r="R443" s="1" t="s">
        <v>40</v>
      </c>
    </row>
    <row r="444" spans="1:18" x14ac:dyDescent="0.35">
      <c r="A444" s="3" t="s">
        <v>96</v>
      </c>
      <c r="B444" s="3"/>
      <c r="C444" s="1" t="s">
        <v>35</v>
      </c>
      <c r="D444" s="1" t="s">
        <v>36</v>
      </c>
      <c r="E444" s="1" t="s">
        <v>51</v>
      </c>
      <c r="F444" s="1" t="s">
        <v>22</v>
      </c>
      <c r="G444" s="1" t="s">
        <v>49</v>
      </c>
      <c r="H444" s="2">
        <v>45300</v>
      </c>
      <c r="I444" s="2">
        <v>45334</v>
      </c>
      <c r="J444" s="1">
        <v>8239.44</v>
      </c>
      <c r="K444" s="1">
        <v>0.18909999999999999</v>
      </c>
      <c r="L444" s="1">
        <v>1558.08</v>
      </c>
      <c r="M444" s="1">
        <v>728596</v>
      </c>
      <c r="N444" s="1">
        <v>19778</v>
      </c>
      <c r="O444" s="1">
        <v>211809.89</v>
      </c>
      <c r="P444" s="1">
        <v>2024</v>
      </c>
      <c r="Q444" s="1" t="s">
        <v>56</v>
      </c>
      <c r="R444" s="1" t="s">
        <v>40</v>
      </c>
    </row>
    <row r="445" spans="1:18" x14ac:dyDescent="0.35">
      <c r="A445" s="3" t="s">
        <v>104</v>
      </c>
      <c r="B445" s="3"/>
      <c r="C445" s="1" t="s">
        <v>19</v>
      </c>
      <c r="D445" s="1" t="s">
        <v>29</v>
      </c>
      <c r="E445" s="1" t="s">
        <v>43</v>
      </c>
      <c r="F445" s="1" t="s">
        <v>38</v>
      </c>
      <c r="G445" s="1" t="s">
        <v>52</v>
      </c>
      <c r="H445" s="2">
        <v>45301</v>
      </c>
      <c r="I445" s="2">
        <v>45334</v>
      </c>
      <c r="J445" s="1">
        <v>31863.37</v>
      </c>
      <c r="K445" s="1">
        <v>0.1497</v>
      </c>
      <c r="L445" s="1">
        <v>4769.95</v>
      </c>
      <c r="M445" s="1">
        <v>467311</v>
      </c>
      <c r="N445" s="1">
        <v>4537</v>
      </c>
      <c r="O445" s="1">
        <v>123291.05</v>
      </c>
      <c r="P445" s="1">
        <v>2024</v>
      </c>
      <c r="Q445" s="1" t="s">
        <v>56</v>
      </c>
      <c r="R445" s="1" t="s">
        <v>40</v>
      </c>
    </row>
    <row r="446" spans="1:18" x14ac:dyDescent="0.35">
      <c r="A446" s="3" t="s">
        <v>98</v>
      </c>
      <c r="B446" s="3"/>
      <c r="C446" s="1" t="s">
        <v>28</v>
      </c>
      <c r="D446" s="1" t="s">
        <v>20</v>
      </c>
      <c r="E446" s="1" t="s">
        <v>21</v>
      </c>
      <c r="F446" s="1" t="s">
        <v>30</v>
      </c>
      <c r="G446" s="1" t="s">
        <v>31</v>
      </c>
      <c r="H446" s="2">
        <v>45301</v>
      </c>
      <c r="I446" s="2">
        <v>45308</v>
      </c>
      <c r="J446" s="1">
        <v>20628.5</v>
      </c>
      <c r="K446" s="1">
        <v>0.68859999999999999</v>
      </c>
      <c r="L446" s="1">
        <v>14204.79</v>
      </c>
      <c r="M446" s="1">
        <v>214110</v>
      </c>
      <c r="N446" s="1">
        <v>23858</v>
      </c>
      <c r="O446" s="1">
        <v>140539.62</v>
      </c>
      <c r="P446" s="1">
        <v>2024</v>
      </c>
      <c r="Q446" s="1" t="s">
        <v>56</v>
      </c>
      <c r="R446" s="1" t="s">
        <v>40</v>
      </c>
    </row>
    <row r="447" spans="1:18" x14ac:dyDescent="0.35">
      <c r="A447" s="3" t="s">
        <v>83</v>
      </c>
      <c r="B447" s="3"/>
      <c r="C447" s="1" t="s">
        <v>19</v>
      </c>
      <c r="D447" s="1" t="s">
        <v>69</v>
      </c>
      <c r="E447" s="1" t="s">
        <v>37</v>
      </c>
      <c r="F447" s="1" t="s">
        <v>38</v>
      </c>
      <c r="G447" s="1" t="s">
        <v>44</v>
      </c>
      <c r="H447" s="2">
        <v>45303</v>
      </c>
      <c r="I447" s="2">
        <v>45359</v>
      </c>
      <c r="J447" s="1">
        <v>25379.61</v>
      </c>
      <c r="K447" s="1">
        <v>0.33489999999999998</v>
      </c>
      <c r="L447" s="1">
        <v>8499.6299999999992</v>
      </c>
      <c r="M447" s="1">
        <v>35918</v>
      </c>
      <c r="N447" s="1">
        <v>11868</v>
      </c>
      <c r="O447" s="1">
        <v>113213.68</v>
      </c>
      <c r="P447" s="1">
        <v>2024</v>
      </c>
      <c r="Q447" s="1" t="s">
        <v>56</v>
      </c>
      <c r="R447" s="1" t="s">
        <v>40</v>
      </c>
    </row>
    <row r="448" spans="1:18" x14ac:dyDescent="0.35">
      <c r="A448" s="3" t="s">
        <v>50</v>
      </c>
      <c r="B448" s="3"/>
      <c r="C448" s="1" t="s">
        <v>35</v>
      </c>
      <c r="D448" s="1" t="s">
        <v>58</v>
      </c>
      <c r="E448" s="1" t="s">
        <v>51</v>
      </c>
      <c r="F448" s="1" t="s">
        <v>30</v>
      </c>
      <c r="G448" s="1" t="s">
        <v>49</v>
      </c>
      <c r="H448" s="2">
        <v>45303</v>
      </c>
      <c r="I448" s="2">
        <v>45347</v>
      </c>
      <c r="J448" s="1">
        <v>11821.61</v>
      </c>
      <c r="K448" s="1">
        <v>1.1493</v>
      </c>
      <c r="L448" s="1">
        <v>13586.58</v>
      </c>
      <c r="M448" s="1">
        <v>511410</v>
      </c>
      <c r="N448" s="1">
        <v>10139</v>
      </c>
      <c r="O448" s="1">
        <v>116469.77</v>
      </c>
      <c r="P448" s="1">
        <v>2024</v>
      </c>
      <c r="Q448" s="1" t="s">
        <v>56</v>
      </c>
      <c r="R448" s="1" t="s">
        <v>40</v>
      </c>
    </row>
    <row r="449" spans="1:18" x14ac:dyDescent="0.35">
      <c r="A449" s="3" t="s">
        <v>62</v>
      </c>
      <c r="B449" s="3"/>
      <c r="C449" s="1" t="s">
        <v>19</v>
      </c>
      <c r="D449" s="1" t="s">
        <v>36</v>
      </c>
      <c r="E449" s="1" t="s">
        <v>37</v>
      </c>
      <c r="F449" s="1" t="s">
        <v>22</v>
      </c>
      <c r="G449" s="1" t="s">
        <v>23</v>
      </c>
      <c r="H449" s="2">
        <v>45303</v>
      </c>
      <c r="I449" s="2">
        <v>45318</v>
      </c>
      <c r="J449" s="1">
        <v>13500.69</v>
      </c>
      <c r="K449" s="1">
        <v>0.13250000000000001</v>
      </c>
      <c r="L449" s="1">
        <v>1788.84</v>
      </c>
      <c r="M449" s="1">
        <v>611790</v>
      </c>
      <c r="N449" s="1">
        <v>44279</v>
      </c>
      <c r="O449" s="1">
        <v>182080.7</v>
      </c>
      <c r="P449" s="1">
        <v>2024</v>
      </c>
      <c r="Q449" s="1" t="s">
        <v>56</v>
      </c>
      <c r="R449" s="1" t="s">
        <v>40</v>
      </c>
    </row>
    <row r="450" spans="1:18" x14ac:dyDescent="0.35">
      <c r="A450" s="3" t="s">
        <v>72</v>
      </c>
      <c r="B450" s="3"/>
      <c r="C450" s="1" t="s">
        <v>28</v>
      </c>
      <c r="D450" s="1" t="s">
        <v>58</v>
      </c>
      <c r="E450" s="1" t="s">
        <v>37</v>
      </c>
      <c r="F450" s="1" t="s">
        <v>30</v>
      </c>
      <c r="G450" s="1" t="s">
        <v>31</v>
      </c>
      <c r="H450" s="2">
        <v>45304</v>
      </c>
      <c r="I450" s="2">
        <v>45325</v>
      </c>
      <c r="J450" s="1">
        <v>25636.87</v>
      </c>
      <c r="K450" s="1">
        <v>2.5499999999999998E-2</v>
      </c>
      <c r="L450" s="1">
        <v>653.74</v>
      </c>
      <c r="M450" s="1">
        <v>296290</v>
      </c>
      <c r="N450" s="1">
        <v>2297</v>
      </c>
      <c r="O450" s="1">
        <v>163568.44</v>
      </c>
      <c r="P450" s="1">
        <v>2024</v>
      </c>
      <c r="Q450" s="1" t="s">
        <v>56</v>
      </c>
      <c r="R450" s="1" t="s">
        <v>40</v>
      </c>
    </row>
    <row r="451" spans="1:18" x14ac:dyDescent="0.35">
      <c r="A451" s="3" t="s">
        <v>88</v>
      </c>
      <c r="B451" s="3"/>
      <c r="C451" s="1" t="s">
        <v>28</v>
      </c>
      <c r="D451" s="1" t="s">
        <v>29</v>
      </c>
      <c r="E451" s="1" t="s">
        <v>51</v>
      </c>
      <c r="F451" s="1" t="s">
        <v>38</v>
      </c>
      <c r="G451" s="1" t="s">
        <v>49</v>
      </c>
      <c r="H451" s="2">
        <v>45305</v>
      </c>
      <c r="I451" s="2">
        <v>45347</v>
      </c>
      <c r="J451" s="1">
        <v>34529.089999999997</v>
      </c>
      <c r="K451" s="1">
        <v>0.55520000000000003</v>
      </c>
      <c r="L451" s="1">
        <v>19170.55</v>
      </c>
      <c r="M451" s="1">
        <v>20821</v>
      </c>
      <c r="N451" s="1">
        <v>30828</v>
      </c>
      <c r="O451" s="1">
        <v>37635.21</v>
      </c>
      <c r="P451" s="1">
        <v>2024</v>
      </c>
      <c r="Q451" s="1" t="s">
        <v>56</v>
      </c>
      <c r="R451" s="1" t="s">
        <v>40</v>
      </c>
    </row>
    <row r="452" spans="1:18" x14ac:dyDescent="0.35">
      <c r="A452" s="3" t="s">
        <v>66</v>
      </c>
      <c r="B452" s="3"/>
      <c r="C452" s="1" t="s">
        <v>35</v>
      </c>
      <c r="D452" s="1" t="s">
        <v>58</v>
      </c>
      <c r="E452" s="1" t="s">
        <v>43</v>
      </c>
      <c r="F452" s="1" t="s">
        <v>22</v>
      </c>
      <c r="G452" s="1" t="s">
        <v>44</v>
      </c>
      <c r="H452" s="2">
        <v>45305</v>
      </c>
      <c r="I452" s="2">
        <v>45321</v>
      </c>
      <c r="J452" s="1">
        <v>11052.61</v>
      </c>
      <c r="K452" s="1">
        <v>0.85150000000000003</v>
      </c>
      <c r="L452" s="1">
        <v>9411.2999999999993</v>
      </c>
      <c r="M452" s="1">
        <v>707883</v>
      </c>
      <c r="N452" s="1">
        <v>20871</v>
      </c>
      <c r="O452" s="1">
        <v>244615.53</v>
      </c>
      <c r="P452" s="1">
        <v>2024</v>
      </c>
      <c r="Q452" s="1" t="s">
        <v>56</v>
      </c>
      <c r="R452" s="1" t="s">
        <v>40</v>
      </c>
    </row>
    <row r="453" spans="1:18" x14ac:dyDescent="0.35">
      <c r="A453" s="3" t="s">
        <v>82</v>
      </c>
      <c r="B453" s="3"/>
      <c r="C453" s="1" t="s">
        <v>48</v>
      </c>
      <c r="D453" s="1" t="s">
        <v>69</v>
      </c>
      <c r="E453" s="1" t="s">
        <v>37</v>
      </c>
      <c r="F453" s="1" t="s">
        <v>22</v>
      </c>
      <c r="G453" s="1" t="s">
        <v>44</v>
      </c>
      <c r="H453" s="2">
        <v>45310</v>
      </c>
      <c r="I453" s="2">
        <v>45339</v>
      </c>
      <c r="J453" s="1">
        <v>22978.32</v>
      </c>
      <c r="K453" s="1">
        <v>1.1013999999999999</v>
      </c>
      <c r="L453" s="1">
        <v>25308.32</v>
      </c>
      <c r="M453" s="1">
        <v>405833</v>
      </c>
      <c r="N453" s="1">
        <v>24718</v>
      </c>
      <c r="O453" s="1">
        <v>24661.25</v>
      </c>
      <c r="P453" s="1">
        <v>2024</v>
      </c>
      <c r="Q453" s="1" t="s">
        <v>56</v>
      </c>
      <c r="R453" s="1" t="s">
        <v>40</v>
      </c>
    </row>
    <row r="454" spans="1:18" x14ac:dyDescent="0.35">
      <c r="A454" s="3" t="s">
        <v>93</v>
      </c>
      <c r="B454" s="3"/>
      <c r="C454" s="1" t="s">
        <v>35</v>
      </c>
      <c r="D454" s="1" t="s">
        <v>69</v>
      </c>
      <c r="E454" s="1" t="s">
        <v>51</v>
      </c>
      <c r="F454" s="1" t="s">
        <v>22</v>
      </c>
      <c r="G454" s="1" t="s">
        <v>31</v>
      </c>
      <c r="H454" s="2">
        <v>45311</v>
      </c>
      <c r="I454" s="2">
        <v>45356</v>
      </c>
      <c r="J454" s="1">
        <v>27179.39</v>
      </c>
      <c r="K454" s="1">
        <v>0.20749999999999999</v>
      </c>
      <c r="L454" s="1">
        <v>5639.72</v>
      </c>
      <c r="M454" s="1">
        <v>645111</v>
      </c>
      <c r="N454" s="1">
        <v>25630</v>
      </c>
      <c r="O454" s="1">
        <v>50907.83</v>
      </c>
      <c r="P454" s="1">
        <v>2024</v>
      </c>
      <c r="Q454" s="1" t="s">
        <v>56</v>
      </c>
      <c r="R454" s="1" t="s">
        <v>40</v>
      </c>
    </row>
    <row r="455" spans="1:18" x14ac:dyDescent="0.35">
      <c r="A455" s="3" t="s">
        <v>105</v>
      </c>
      <c r="B455" s="3"/>
      <c r="C455" s="1" t="s">
        <v>48</v>
      </c>
      <c r="D455" s="1" t="s">
        <v>20</v>
      </c>
      <c r="E455" s="1" t="s">
        <v>21</v>
      </c>
      <c r="F455" s="1" t="s">
        <v>38</v>
      </c>
      <c r="G455" s="1" t="s">
        <v>31</v>
      </c>
      <c r="H455" s="2">
        <v>45312</v>
      </c>
      <c r="I455" s="2">
        <v>45358</v>
      </c>
      <c r="J455" s="1">
        <v>19547.41</v>
      </c>
      <c r="K455" s="1">
        <v>0.70930000000000004</v>
      </c>
      <c r="L455" s="1">
        <v>13864.98</v>
      </c>
      <c r="M455" s="1">
        <v>951858</v>
      </c>
      <c r="N455" s="1">
        <v>5201</v>
      </c>
      <c r="O455" s="1">
        <v>131582.41</v>
      </c>
      <c r="P455" s="1">
        <v>2024</v>
      </c>
      <c r="Q455" s="1" t="s">
        <v>56</v>
      </c>
      <c r="R455" s="1" t="s">
        <v>40</v>
      </c>
    </row>
    <row r="456" spans="1:18" x14ac:dyDescent="0.35">
      <c r="A456" s="3" t="s">
        <v>114</v>
      </c>
      <c r="B456" s="3"/>
      <c r="C456" s="1" t="s">
        <v>35</v>
      </c>
      <c r="D456" s="1" t="s">
        <v>36</v>
      </c>
      <c r="E456" s="1" t="s">
        <v>21</v>
      </c>
      <c r="F456" s="1" t="s">
        <v>30</v>
      </c>
      <c r="G456" s="1" t="s">
        <v>23</v>
      </c>
      <c r="H456" s="2">
        <v>45312</v>
      </c>
      <c r="I456" s="2">
        <v>45354</v>
      </c>
      <c r="J456" s="1">
        <v>45395.97</v>
      </c>
      <c r="K456" s="1">
        <v>0.63690000000000002</v>
      </c>
      <c r="L456" s="1">
        <v>28912.69</v>
      </c>
      <c r="M456" s="1">
        <v>277865</v>
      </c>
      <c r="N456" s="1">
        <v>11262</v>
      </c>
      <c r="O456" s="1">
        <v>19726.96</v>
      </c>
      <c r="P456" s="1">
        <v>2024</v>
      </c>
      <c r="Q456" s="1" t="s">
        <v>56</v>
      </c>
      <c r="R456" s="1" t="s">
        <v>40</v>
      </c>
    </row>
    <row r="457" spans="1:18" x14ac:dyDescent="0.35">
      <c r="A457" s="3" t="s">
        <v>103</v>
      </c>
      <c r="B457" s="3"/>
      <c r="C457" s="1" t="s">
        <v>28</v>
      </c>
      <c r="D457" s="1" t="s">
        <v>20</v>
      </c>
      <c r="E457" s="1" t="s">
        <v>59</v>
      </c>
      <c r="F457" s="1" t="s">
        <v>38</v>
      </c>
      <c r="G457" s="1" t="s">
        <v>31</v>
      </c>
      <c r="H457" s="2">
        <v>45313</v>
      </c>
      <c r="I457" s="2">
        <v>45358</v>
      </c>
      <c r="J457" s="1">
        <v>6288.65</v>
      </c>
      <c r="K457" s="1">
        <v>0.33600000000000002</v>
      </c>
      <c r="L457" s="1">
        <v>2112.9899999999998</v>
      </c>
      <c r="M457" s="1">
        <v>667343</v>
      </c>
      <c r="N457" s="1">
        <v>44585</v>
      </c>
      <c r="O457" s="1">
        <v>138504.51999999999</v>
      </c>
      <c r="P457" s="1">
        <v>2024</v>
      </c>
      <c r="Q457" s="1" t="s">
        <v>56</v>
      </c>
      <c r="R457" s="1" t="s">
        <v>40</v>
      </c>
    </row>
    <row r="458" spans="1:18" x14ac:dyDescent="0.35">
      <c r="A458" s="3" t="s">
        <v>67</v>
      </c>
      <c r="B458" s="3"/>
      <c r="C458" s="1" t="s">
        <v>35</v>
      </c>
      <c r="D458" s="1" t="s">
        <v>69</v>
      </c>
      <c r="E458" s="1" t="s">
        <v>51</v>
      </c>
      <c r="F458" s="1" t="s">
        <v>22</v>
      </c>
      <c r="G458" s="1" t="s">
        <v>44</v>
      </c>
      <c r="H458" s="2">
        <v>45315</v>
      </c>
      <c r="I458" s="2">
        <v>45361</v>
      </c>
      <c r="J458" s="1">
        <v>39583.29</v>
      </c>
      <c r="K458" s="1">
        <v>0.1421</v>
      </c>
      <c r="L458" s="1">
        <v>5624.79</v>
      </c>
      <c r="M458" s="1">
        <v>991586</v>
      </c>
      <c r="N458" s="1">
        <v>13878</v>
      </c>
      <c r="O458" s="1">
        <v>79742.73</v>
      </c>
      <c r="P458" s="1">
        <v>2024</v>
      </c>
      <c r="Q458" s="1" t="s">
        <v>56</v>
      </c>
      <c r="R458" s="1" t="s">
        <v>40</v>
      </c>
    </row>
    <row r="459" spans="1:18" x14ac:dyDescent="0.35">
      <c r="A459" s="3" t="s">
        <v>55</v>
      </c>
      <c r="B459" s="3"/>
      <c r="C459" s="1" t="s">
        <v>19</v>
      </c>
      <c r="D459" s="1" t="s">
        <v>29</v>
      </c>
      <c r="E459" s="1" t="s">
        <v>37</v>
      </c>
      <c r="F459" s="1" t="s">
        <v>38</v>
      </c>
      <c r="G459" s="1" t="s">
        <v>49</v>
      </c>
      <c r="H459" s="2">
        <v>45315</v>
      </c>
      <c r="I459" s="2">
        <v>45337</v>
      </c>
      <c r="J459" s="1">
        <v>49486.64</v>
      </c>
      <c r="K459" s="1">
        <v>0.77159999999999995</v>
      </c>
      <c r="L459" s="1">
        <v>38183.89</v>
      </c>
      <c r="M459" s="1">
        <v>594004</v>
      </c>
      <c r="N459" s="1">
        <v>14492</v>
      </c>
      <c r="O459" s="1">
        <v>172730.49</v>
      </c>
      <c r="P459" s="1">
        <v>2024</v>
      </c>
      <c r="Q459" s="1" t="s">
        <v>56</v>
      </c>
      <c r="R459" s="1" t="s">
        <v>40</v>
      </c>
    </row>
    <row r="460" spans="1:18" x14ac:dyDescent="0.35">
      <c r="A460" s="3" t="s">
        <v>89</v>
      </c>
      <c r="B460" s="3"/>
      <c r="C460" s="1" t="s">
        <v>19</v>
      </c>
      <c r="D460" s="1" t="s">
        <v>20</v>
      </c>
      <c r="E460" s="1" t="s">
        <v>51</v>
      </c>
      <c r="F460" s="1" t="s">
        <v>22</v>
      </c>
      <c r="G460" s="1" t="s">
        <v>49</v>
      </c>
      <c r="H460" s="2">
        <v>45317</v>
      </c>
      <c r="I460" s="2">
        <v>45360</v>
      </c>
      <c r="J460" s="1">
        <v>26997.29</v>
      </c>
      <c r="K460" s="1">
        <v>0.54990000000000006</v>
      </c>
      <c r="L460" s="1">
        <v>14845.81</v>
      </c>
      <c r="M460" s="1">
        <v>644836</v>
      </c>
      <c r="N460" s="1">
        <v>28293</v>
      </c>
      <c r="O460" s="1">
        <v>29298.720000000001</v>
      </c>
      <c r="P460" s="1">
        <v>2024</v>
      </c>
      <c r="Q460" s="1" t="s">
        <v>56</v>
      </c>
      <c r="R460" s="1" t="s">
        <v>40</v>
      </c>
    </row>
    <row r="461" spans="1:18" x14ac:dyDescent="0.35">
      <c r="A461" s="3" t="s">
        <v>97</v>
      </c>
      <c r="B461" s="3"/>
      <c r="C461" s="1" t="s">
        <v>35</v>
      </c>
      <c r="D461" s="1" t="s">
        <v>29</v>
      </c>
      <c r="E461" s="1" t="s">
        <v>37</v>
      </c>
      <c r="F461" s="1" t="s">
        <v>30</v>
      </c>
      <c r="G461" s="1" t="s">
        <v>31</v>
      </c>
      <c r="H461" s="2">
        <v>45317</v>
      </c>
      <c r="I461" s="2">
        <v>45331</v>
      </c>
      <c r="J461" s="1">
        <v>3600.18</v>
      </c>
      <c r="K461" s="1">
        <v>7.7399999999999997E-2</v>
      </c>
      <c r="L461" s="1">
        <v>278.64999999999998</v>
      </c>
      <c r="M461" s="1">
        <v>289947</v>
      </c>
      <c r="N461" s="1">
        <v>49264</v>
      </c>
      <c r="O461" s="1">
        <v>197455.39</v>
      </c>
      <c r="P461" s="1">
        <v>2024</v>
      </c>
      <c r="Q461" s="1" t="s">
        <v>56</v>
      </c>
      <c r="R461" s="1" t="s">
        <v>40</v>
      </c>
    </row>
    <row r="462" spans="1:18" x14ac:dyDescent="0.35">
      <c r="A462" s="3" t="s">
        <v>62</v>
      </c>
      <c r="B462" s="3"/>
      <c r="C462" s="1" t="s">
        <v>19</v>
      </c>
      <c r="D462" s="1" t="s">
        <v>20</v>
      </c>
      <c r="E462" s="1" t="s">
        <v>37</v>
      </c>
      <c r="F462" s="1" t="s">
        <v>38</v>
      </c>
      <c r="G462" s="1" t="s">
        <v>52</v>
      </c>
      <c r="H462" s="2">
        <v>45318</v>
      </c>
      <c r="I462" s="2">
        <v>45355</v>
      </c>
      <c r="J462" s="1">
        <v>32389.01</v>
      </c>
      <c r="K462" s="1">
        <v>0.28660000000000002</v>
      </c>
      <c r="L462" s="1">
        <v>9282.69</v>
      </c>
      <c r="M462" s="1">
        <v>626005</v>
      </c>
      <c r="N462" s="1">
        <v>46278</v>
      </c>
      <c r="O462" s="1">
        <v>247153.31</v>
      </c>
      <c r="P462" s="1">
        <v>2024</v>
      </c>
      <c r="Q462" s="1" t="s">
        <v>56</v>
      </c>
      <c r="R462" s="1" t="s">
        <v>40</v>
      </c>
    </row>
    <row r="463" spans="1:18" x14ac:dyDescent="0.35">
      <c r="A463" s="3" t="s">
        <v>98</v>
      </c>
      <c r="B463" s="3"/>
      <c r="C463" s="1" t="s">
        <v>28</v>
      </c>
      <c r="D463" s="1" t="s">
        <v>29</v>
      </c>
      <c r="E463" s="1" t="s">
        <v>43</v>
      </c>
      <c r="F463" s="1" t="s">
        <v>38</v>
      </c>
      <c r="G463" s="1" t="s">
        <v>52</v>
      </c>
      <c r="H463" s="2">
        <v>45318</v>
      </c>
      <c r="I463" s="2">
        <v>45347</v>
      </c>
      <c r="J463" s="1">
        <v>17300.080000000002</v>
      </c>
      <c r="K463" s="1">
        <v>8.1500000000000003E-2</v>
      </c>
      <c r="L463" s="1">
        <v>1409.96</v>
      </c>
      <c r="M463" s="1">
        <v>862283</v>
      </c>
      <c r="N463" s="1">
        <v>17445</v>
      </c>
      <c r="O463" s="1">
        <v>48592.72</v>
      </c>
      <c r="P463" s="1">
        <v>2024</v>
      </c>
      <c r="Q463" s="1" t="s">
        <v>56</v>
      </c>
      <c r="R463" s="1" t="s">
        <v>40</v>
      </c>
    </row>
    <row r="464" spans="1:18" x14ac:dyDescent="0.35">
      <c r="A464" s="3" t="s">
        <v>104</v>
      </c>
      <c r="B464" s="3"/>
      <c r="C464" s="1" t="s">
        <v>48</v>
      </c>
      <c r="D464" s="1" t="s">
        <v>36</v>
      </c>
      <c r="E464" s="1" t="s">
        <v>43</v>
      </c>
      <c r="F464" s="1" t="s">
        <v>38</v>
      </c>
      <c r="G464" s="1" t="s">
        <v>31</v>
      </c>
      <c r="H464" s="2">
        <v>45318</v>
      </c>
      <c r="I464" s="2">
        <v>45346</v>
      </c>
      <c r="J464" s="1">
        <v>9771.27</v>
      </c>
      <c r="K464" s="1">
        <v>0.89970000000000006</v>
      </c>
      <c r="L464" s="1">
        <v>8791.2099999999991</v>
      </c>
      <c r="M464" s="1">
        <v>21190</v>
      </c>
      <c r="N464" s="1">
        <v>12934</v>
      </c>
      <c r="O464" s="1">
        <v>113309.74</v>
      </c>
      <c r="P464" s="1">
        <v>2024</v>
      </c>
      <c r="Q464" s="1" t="s">
        <v>56</v>
      </c>
      <c r="R464" s="1" t="s">
        <v>40</v>
      </c>
    </row>
    <row r="465" spans="1:18" x14ac:dyDescent="0.35">
      <c r="A465" s="3" t="s">
        <v>42</v>
      </c>
      <c r="B465" s="3"/>
      <c r="C465" s="1" t="s">
        <v>35</v>
      </c>
      <c r="D465" s="1" t="s">
        <v>29</v>
      </c>
      <c r="E465" s="1" t="s">
        <v>59</v>
      </c>
      <c r="F465" s="1" t="s">
        <v>38</v>
      </c>
      <c r="G465" s="1" t="s">
        <v>44</v>
      </c>
      <c r="H465" s="2">
        <v>45320</v>
      </c>
      <c r="I465" s="2">
        <v>45380</v>
      </c>
      <c r="J465" s="1">
        <v>31153.49</v>
      </c>
      <c r="K465" s="1">
        <v>0.3054</v>
      </c>
      <c r="L465" s="1">
        <v>9514.2800000000007</v>
      </c>
      <c r="M465" s="1">
        <v>917340</v>
      </c>
      <c r="N465" s="1">
        <v>10566</v>
      </c>
      <c r="O465" s="1">
        <v>204302.07</v>
      </c>
      <c r="P465" s="1">
        <v>2024</v>
      </c>
      <c r="Q465" s="1" t="s">
        <v>56</v>
      </c>
      <c r="R465" s="1" t="s">
        <v>40</v>
      </c>
    </row>
    <row r="466" spans="1:18" x14ac:dyDescent="0.35">
      <c r="A466" s="3" t="s">
        <v>50</v>
      </c>
      <c r="B466" s="3"/>
      <c r="C466" s="1" t="s">
        <v>48</v>
      </c>
      <c r="D466" s="1" t="s">
        <v>69</v>
      </c>
      <c r="E466" s="1" t="s">
        <v>21</v>
      </c>
      <c r="F466" s="1" t="s">
        <v>38</v>
      </c>
      <c r="G466" s="1" t="s">
        <v>31</v>
      </c>
      <c r="H466" s="2">
        <v>45323</v>
      </c>
      <c r="I466" s="2">
        <v>45370</v>
      </c>
      <c r="J466" s="1">
        <v>30426.76</v>
      </c>
      <c r="K466" s="1">
        <v>1.0604</v>
      </c>
      <c r="L466" s="1">
        <v>32264.54</v>
      </c>
      <c r="M466" s="1">
        <v>538597</v>
      </c>
      <c r="N466" s="1">
        <v>25309</v>
      </c>
      <c r="O466" s="1">
        <v>107572.86</v>
      </c>
      <c r="P466" s="1">
        <v>2024</v>
      </c>
      <c r="Q466" s="1" t="s">
        <v>39</v>
      </c>
      <c r="R466" s="1" t="s">
        <v>40</v>
      </c>
    </row>
    <row r="467" spans="1:18" x14ac:dyDescent="0.35">
      <c r="A467" s="3" t="s">
        <v>86</v>
      </c>
      <c r="B467" s="3"/>
      <c r="C467" s="1" t="s">
        <v>35</v>
      </c>
      <c r="D467" s="1" t="s">
        <v>58</v>
      </c>
      <c r="E467" s="1" t="s">
        <v>59</v>
      </c>
      <c r="F467" s="1" t="s">
        <v>38</v>
      </c>
      <c r="G467" s="1" t="s">
        <v>44</v>
      </c>
      <c r="H467" s="2">
        <v>45324</v>
      </c>
      <c r="I467" s="2">
        <v>45371</v>
      </c>
      <c r="J467" s="1">
        <v>14294.21</v>
      </c>
      <c r="K467" s="1">
        <v>1.024</v>
      </c>
      <c r="L467" s="1">
        <v>14637.27</v>
      </c>
      <c r="M467" s="1">
        <v>702165</v>
      </c>
      <c r="N467" s="1">
        <v>23707</v>
      </c>
      <c r="O467" s="1">
        <v>216749.16</v>
      </c>
      <c r="P467" s="1">
        <v>2024</v>
      </c>
      <c r="Q467" s="1" t="s">
        <v>39</v>
      </c>
      <c r="R467" s="1" t="s">
        <v>40</v>
      </c>
    </row>
    <row r="468" spans="1:18" x14ac:dyDescent="0.35">
      <c r="A468" s="3" t="s">
        <v>109</v>
      </c>
      <c r="B468" s="3"/>
      <c r="C468" s="1" t="s">
        <v>35</v>
      </c>
      <c r="D468" s="1" t="s">
        <v>69</v>
      </c>
      <c r="E468" s="1" t="s">
        <v>43</v>
      </c>
      <c r="F468" s="1" t="s">
        <v>30</v>
      </c>
      <c r="G468" s="1" t="s">
        <v>44</v>
      </c>
      <c r="H468" s="2">
        <v>45324</v>
      </c>
      <c r="I468" s="2">
        <v>45359</v>
      </c>
      <c r="J468" s="1">
        <v>45977.2</v>
      </c>
      <c r="K468" s="1">
        <v>1.0589999999999999</v>
      </c>
      <c r="L468" s="1">
        <v>48689.85</v>
      </c>
      <c r="M468" s="1">
        <v>51843</v>
      </c>
      <c r="N468" s="1">
        <v>42601</v>
      </c>
      <c r="O468" s="1">
        <v>84397.42</v>
      </c>
      <c r="P468" s="1">
        <v>2024</v>
      </c>
      <c r="Q468" s="1" t="s">
        <v>39</v>
      </c>
      <c r="R468" s="1" t="s">
        <v>40</v>
      </c>
    </row>
    <row r="469" spans="1:18" x14ac:dyDescent="0.35">
      <c r="A469" s="3" t="s">
        <v>104</v>
      </c>
      <c r="B469" s="3"/>
      <c r="C469" s="1" t="s">
        <v>35</v>
      </c>
      <c r="D469" s="1" t="s">
        <v>20</v>
      </c>
      <c r="E469" s="1" t="s">
        <v>37</v>
      </c>
      <c r="F469" s="1" t="s">
        <v>38</v>
      </c>
      <c r="G469" s="1" t="s">
        <v>49</v>
      </c>
      <c r="H469" s="2">
        <v>45327</v>
      </c>
      <c r="I469" s="2">
        <v>45369</v>
      </c>
      <c r="J469" s="1">
        <v>21447.42</v>
      </c>
      <c r="K469" s="1">
        <v>1.1928000000000001</v>
      </c>
      <c r="L469" s="1">
        <v>25582.48</v>
      </c>
      <c r="M469" s="1">
        <v>334348</v>
      </c>
      <c r="N469" s="1">
        <v>12589</v>
      </c>
      <c r="O469" s="1">
        <v>15069.49</v>
      </c>
      <c r="P469" s="1">
        <v>2024</v>
      </c>
      <c r="Q469" s="1" t="s">
        <v>39</v>
      </c>
      <c r="R469" s="1" t="s">
        <v>40</v>
      </c>
    </row>
    <row r="470" spans="1:18" x14ac:dyDescent="0.35">
      <c r="A470" s="3" t="s">
        <v>97</v>
      </c>
      <c r="B470" s="3"/>
      <c r="C470" s="1" t="s">
        <v>35</v>
      </c>
      <c r="D470" s="1" t="s">
        <v>36</v>
      </c>
      <c r="E470" s="1" t="s">
        <v>37</v>
      </c>
      <c r="F470" s="1" t="s">
        <v>30</v>
      </c>
      <c r="G470" s="1" t="s">
        <v>23</v>
      </c>
      <c r="H470" s="2">
        <v>45327</v>
      </c>
      <c r="I470" s="2">
        <v>45348</v>
      </c>
      <c r="J470" s="1">
        <v>25239.87</v>
      </c>
      <c r="K470" s="1">
        <v>1.1653</v>
      </c>
      <c r="L470" s="1">
        <v>29412.02</v>
      </c>
      <c r="M470" s="1">
        <v>656908</v>
      </c>
      <c r="N470" s="1">
        <v>44434</v>
      </c>
      <c r="O470" s="1">
        <v>91427.12</v>
      </c>
      <c r="P470" s="1">
        <v>2024</v>
      </c>
      <c r="Q470" s="1" t="s">
        <v>39</v>
      </c>
      <c r="R470" s="1" t="s">
        <v>40</v>
      </c>
    </row>
    <row r="471" spans="1:18" x14ac:dyDescent="0.35">
      <c r="A471" s="3" t="s">
        <v>78</v>
      </c>
      <c r="B471" s="3"/>
      <c r="C471" s="1" t="s">
        <v>35</v>
      </c>
      <c r="D471" s="1" t="s">
        <v>20</v>
      </c>
      <c r="E471" s="1" t="s">
        <v>21</v>
      </c>
      <c r="F471" s="1" t="s">
        <v>22</v>
      </c>
      <c r="G471" s="1" t="s">
        <v>23</v>
      </c>
      <c r="H471" s="2">
        <v>45329</v>
      </c>
      <c r="I471" s="2">
        <v>45370</v>
      </c>
      <c r="J471" s="1">
        <v>27933.47</v>
      </c>
      <c r="K471" s="1">
        <v>0.59419999999999995</v>
      </c>
      <c r="L471" s="1">
        <v>16598.07</v>
      </c>
      <c r="M471" s="1">
        <v>67152</v>
      </c>
      <c r="N471" s="1">
        <v>23747</v>
      </c>
      <c r="O471" s="1">
        <v>5934.82</v>
      </c>
      <c r="P471" s="1">
        <v>2024</v>
      </c>
      <c r="Q471" s="1" t="s">
        <v>39</v>
      </c>
      <c r="R471" s="1" t="s">
        <v>40</v>
      </c>
    </row>
    <row r="472" spans="1:18" x14ac:dyDescent="0.35">
      <c r="A472" s="3" t="s">
        <v>94</v>
      </c>
      <c r="B472" s="3"/>
      <c r="C472" s="1" t="s">
        <v>28</v>
      </c>
      <c r="D472" s="1" t="s">
        <v>58</v>
      </c>
      <c r="E472" s="1" t="s">
        <v>59</v>
      </c>
      <c r="F472" s="1" t="s">
        <v>22</v>
      </c>
      <c r="G472" s="1" t="s">
        <v>31</v>
      </c>
      <c r="H472" s="2">
        <v>45331</v>
      </c>
      <c r="I472" s="2">
        <v>45359</v>
      </c>
      <c r="J472" s="1">
        <v>15664.96</v>
      </c>
      <c r="K472" s="1">
        <v>0.51970000000000005</v>
      </c>
      <c r="L472" s="1">
        <v>8141.08</v>
      </c>
      <c r="M472" s="1">
        <v>201031</v>
      </c>
      <c r="N472" s="1">
        <v>35255</v>
      </c>
      <c r="O472" s="1">
        <v>203828.24</v>
      </c>
      <c r="P472" s="1">
        <v>2024</v>
      </c>
      <c r="Q472" s="1" t="s">
        <v>39</v>
      </c>
      <c r="R472" s="1" t="s">
        <v>40</v>
      </c>
    </row>
    <row r="473" spans="1:18" x14ac:dyDescent="0.35">
      <c r="A473" s="3" t="s">
        <v>82</v>
      </c>
      <c r="B473" s="3"/>
      <c r="C473" s="1" t="s">
        <v>28</v>
      </c>
      <c r="D473" s="1" t="s">
        <v>69</v>
      </c>
      <c r="E473" s="1" t="s">
        <v>43</v>
      </c>
      <c r="F473" s="1" t="s">
        <v>30</v>
      </c>
      <c r="G473" s="1" t="s">
        <v>31</v>
      </c>
      <c r="H473" s="2">
        <v>45331</v>
      </c>
      <c r="I473" s="2">
        <v>45343</v>
      </c>
      <c r="J473" s="1">
        <v>1651.93</v>
      </c>
      <c r="K473" s="1">
        <v>0.79039999999999999</v>
      </c>
      <c r="L473" s="1">
        <v>1305.69</v>
      </c>
      <c r="M473" s="1">
        <v>492515</v>
      </c>
      <c r="N473" s="1">
        <v>45438</v>
      </c>
      <c r="O473" s="1">
        <v>104247.44</v>
      </c>
      <c r="P473" s="1">
        <v>2024</v>
      </c>
      <c r="Q473" s="1" t="s">
        <v>39</v>
      </c>
      <c r="R473" s="1" t="s">
        <v>40</v>
      </c>
    </row>
    <row r="474" spans="1:18" x14ac:dyDescent="0.35">
      <c r="A474" s="3" t="s">
        <v>99</v>
      </c>
      <c r="B474" s="3"/>
      <c r="C474" s="1" t="s">
        <v>19</v>
      </c>
      <c r="D474" s="1" t="s">
        <v>20</v>
      </c>
      <c r="E474" s="1" t="s">
        <v>43</v>
      </c>
      <c r="F474" s="1" t="s">
        <v>22</v>
      </c>
      <c r="G474" s="1" t="s">
        <v>31</v>
      </c>
      <c r="H474" s="2">
        <v>45332</v>
      </c>
      <c r="I474" s="2">
        <v>45392</v>
      </c>
      <c r="J474" s="1">
        <v>16203.45</v>
      </c>
      <c r="K474" s="1">
        <v>0.41399999999999998</v>
      </c>
      <c r="L474" s="1">
        <v>6708.23</v>
      </c>
      <c r="M474" s="1">
        <v>359247</v>
      </c>
      <c r="N474" s="1">
        <v>11118</v>
      </c>
      <c r="O474" s="1">
        <v>23712.95</v>
      </c>
      <c r="P474" s="1">
        <v>2024</v>
      </c>
      <c r="Q474" s="1" t="s">
        <v>39</v>
      </c>
      <c r="R474" s="1" t="s">
        <v>40</v>
      </c>
    </row>
    <row r="475" spans="1:18" x14ac:dyDescent="0.35">
      <c r="A475" s="3" t="s">
        <v>75</v>
      </c>
      <c r="B475" s="3"/>
      <c r="C475" s="1" t="s">
        <v>28</v>
      </c>
      <c r="D475" s="1" t="s">
        <v>20</v>
      </c>
      <c r="E475" s="1" t="s">
        <v>51</v>
      </c>
      <c r="F475" s="1" t="s">
        <v>30</v>
      </c>
      <c r="G475" s="1" t="s">
        <v>52</v>
      </c>
      <c r="H475" s="2">
        <v>45332</v>
      </c>
      <c r="I475" s="2">
        <v>45369</v>
      </c>
      <c r="J475" s="1">
        <v>3398.58</v>
      </c>
      <c r="K475" s="1">
        <v>0.36559999999999998</v>
      </c>
      <c r="L475" s="1">
        <v>1242.52</v>
      </c>
      <c r="M475" s="1">
        <v>869926</v>
      </c>
      <c r="N475" s="1">
        <v>11494</v>
      </c>
      <c r="O475" s="1">
        <v>12615.11</v>
      </c>
      <c r="P475" s="1">
        <v>2024</v>
      </c>
      <c r="Q475" s="1" t="s">
        <v>39</v>
      </c>
      <c r="R475" s="1" t="s">
        <v>40</v>
      </c>
    </row>
    <row r="476" spans="1:18" x14ac:dyDescent="0.35">
      <c r="A476" s="3" t="s">
        <v>34</v>
      </c>
      <c r="B476" s="3"/>
      <c r="C476" s="1" t="s">
        <v>48</v>
      </c>
      <c r="D476" s="1" t="s">
        <v>58</v>
      </c>
      <c r="E476" s="1" t="s">
        <v>59</v>
      </c>
      <c r="F476" s="1" t="s">
        <v>22</v>
      </c>
      <c r="G476" s="1" t="s">
        <v>44</v>
      </c>
      <c r="H476" s="2">
        <v>45333</v>
      </c>
      <c r="I476" s="2">
        <v>45361</v>
      </c>
      <c r="J476" s="1">
        <v>25606.2</v>
      </c>
      <c r="K476" s="1">
        <v>0.79859999999999998</v>
      </c>
      <c r="L476" s="1">
        <v>20449.11</v>
      </c>
      <c r="M476" s="1">
        <v>899173</v>
      </c>
      <c r="N476" s="1">
        <v>40341</v>
      </c>
      <c r="O476" s="1">
        <v>172619.61</v>
      </c>
      <c r="P476" s="1">
        <v>2024</v>
      </c>
      <c r="Q476" s="1" t="s">
        <v>39</v>
      </c>
      <c r="R476" s="1" t="s">
        <v>40</v>
      </c>
    </row>
    <row r="477" spans="1:18" x14ac:dyDescent="0.35">
      <c r="A477" s="3" t="s">
        <v>112</v>
      </c>
      <c r="B477" s="3"/>
      <c r="C477" s="1" t="s">
        <v>35</v>
      </c>
      <c r="D477" s="1" t="s">
        <v>69</v>
      </c>
      <c r="E477" s="1" t="s">
        <v>63</v>
      </c>
      <c r="F477" s="1" t="s">
        <v>30</v>
      </c>
      <c r="G477" s="1" t="s">
        <v>49</v>
      </c>
      <c r="H477" s="2">
        <v>45333</v>
      </c>
      <c r="I477" s="2">
        <v>45353</v>
      </c>
      <c r="J477" s="1">
        <v>28051.89</v>
      </c>
      <c r="K477" s="1">
        <v>0.93289999999999995</v>
      </c>
      <c r="L477" s="1">
        <v>26169.61</v>
      </c>
      <c r="M477" s="1">
        <v>409152</v>
      </c>
      <c r="N477" s="1">
        <v>30656</v>
      </c>
      <c r="O477" s="1">
        <v>135744.28</v>
      </c>
      <c r="P477" s="1">
        <v>2024</v>
      </c>
      <c r="Q477" s="1" t="s">
        <v>39</v>
      </c>
      <c r="R477" s="1" t="s">
        <v>40</v>
      </c>
    </row>
    <row r="478" spans="1:18" x14ac:dyDescent="0.35">
      <c r="A478" s="3" t="s">
        <v>62</v>
      </c>
      <c r="B478" s="3"/>
      <c r="C478" s="1" t="s">
        <v>19</v>
      </c>
      <c r="D478" s="1" t="s">
        <v>69</v>
      </c>
      <c r="E478" s="1" t="s">
        <v>37</v>
      </c>
      <c r="F478" s="1" t="s">
        <v>30</v>
      </c>
      <c r="G478" s="1" t="s">
        <v>44</v>
      </c>
      <c r="H478" s="2">
        <v>45335</v>
      </c>
      <c r="I478" s="2">
        <v>45382</v>
      </c>
      <c r="J478" s="1">
        <v>32844.019999999997</v>
      </c>
      <c r="K478" s="1">
        <v>0.53129999999999999</v>
      </c>
      <c r="L478" s="1">
        <v>17450.03</v>
      </c>
      <c r="M478" s="1">
        <v>552717</v>
      </c>
      <c r="N478" s="1">
        <v>29688</v>
      </c>
      <c r="O478" s="1">
        <v>34646.03</v>
      </c>
      <c r="P478" s="1">
        <v>2024</v>
      </c>
      <c r="Q478" s="1" t="s">
        <v>39</v>
      </c>
      <c r="R478" s="1" t="s">
        <v>40</v>
      </c>
    </row>
    <row r="479" spans="1:18" x14ac:dyDescent="0.35">
      <c r="A479" s="3" t="s">
        <v>89</v>
      </c>
      <c r="B479" s="3"/>
      <c r="C479" s="1" t="s">
        <v>19</v>
      </c>
      <c r="D479" s="1" t="s">
        <v>20</v>
      </c>
      <c r="E479" s="1" t="s">
        <v>21</v>
      </c>
      <c r="F479" s="1" t="s">
        <v>30</v>
      </c>
      <c r="G479" s="1" t="s">
        <v>44</v>
      </c>
      <c r="H479" s="2">
        <v>45337</v>
      </c>
      <c r="I479" s="2">
        <v>45380</v>
      </c>
      <c r="J479" s="1">
        <v>14303.22</v>
      </c>
      <c r="K479" s="1">
        <v>0.22900000000000001</v>
      </c>
      <c r="L479" s="1">
        <v>3275.44</v>
      </c>
      <c r="M479" s="1">
        <v>177775</v>
      </c>
      <c r="N479" s="1">
        <v>37579</v>
      </c>
      <c r="O479" s="1">
        <v>58362.89</v>
      </c>
      <c r="P479" s="1">
        <v>2024</v>
      </c>
      <c r="Q479" s="1" t="s">
        <v>39</v>
      </c>
      <c r="R479" s="1" t="s">
        <v>40</v>
      </c>
    </row>
    <row r="480" spans="1:18" x14ac:dyDescent="0.35">
      <c r="A480" s="3" t="s">
        <v>118</v>
      </c>
      <c r="B480" s="3"/>
      <c r="C480" s="1" t="s">
        <v>28</v>
      </c>
      <c r="D480" s="1" t="s">
        <v>29</v>
      </c>
      <c r="E480" s="1" t="s">
        <v>37</v>
      </c>
      <c r="F480" s="1" t="s">
        <v>22</v>
      </c>
      <c r="G480" s="1" t="s">
        <v>23</v>
      </c>
      <c r="H480" s="2">
        <v>45337</v>
      </c>
      <c r="I480" s="2">
        <v>45367</v>
      </c>
      <c r="J480" s="1">
        <v>48153.19</v>
      </c>
      <c r="K480" s="1">
        <v>0.33350000000000002</v>
      </c>
      <c r="L480" s="1">
        <v>16059.09</v>
      </c>
      <c r="M480" s="1">
        <v>414452</v>
      </c>
      <c r="N480" s="1">
        <v>45313</v>
      </c>
      <c r="O480" s="1">
        <v>213414.54</v>
      </c>
      <c r="P480" s="1">
        <v>2024</v>
      </c>
      <c r="Q480" s="1" t="s">
        <v>39</v>
      </c>
      <c r="R480" s="1" t="s">
        <v>40</v>
      </c>
    </row>
    <row r="481" spans="1:18" x14ac:dyDescent="0.35">
      <c r="A481" s="3" t="s">
        <v>72</v>
      </c>
      <c r="B481" s="3"/>
      <c r="C481" s="1" t="s">
        <v>48</v>
      </c>
      <c r="D481" s="1" t="s">
        <v>20</v>
      </c>
      <c r="E481" s="1" t="s">
        <v>37</v>
      </c>
      <c r="F481" s="1" t="s">
        <v>30</v>
      </c>
      <c r="G481" s="1" t="s">
        <v>44</v>
      </c>
      <c r="H481" s="2">
        <v>45338</v>
      </c>
      <c r="I481" s="2">
        <v>45392</v>
      </c>
      <c r="J481" s="1">
        <v>9051.91</v>
      </c>
      <c r="K481" s="1">
        <v>8.3099999999999993E-2</v>
      </c>
      <c r="L481" s="1">
        <v>752.21</v>
      </c>
      <c r="M481" s="1">
        <v>806070</v>
      </c>
      <c r="N481" s="1">
        <v>2530</v>
      </c>
      <c r="O481" s="1">
        <v>166743.16</v>
      </c>
      <c r="P481" s="1">
        <v>2024</v>
      </c>
      <c r="Q481" s="1" t="s">
        <v>39</v>
      </c>
      <c r="R481" s="1" t="s">
        <v>40</v>
      </c>
    </row>
    <row r="482" spans="1:18" x14ac:dyDescent="0.35">
      <c r="A482" s="3" t="s">
        <v>57</v>
      </c>
      <c r="B482" s="3"/>
      <c r="C482" s="1" t="s">
        <v>35</v>
      </c>
      <c r="D482" s="1" t="s">
        <v>20</v>
      </c>
      <c r="E482" s="1" t="s">
        <v>37</v>
      </c>
      <c r="F482" s="1" t="s">
        <v>30</v>
      </c>
      <c r="G482" s="1" t="s">
        <v>23</v>
      </c>
      <c r="H482" s="2">
        <v>45339</v>
      </c>
      <c r="I482" s="2">
        <v>45376</v>
      </c>
      <c r="J482" s="1">
        <v>37740.32</v>
      </c>
      <c r="K482" s="1">
        <v>0.8367</v>
      </c>
      <c r="L482" s="1">
        <v>31577.33</v>
      </c>
      <c r="M482" s="1">
        <v>929933</v>
      </c>
      <c r="N482" s="1">
        <v>24287</v>
      </c>
      <c r="O482" s="1">
        <v>116400.43</v>
      </c>
      <c r="P482" s="1">
        <v>2024</v>
      </c>
      <c r="Q482" s="1" t="s">
        <v>39</v>
      </c>
      <c r="R482" s="1" t="s">
        <v>40</v>
      </c>
    </row>
    <row r="483" spans="1:18" x14ac:dyDescent="0.35">
      <c r="A483" s="3" t="s">
        <v>107</v>
      </c>
      <c r="B483" s="3"/>
      <c r="C483" s="1" t="s">
        <v>35</v>
      </c>
      <c r="D483" s="1" t="s">
        <v>20</v>
      </c>
      <c r="E483" s="1" t="s">
        <v>43</v>
      </c>
      <c r="F483" s="1" t="s">
        <v>22</v>
      </c>
      <c r="G483" s="1" t="s">
        <v>49</v>
      </c>
      <c r="H483" s="2">
        <v>45340</v>
      </c>
      <c r="I483" s="2">
        <v>45371</v>
      </c>
      <c r="J483" s="1">
        <v>2755.76</v>
      </c>
      <c r="K483" s="1">
        <v>0.66339999999999999</v>
      </c>
      <c r="L483" s="1">
        <v>1828.17</v>
      </c>
      <c r="M483" s="1">
        <v>876028</v>
      </c>
      <c r="N483" s="1">
        <v>6056</v>
      </c>
      <c r="O483" s="1">
        <v>198986.9</v>
      </c>
      <c r="P483" s="1">
        <v>2024</v>
      </c>
      <c r="Q483" s="1" t="s">
        <v>39</v>
      </c>
      <c r="R483" s="1" t="s">
        <v>40</v>
      </c>
    </row>
    <row r="484" spans="1:18" x14ac:dyDescent="0.35">
      <c r="A484" s="3" t="s">
        <v>78</v>
      </c>
      <c r="B484" s="3"/>
      <c r="C484" s="1" t="s">
        <v>28</v>
      </c>
      <c r="D484" s="1" t="s">
        <v>20</v>
      </c>
      <c r="E484" s="1" t="s">
        <v>43</v>
      </c>
      <c r="F484" s="1" t="s">
        <v>30</v>
      </c>
      <c r="G484" s="1" t="s">
        <v>31</v>
      </c>
      <c r="H484" s="2">
        <v>45340</v>
      </c>
      <c r="I484" s="2">
        <v>45352</v>
      </c>
      <c r="J484" s="1">
        <v>47138.21</v>
      </c>
      <c r="K484" s="1">
        <v>0.68789999999999996</v>
      </c>
      <c r="L484" s="1">
        <v>32426.37</v>
      </c>
      <c r="M484" s="1">
        <v>617040</v>
      </c>
      <c r="N484" s="1">
        <v>39062</v>
      </c>
      <c r="O484" s="1">
        <v>14736.71</v>
      </c>
      <c r="P484" s="1">
        <v>2024</v>
      </c>
      <c r="Q484" s="1" t="s">
        <v>39</v>
      </c>
      <c r="R484" s="1" t="s">
        <v>40</v>
      </c>
    </row>
    <row r="485" spans="1:18" x14ac:dyDescent="0.35">
      <c r="A485" s="3" t="s">
        <v>34</v>
      </c>
      <c r="B485" s="3"/>
      <c r="C485" s="1" t="s">
        <v>48</v>
      </c>
      <c r="D485" s="1" t="s">
        <v>58</v>
      </c>
      <c r="E485" s="1" t="s">
        <v>59</v>
      </c>
      <c r="F485" s="1" t="s">
        <v>22</v>
      </c>
      <c r="G485" s="1" t="s">
        <v>52</v>
      </c>
      <c r="H485" s="2">
        <v>45342</v>
      </c>
      <c r="I485" s="2">
        <v>45399</v>
      </c>
      <c r="J485" s="1">
        <v>29417.74</v>
      </c>
      <c r="K485" s="1">
        <v>0.78979999999999995</v>
      </c>
      <c r="L485" s="1">
        <v>23234.13</v>
      </c>
      <c r="M485" s="1">
        <v>504932</v>
      </c>
      <c r="N485" s="1">
        <v>42966</v>
      </c>
      <c r="O485" s="1">
        <v>130598.51</v>
      </c>
      <c r="P485" s="1">
        <v>2024</v>
      </c>
      <c r="Q485" s="1" t="s">
        <v>39</v>
      </c>
      <c r="R485" s="1" t="s">
        <v>40</v>
      </c>
    </row>
    <row r="486" spans="1:18" x14ac:dyDescent="0.35">
      <c r="A486" s="3" t="s">
        <v>47</v>
      </c>
      <c r="B486" s="3"/>
      <c r="C486" s="1" t="s">
        <v>19</v>
      </c>
      <c r="D486" s="1" t="s">
        <v>36</v>
      </c>
      <c r="E486" s="1" t="s">
        <v>37</v>
      </c>
      <c r="F486" s="1" t="s">
        <v>38</v>
      </c>
      <c r="G486" s="1" t="s">
        <v>49</v>
      </c>
      <c r="H486" s="2">
        <v>45342</v>
      </c>
      <c r="I486" s="2">
        <v>45376</v>
      </c>
      <c r="J486" s="1">
        <v>28685.11</v>
      </c>
      <c r="K486" s="1">
        <v>1.1883999999999999</v>
      </c>
      <c r="L486" s="1">
        <v>34089.379999999997</v>
      </c>
      <c r="M486" s="1">
        <v>246828</v>
      </c>
      <c r="N486" s="1">
        <v>19759</v>
      </c>
      <c r="O486" s="1">
        <v>172590.2</v>
      </c>
      <c r="P486" s="1">
        <v>2024</v>
      </c>
      <c r="Q486" s="1" t="s">
        <v>39</v>
      </c>
      <c r="R486" s="1" t="s">
        <v>40</v>
      </c>
    </row>
    <row r="487" spans="1:18" x14ac:dyDescent="0.35">
      <c r="A487" s="3" t="s">
        <v>89</v>
      </c>
      <c r="B487" s="3"/>
      <c r="C487" s="1" t="s">
        <v>35</v>
      </c>
      <c r="D487" s="1" t="s">
        <v>29</v>
      </c>
      <c r="E487" s="1" t="s">
        <v>51</v>
      </c>
      <c r="F487" s="1" t="s">
        <v>30</v>
      </c>
      <c r="G487" s="1" t="s">
        <v>44</v>
      </c>
      <c r="H487" s="2">
        <v>45342</v>
      </c>
      <c r="I487" s="2">
        <v>45347</v>
      </c>
      <c r="J487" s="1">
        <v>31198.04</v>
      </c>
      <c r="K487" s="1">
        <v>1.0940000000000001</v>
      </c>
      <c r="L487" s="1">
        <v>34130.660000000003</v>
      </c>
      <c r="M487" s="1">
        <v>792150</v>
      </c>
      <c r="N487" s="1">
        <v>577</v>
      </c>
      <c r="O487" s="1">
        <v>179969.22</v>
      </c>
      <c r="P487" s="1">
        <v>2024</v>
      </c>
      <c r="Q487" s="1" t="s">
        <v>39</v>
      </c>
      <c r="R487" s="1" t="s">
        <v>40</v>
      </c>
    </row>
    <row r="488" spans="1:18" x14ac:dyDescent="0.35">
      <c r="A488" s="3" t="s">
        <v>106</v>
      </c>
      <c r="B488" s="3"/>
      <c r="C488" s="1" t="s">
        <v>48</v>
      </c>
      <c r="D488" s="1" t="s">
        <v>36</v>
      </c>
      <c r="E488" s="1" t="s">
        <v>59</v>
      </c>
      <c r="F488" s="1" t="s">
        <v>22</v>
      </c>
      <c r="G488" s="1" t="s">
        <v>49</v>
      </c>
      <c r="H488" s="2">
        <v>45346</v>
      </c>
      <c r="I488" s="2">
        <v>45392</v>
      </c>
      <c r="J488" s="1">
        <v>16779.18</v>
      </c>
      <c r="K488" s="1">
        <v>0.1245</v>
      </c>
      <c r="L488" s="1">
        <v>2089.0100000000002</v>
      </c>
      <c r="M488" s="1">
        <v>700897</v>
      </c>
      <c r="N488" s="1">
        <v>4469</v>
      </c>
      <c r="O488" s="1">
        <v>15725.43</v>
      </c>
      <c r="P488" s="1">
        <v>2024</v>
      </c>
      <c r="Q488" s="1" t="s">
        <v>39</v>
      </c>
      <c r="R488" s="1" t="s">
        <v>40</v>
      </c>
    </row>
    <row r="489" spans="1:18" x14ac:dyDescent="0.35">
      <c r="A489" s="3" t="s">
        <v>34</v>
      </c>
      <c r="B489" s="3"/>
      <c r="C489" s="1" t="s">
        <v>48</v>
      </c>
      <c r="D489" s="1" t="s">
        <v>29</v>
      </c>
      <c r="E489" s="1" t="s">
        <v>59</v>
      </c>
      <c r="F489" s="1" t="s">
        <v>38</v>
      </c>
      <c r="G489" s="1" t="s">
        <v>31</v>
      </c>
      <c r="H489" s="2">
        <v>45346</v>
      </c>
      <c r="I489" s="2">
        <v>45391</v>
      </c>
      <c r="J489" s="1">
        <v>45806.11</v>
      </c>
      <c r="K489" s="1">
        <v>0.50329999999999997</v>
      </c>
      <c r="L489" s="1">
        <v>23054.22</v>
      </c>
      <c r="M489" s="1">
        <v>592813</v>
      </c>
      <c r="N489" s="1">
        <v>30385</v>
      </c>
      <c r="O489" s="1">
        <v>179010.52</v>
      </c>
      <c r="P489" s="1">
        <v>2024</v>
      </c>
      <c r="Q489" s="1" t="s">
        <v>39</v>
      </c>
      <c r="R489" s="1" t="s">
        <v>40</v>
      </c>
    </row>
    <row r="490" spans="1:18" x14ac:dyDescent="0.35">
      <c r="A490" s="3" t="s">
        <v>111</v>
      </c>
      <c r="B490" s="3"/>
      <c r="C490" s="1" t="s">
        <v>19</v>
      </c>
      <c r="D490" s="1" t="s">
        <v>20</v>
      </c>
      <c r="E490" s="1" t="s">
        <v>21</v>
      </c>
      <c r="F490" s="1" t="s">
        <v>30</v>
      </c>
      <c r="G490" s="1" t="s">
        <v>23</v>
      </c>
      <c r="H490" s="2">
        <v>45347</v>
      </c>
      <c r="I490" s="2">
        <v>45386</v>
      </c>
      <c r="J490" s="1">
        <v>29241.27</v>
      </c>
      <c r="K490" s="1">
        <v>4.9799999999999997E-2</v>
      </c>
      <c r="L490" s="1">
        <v>1456.22</v>
      </c>
      <c r="M490" s="1">
        <v>49704</v>
      </c>
      <c r="N490" s="1">
        <v>37334</v>
      </c>
      <c r="O490" s="1">
        <v>123400.69</v>
      </c>
      <c r="P490" s="1">
        <v>2024</v>
      </c>
      <c r="Q490" s="1" t="s">
        <v>39</v>
      </c>
      <c r="R490" s="1" t="s">
        <v>40</v>
      </c>
    </row>
    <row r="491" spans="1:18" x14ac:dyDescent="0.35">
      <c r="A491" s="3" t="s">
        <v>97</v>
      </c>
      <c r="B491" s="3"/>
      <c r="C491" s="1" t="s">
        <v>35</v>
      </c>
      <c r="D491" s="1" t="s">
        <v>69</v>
      </c>
      <c r="E491" s="1" t="s">
        <v>37</v>
      </c>
      <c r="F491" s="1" t="s">
        <v>30</v>
      </c>
      <c r="G491" s="1" t="s">
        <v>44</v>
      </c>
      <c r="H491" s="2">
        <v>45347</v>
      </c>
      <c r="I491" s="2">
        <v>45374</v>
      </c>
      <c r="J491" s="1">
        <v>43806.76</v>
      </c>
      <c r="K491" s="1">
        <v>1.1298999999999999</v>
      </c>
      <c r="L491" s="1">
        <v>49497.26</v>
      </c>
      <c r="M491" s="1">
        <v>453481</v>
      </c>
      <c r="N491" s="1">
        <v>47355</v>
      </c>
      <c r="O491" s="1">
        <v>17604.29</v>
      </c>
      <c r="P491" s="1">
        <v>2024</v>
      </c>
      <c r="Q491" s="1" t="s">
        <v>39</v>
      </c>
      <c r="R491" s="1" t="s">
        <v>40</v>
      </c>
    </row>
    <row r="492" spans="1:18" x14ac:dyDescent="0.35">
      <c r="A492" s="3" t="s">
        <v>107</v>
      </c>
      <c r="B492" s="3"/>
      <c r="C492" s="1" t="s">
        <v>28</v>
      </c>
      <c r="D492" s="1" t="s">
        <v>69</v>
      </c>
      <c r="E492" s="1" t="s">
        <v>51</v>
      </c>
      <c r="F492" s="1" t="s">
        <v>30</v>
      </c>
      <c r="G492" s="1" t="s">
        <v>49</v>
      </c>
      <c r="H492" s="2">
        <v>45349</v>
      </c>
      <c r="I492" s="2">
        <v>45366</v>
      </c>
      <c r="J492" s="1">
        <v>42820.62</v>
      </c>
      <c r="K492" s="1">
        <v>0.2271</v>
      </c>
      <c r="L492" s="1">
        <v>9724.56</v>
      </c>
      <c r="M492" s="1">
        <v>313662</v>
      </c>
      <c r="N492" s="1">
        <v>7332</v>
      </c>
      <c r="O492" s="1">
        <v>161038.71</v>
      </c>
      <c r="P492" s="1">
        <v>2024</v>
      </c>
      <c r="Q492" s="1" t="s">
        <v>39</v>
      </c>
      <c r="R492" s="1" t="s">
        <v>40</v>
      </c>
    </row>
    <row r="493" spans="1:18" x14ac:dyDescent="0.35">
      <c r="A493" s="3" t="s">
        <v>99</v>
      </c>
      <c r="B493" s="3"/>
      <c r="C493" s="1" t="s">
        <v>28</v>
      </c>
      <c r="D493" s="1" t="s">
        <v>20</v>
      </c>
      <c r="E493" s="1" t="s">
        <v>21</v>
      </c>
      <c r="F493" s="1" t="s">
        <v>22</v>
      </c>
      <c r="G493" s="1" t="s">
        <v>31</v>
      </c>
      <c r="H493" s="2">
        <v>45350</v>
      </c>
      <c r="I493" s="2">
        <v>45374</v>
      </c>
      <c r="J493" s="1">
        <v>14482.54</v>
      </c>
      <c r="K493" s="1">
        <v>0.67249999999999999</v>
      </c>
      <c r="L493" s="1">
        <v>9739.51</v>
      </c>
      <c r="M493" s="1">
        <v>630407</v>
      </c>
      <c r="N493" s="1">
        <v>48282</v>
      </c>
      <c r="O493" s="1">
        <v>228336.53</v>
      </c>
      <c r="P493" s="1">
        <v>2024</v>
      </c>
      <c r="Q493" s="1" t="s">
        <v>39</v>
      </c>
      <c r="R493" s="1" t="s">
        <v>40</v>
      </c>
    </row>
    <row r="494" spans="1:18" x14ac:dyDescent="0.35">
      <c r="A494" s="3" t="s">
        <v>114</v>
      </c>
      <c r="B494" s="3"/>
      <c r="C494" s="1" t="s">
        <v>35</v>
      </c>
      <c r="D494" s="1" t="s">
        <v>69</v>
      </c>
      <c r="E494" s="1" t="s">
        <v>37</v>
      </c>
      <c r="F494" s="1" t="s">
        <v>38</v>
      </c>
      <c r="G494" s="1" t="s">
        <v>31</v>
      </c>
      <c r="H494" s="2">
        <v>45350</v>
      </c>
      <c r="I494" s="2">
        <v>45357</v>
      </c>
      <c r="J494" s="1">
        <v>17355.82</v>
      </c>
      <c r="K494" s="1">
        <v>0.67689999999999995</v>
      </c>
      <c r="L494" s="1">
        <v>11748.15</v>
      </c>
      <c r="M494" s="1">
        <v>678470</v>
      </c>
      <c r="N494" s="1">
        <v>14015</v>
      </c>
      <c r="O494" s="1">
        <v>7767.83</v>
      </c>
      <c r="P494" s="1">
        <v>2024</v>
      </c>
      <c r="Q494" s="1" t="s">
        <v>39</v>
      </c>
      <c r="R494" s="1" t="s">
        <v>40</v>
      </c>
    </row>
    <row r="495" spans="1:18" x14ac:dyDescent="0.35">
      <c r="A495" s="3" t="s">
        <v>50</v>
      </c>
      <c r="B495" s="3"/>
      <c r="C495" s="1" t="s">
        <v>28</v>
      </c>
      <c r="D495" s="1" t="s">
        <v>69</v>
      </c>
      <c r="E495" s="1" t="s">
        <v>51</v>
      </c>
      <c r="F495" s="1" t="s">
        <v>30</v>
      </c>
      <c r="G495" s="1" t="s">
        <v>44</v>
      </c>
      <c r="H495" s="2">
        <v>45353</v>
      </c>
      <c r="I495" s="2">
        <v>45395</v>
      </c>
      <c r="J495" s="1">
        <v>16076.21</v>
      </c>
      <c r="K495" s="1">
        <v>1.0794999999999999</v>
      </c>
      <c r="L495" s="1">
        <v>17354.27</v>
      </c>
      <c r="M495" s="1">
        <v>924462</v>
      </c>
      <c r="N495" s="1">
        <v>45191</v>
      </c>
      <c r="O495" s="1">
        <v>159168.82</v>
      </c>
      <c r="P495" s="1">
        <v>2024</v>
      </c>
      <c r="Q495" s="1" t="s">
        <v>60</v>
      </c>
      <c r="R495" s="1" t="s">
        <v>40</v>
      </c>
    </row>
    <row r="496" spans="1:18" x14ac:dyDescent="0.35">
      <c r="A496" s="3" t="s">
        <v>27</v>
      </c>
      <c r="B496" s="3"/>
      <c r="C496" s="1" t="s">
        <v>48</v>
      </c>
      <c r="D496" s="1" t="s">
        <v>29</v>
      </c>
      <c r="E496" s="1" t="s">
        <v>51</v>
      </c>
      <c r="F496" s="1" t="s">
        <v>22</v>
      </c>
      <c r="G496" s="1" t="s">
        <v>44</v>
      </c>
      <c r="H496" s="2">
        <v>45354</v>
      </c>
      <c r="I496" s="2">
        <v>45374</v>
      </c>
      <c r="J496" s="1">
        <v>29072.03</v>
      </c>
      <c r="K496" s="1">
        <v>0.51749999999999996</v>
      </c>
      <c r="L496" s="1">
        <v>15044.78</v>
      </c>
      <c r="M496" s="1">
        <v>337557</v>
      </c>
      <c r="N496" s="1">
        <v>39773</v>
      </c>
      <c r="O496" s="1">
        <v>85674.76</v>
      </c>
      <c r="P496" s="1">
        <v>2024</v>
      </c>
      <c r="Q496" s="1" t="s">
        <v>60</v>
      </c>
      <c r="R496" s="1" t="s">
        <v>40</v>
      </c>
    </row>
    <row r="497" spans="1:18" x14ac:dyDescent="0.35">
      <c r="A497" s="3" t="s">
        <v>102</v>
      </c>
      <c r="B497" s="3"/>
      <c r="C497" s="1" t="s">
        <v>48</v>
      </c>
      <c r="D497" s="1" t="s">
        <v>20</v>
      </c>
      <c r="E497" s="1" t="s">
        <v>51</v>
      </c>
      <c r="F497" s="1" t="s">
        <v>38</v>
      </c>
      <c r="G497" s="1" t="s">
        <v>31</v>
      </c>
      <c r="H497" s="2">
        <v>45355</v>
      </c>
      <c r="I497" s="2">
        <v>45385</v>
      </c>
      <c r="J497" s="1">
        <v>20025.47</v>
      </c>
      <c r="K497" s="1">
        <v>5.1999999999999998E-2</v>
      </c>
      <c r="L497" s="1">
        <v>1041.32</v>
      </c>
      <c r="M497" s="1">
        <v>752464</v>
      </c>
      <c r="N497" s="1">
        <v>37589</v>
      </c>
      <c r="O497" s="1">
        <v>204923.6</v>
      </c>
      <c r="P497" s="1">
        <v>2024</v>
      </c>
      <c r="Q497" s="1" t="s">
        <v>60</v>
      </c>
      <c r="R497" s="1" t="s">
        <v>40</v>
      </c>
    </row>
    <row r="498" spans="1:18" x14ac:dyDescent="0.35">
      <c r="A498" s="3" t="s">
        <v>113</v>
      </c>
      <c r="B498" s="3"/>
      <c r="C498" s="1" t="s">
        <v>48</v>
      </c>
      <c r="D498" s="1" t="s">
        <v>58</v>
      </c>
      <c r="E498" s="1" t="s">
        <v>51</v>
      </c>
      <c r="F498" s="1" t="s">
        <v>30</v>
      </c>
      <c r="G498" s="1" t="s">
        <v>52</v>
      </c>
      <c r="H498" s="2">
        <v>45355</v>
      </c>
      <c r="I498" s="2">
        <v>45360</v>
      </c>
      <c r="J498" s="1">
        <v>28327.81</v>
      </c>
      <c r="K498" s="1">
        <v>0.2384</v>
      </c>
      <c r="L498" s="1">
        <v>6753.35</v>
      </c>
      <c r="M498" s="1">
        <v>565953</v>
      </c>
      <c r="N498" s="1">
        <v>6370</v>
      </c>
      <c r="O498" s="1">
        <v>156635.63</v>
      </c>
      <c r="P498" s="1">
        <v>2024</v>
      </c>
      <c r="Q498" s="1" t="s">
        <v>60</v>
      </c>
      <c r="R498" s="1" t="s">
        <v>40</v>
      </c>
    </row>
    <row r="499" spans="1:18" x14ac:dyDescent="0.35">
      <c r="A499" s="3" t="s">
        <v>70</v>
      </c>
      <c r="B499" s="3"/>
      <c r="C499" s="1" t="s">
        <v>48</v>
      </c>
      <c r="D499" s="1" t="s">
        <v>20</v>
      </c>
      <c r="E499" s="1" t="s">
        <v>21</v>
      </c>
      <c r="F499" s="1" t="s">
        <v>30</v>
      </c>
      <c r="G499" s="1" t="s">
        <v>31</v>
      </c>
      <c r="H499" s="2">
        <v>45356</v>
      </c>
      <c r="I499" s="2">
        <v>45392</v>
      </c>
      <c r="J499" s="1">
        <v>48098.07</v>
      </c>
      <c r="K499" s="1">
        <v>1.1673</v>
      </c>
      <c r="L499" s="1">
        <v>56144.88</v>
      </c>
      <c r="M499" s="1">
        <v>159289</v>
      </c>
      <c r="N499" s="1">
        <v>46738</v>
      </c>
      <c r="O499" s="1">
        <v>73557.19</v>
      </c>
      <c r="P499" s="1">
        <v>2024</v>
      </c>
      <c r="Q499" s="1" t="s">
        <v>60</v>
      </c>
      <c r="R499" s="1" t="s">
        <v>40</v>
      </c>
    </row>
    <row r="500" spans="1:18" x14ac:dyDescent="0.35">
      <c r="A500" s="3" t="s">
        <v>88</v>
      </c>
      <c r="B500" s="3"/>
      <c r="C500" s="1" t="s">
        <v>19</v>
      </c>
      <c r="D500" s="1" t="s">
        <v>20</v>
      </c>
      <c r="E500" s="1" t="s">
        <v>37</v>
      </c>
      <c r="F500" s="1" t="s">
        <v>22</v>
      </c>
      <c r="G500" s="1" t="s">
        <v>52</v>
      </c>
      <c r="H500" s="2">
        <v>45356</v>
      </c>
      <c r="I500" s="2">
        <v>45388</v>
      </c>
      <c r="J500" s="1">
        <v>34602.379999999997</v>
      </c>
      <c r="K500" s="1">
        <v>0.49</v>
      </c>
      <c r="L500" s="1">
        <v>16955.169999999998</v>
      </c>
      <c r="M500" s="1">
        <v>826466</v>
      </c>
      <c r="N500" s="1">
        <v>45353</v>
      </c>
      <c r="O500" s="1">
        <v>136712.98000000001</v>
      </c>
      <c r="P500" s="1">
        <v>2024</v>
      </c>
      <c r="Q500" s="1" t="s">
        <v>60</v>
      </c>
      <c r="R500" s="1" t="s">
        <v>40</v>
      </c>
    </row>
    <row r="501" spans="1:18" x14ac:dyDescent="0.35">
      <c r="A501" s="3" t="s">
        <v>88</v>
      </c>
      <c r="B501" s="3"/>
      <c r="C501" s="1" t="s">
        <v>35</v>
      </c>
      <c r="D501" s="1" t="s">
        <v>36</v>
      </c>
      <c r="E501" s="1" t="s">
        <v>63</v>
      </c>
      <c r="F501" s="1" t="s">
        <v>30</v>
      </c>
      <c r="G501" s="1" t="s">
        <v>44</v>
      </c>
      <c r="H501" s="2">
        <v>45356</v>
      </c>
      <c r="I501" s="2">
        <v>45386</v>
      </c>
      <c r="J501" s="1">
        <v>44403.360000000001</v>
      </c>
      <c r="K501" s="1">
        <v>0.84389999999999998</v>
      </c>
      <c r="L501" s="1">
        <v>37472</v>
      </c>
      <c r="M501" s="1">
        <v>925979</v>
      </c>
      <c r="N501" s="1">
        <v>20044</v>
      </c>
      <c r="O501" s="1">
        <v>181780.01</v>
      </c>
      <c r="P501" s="1">
        <v>2024</v>
      </c>
      <c r="Q501" s="1" t="s">
        <v>60</v>
      </c>
      <c r="R501" s="1" t="s">
        <v>40</v>
      </c>
    </row>
    <row r="502" spans="1:18" x14ac:dyDescent="0.35">
      <c r="A502" s="3" t="s">
        <v>27</v>
      </c>
      <c r="B502" s="3"/>
      <c r="C502" s="1" t="s">
        <v>19</v>
      </c>
      <c r="D502" s="1" t="s">
        <v>58</v>
      </c>
      <c r="E502" s="1" t="s">
        <v>51</v>
      </c>
      <c r="F502" s="1" t="s">
        <v>38</v>
      </c>
      <c r="G502" s="1" t="s">
        <v>49</v>
      </c>
      <c r="H502" s="2">
        <v>45356</v>
      </c>
      <c r="I502" s="2">
        <v>45373</v>
      </c>
      <c r="J502" s="1">
        <v>32489.97</v>
      </c>
      <c r="K502" s="1">
        <v>0.9587</v>
      </c>
      <c r="L502" s="1">
        <v>31148.13</v>
      </c>
      <c r="M502" s="1">
        <v>271250</v>
      </c>
      <c r="N502" s="1">
        <v>41437</v>
      </c>
      <c r="O502" s="1">
        <v>248551.38</v>
      </c>
      <c r="P502" s="1">
        <v>2024</v>
      </c>
      <c r="Q502" s="1" t="s">
        <v>60</v>
      </c>
      <c r="R502" s="1" t="s">
        <v>40</v>
      </c>
    </row>
    <row r="503" spans="1:18" x14ac:dyDescent="0.35">
      <c r="A503" s="3" t="s">
        <v>62</v>
      </c>
      <c r="B503" s="3"/>
      <c r="C503" s="1" t="s">
        <v>19</v>
      </c>
      <c r="D503" s="1" t="s">
        <v>29</v>
      </c>
      <c r="E503" s="1" t="s">
        <v>51</v>
      </c>
      <c r="F503" s="1" t="s">
        <v>22</v>
      </c>
      <c r="G503" s="1" t="s">
        <v>23</v>
      </c>
      <c r="H503" s="2">
        <v>45358</v>
      </c>
      <c r="I503" s="2">
        <v>45364</v>
      </c>
      <c r="J503" s="1">
        <v>49475.24</v>
      </c>
      <c r="K503" s="1">
        <v>0.41120000000000001</v>
      </c>
      <c r="L503" s="1">
        <v>20344.22</v>
      </c>
      <c r="M503" s="1">
        <v>211485</v>
      </c>
      <c r="N503" s="1">
        <v>44661</v>
      </c>
      <c r="O503" s="1">
        <v>168892.62</v>
      </c>
      <c r="P503" s="1">
        <v>2024</v>
      </c>
      <c r="Q503" s="1" t="s">
        <v>60</v>
      </c>
      <c r="R503" s="1" t="s">
        <v>40</v>
      </c>
    </row>
    <row r="504" spans="1:18" x14ac:dyDescent="0.35">
      <c r="A504" s="3" t="s">
        <v>67</v>
      </c>
      <c r="B504" s="3"/>
      <c r="C504" s="1" t="s">
        <v>19</v>
      </c>
      <c r="D504" s="1" t="s">
        <v>69</v>
      </c>
      <c r="E504" s="1" t="s">
        <v>63</v>
      </c>
      <c r="F504" s="1" t="s">
        <v>38</v>
      </c>
      <c r="G504" s="1" t="s">
        <v>31</v>
      </c>
      <c r="H504" s="2">
        <v>45359</v>
      </c>
      <c r="I504" s="2">
        <v>45395</v>
      </c>
      <c r="J504" s="1">
        <v>19575.64</v>
      </c>
      <c r="K504" s="1">
        <v>0.45419999999999999</v>
      </c>
      <c r="L504" s="1">
        <v>8891.26</v>
      </c>
      <c r="M504" s="1">
        <v>128733</v>
      </c>
      <c r="N504" s="1">
        <v>22248</v>
      </c>
      <c r="O504" s="1">
        <v>228941.07</v>
      </c>
      <c r="P504" s="1">
        <v>2024</v>
      </c>
      <c r="Q504" s="1" t="s">
        <v>60</v>
      </c>
      <c r="R504" s="1" t="s">
        <v>40</v>
      </c>
    </row>
    <row r="505" spans="1:18" x14ac:dyDescent="0.35">
      <c r="A505" s="3" t="s">
        <v>102</v>
      </c>
      <c r="B505" s="3"/>
      <c r="C505" s="1" t="s">
        <v>48</v>
      </c>
      <c r="D505" s="1" t="s">
        <v>58</v>
      </c>
      <c r="E505" s="1" t="s">
        <v>51</v>
      </c>
      <c r="F505" s="1" t="s">
        <v>30</v>
      </c>
      <c r="G505" s="1" t="s">
        <v>49</v>
      </c>
      <c r="H505" s="2">
        <v>45359</v>
      </c>
      <c r="I505" s="2">
        <v>45386</v>
      </c>
      <c r="J505" s="1">
        <v>10574.95</v>
      </c>
      <c r="K505" s="1">
        <v>0.24840000000000001</v>
      </c>
      <c r="L505" s="1">
        <v>2626.82</v>
      </c>
      <c r="M505" s="1">
        <v>962631</v>
      </c>
      <c r="N505" s="1">
        <v>13289</v>
      </c>
      <c r="O505" s="1">
        <v>197389.63</v>
      </c>
      <c r="P505" s="1">
        <v>2024</v>
      </c>
      <c r="Q505" s="1" t="s">
        <v>60</v>
      </c>
      <c r="R505" s="1" t="s">
        <v>40</v>
      </c>
    </row>
    <row r="506" spans="1:18" x14ac:dyDescent="0.35">
      <c r="A506" s="3" t="s">
        <v>104</v>
      </c>
      <c r="B506" s="3"/>
      <c r="C506" s="1" t="s">
        <v>28</v>
      </c>
      <c r="D506" s="1" t="s">
        <v>20</v>
      </c>
      <c r="E506" s="1" t="s">
        <v>37</v>
      </c>
      <c r="F506" s="1" t="s">
        <v>22</v>
      </c>
      <c r="G506" s="1" t="s">
        <v>44</v>
      </c>
      <c r="H506" s="2">
        <v>45360</v>
      </c>
      <c r="I506" s="2">
        <v>45389</v>
      </c>
      <c r="J506" s="1">
        <v>42727.72</v>
      </c>
      <c r="K506" s="1">
        <v>0.55620000000000003</v>
      </c>
      <c r="L506" s="1">
        <v>23765.16</v>
      </c>
      <c r="M506" s="1">
        <v>238808</v>
      </c>
      <c r="N506" s="1">
        <v>30685</v>
      </c>
      <c r="O506" s="1">
        <v>79025.55</v>
      </c>
      <c r="P506" s="1">
        <v>2024</v>
      </c>
      <c r="Q506" s="1" t="s">
        <v>60</v>
      </c>
      <c r="R506" s="1" t="s">
        <v>40</v>
      </c>
    </row>
    <row r="507" spans="1:18" x14ac:dyDescent="0.35">
      <c r="A507" s="3" t="s">
        <v>91</v>
      </c>
      <c r="B507" s="3"/>
      <c r="C507" s="1" t="s">
        <v>48</v>
      </c>
      <c r="D507" s="1" t="s">
        <v>29</v>
      </c>
      <c r="E507" s="1" t="s">
        <v>37</v>
      </c>
      <c r="F507" s="1" t="s">
        <v>38</v>
      </c>
      <c r="G507" s="1" t="s">
        <v>31</v>
      </c>
      <c r="H507" s="2">
        <v>45361</v>
      </c>
      <c r="I507" s="2">
        <v>45402</v>
      </c>
      <c r="J507" s="1">
        <v>36241.79</v>
      </c>
      <c r="K507" s="1">
        <v>0.92510000000000003</v>
      </c>
      <c r="L507" s="1">
        <v>33527.279999999999</v>
      </c>
      <c r="M507" s="1">
        <v>282735</v>
      </c>
      <c r="N507" s="1">
        <v>10752</v>
      </c>
      <c r="O507" s="1">
        <v>240274.73</v>
      </c>
      <c r="P507" s="1">
        <v>2024</v>
      </c>
      <c r="Q507" s="1" t="s">
        <v>60</v>
      </c>
      <c r="R507" s="1" t="s">
        <v>40</v>
      </c>
    </row>
    <row r="508" spans="1:18" x14ac:dyDescent="0.35">
      <c r="A508" s="3" t="s">
        <v>67</v>
      </c>
      <c r="B508" s="3"/>
      <c r="C508" s="1" t="s">
        <v>19</v>
      </c>
      <c r="D508" s="1" t="s">
        <v>20</v>
      </c>
      <c r="E508" s="1" t="s">
        <v>37</v>
      </c>
      <c r="F508" s="1" t="s">
        <v>30</v>
      </c>
      <c r="G508" s="1" t="s">
        <v>49</v>
      </c>
      <c r="H508" s="2">
        <v>45362</v>
      </c>
      <c r="I508" s="2">
        <v>45400</v>
      </c>
      <c r="J508" s="1">
        <v>20321.689999999999</v>
      </c>
      <c r="K508" s="1">
        <v>0.97360000000000002</v>
      </c>
      <c r="L508" s="1">
        <v>19785.2</v>
      </c>
      <c r="M508" s="1">
        <v>740494</v>
      </c>
      <c r="N508" s="1">
        <v>6522</v>
      </c>
      <c r="O508" s="1">
        <v>115848.14</v>
      </c>
      <c r="P508" s="1">
        <v>2024</v>
      </c>
      <c r="Q508" s="1" t="s">
        <v>60</v>
      </c>
      <c r="R508" s="1" t="s">
        <v>40</v>
      </c>
    </row>
    <row r="509" spans="1:18" x14ac:dyDescent="0.35">
      <c r="A509" s="3" t="s">
        <v>81</v>
      </c>
      <c r="B509" s="3"/>
      <c r="C509" s="1" t="s">
        <v>28</v>
      </c>
      <c r="D509" s="1" t="s">
        <v>69</v>
      </c>
      <c r="E509" s="1" t="s">
        <v>59</v>
      </c>
      <c r="F509" s="1" t="s">
        <v>22</v>
      </c>
      <c r="G509" s="1" t="s">
        <v>23</v>
      </c>
      <c r="H509" s="2">
        <v>45362</v>
      </c>
      <c r="I509" s="2">
        <v>45375</v>
      </c>
      <c r="J509" s="1">
        <v>13471.38</v>
      </c>
      <c r="K509" s="1">
        <v>0.9214</v>
      </c>
      <c r="L509" s="1">
        <v>12412.53</v>
      </c>
      <c r="M509" s="1">
        <v>964293</v>
      </c>
      <c r="N509" s="1">
        <v>5593</v>
      </c>
      <c r="O509" s="1">
        <v>74400.33</v>
      </c>
      <c r="P509" s="1">
        <v>2024</v>
      </c>
      <c r="Q509" s="1" t="s">
        <v>60</v>
      </c>
      <c r="R509" s="1" t="s">
        <v>40</v>
      </c>
    </row>
    <row r="510" spans="1:18" x14ac:dyDescent="0.35">
      <c r="A510" s="3" t="s">
        <v>106</v>
      </c>
      <c r="B510" s="3"/>
      <c r="C510" s="1" t="s">
        <v>28</v>
      </c>
      <c r="D510" s="1" t="s">
        <v>20</v>
      </c>
      <c r="E510" s="1" t="s">
        <v>51</v>
      </c>
      <c r="F510" s="1" t="s">
        <v>30</v>
      </c>
      <c r="G510" s="1" t="s">
        <v>49</v>
      </c>
      <c r="H510" s="2">
        <v>45364</v>
      </c>
      <c r="I510" s="2">
        <v>45407</v>
      </c>
      <c r="J510" s="1">
        <v>42542.1</v>
      </c>
      <c r="K510" s="1">
        <v>0.31900000000000001</v>
      </c>
      <c r="L510" s="1">
        <v>13570.93</v>
      </c>
      <c r="M510" s="1">
        <v>613080</v>
      </c>
      <c r="N510" s="1">
        <v>40944</v>
      </c>
      <c r="O510" s="1">
        <v>91694.07</v>
      </c>
      <c r="P510" s="1">
        <v>2024</v>
      </c>
      <c r="Q510" s="1" t="s">
        <v>60</v>
      </c>
      <c r="R510" s="1" t="s">
        <v>40</v>
      </c>
    </row>
    <row r="511" spans="1:18" x14ac:dyDescent="0.35">
      <c r="A511" s="3" t="s">
        <v>97</v>
      </c>
      <c r="B511" s="3"/>
      <c r="C511" s="1" t="s">
        <v>48</v>
      </c>
      <c r="D511" s="1" t="s">
        <v>29</v>
      </c>
      <c r="E511" s="1" t="s">
        <v>43</v>
      </c>
      <c r="F511" s="1" t="s">
        <v>30</v>
      </c>
      <c r="G511" s="1" t="s">
        <v>44</v>
      </c>
      <c r="H511" s="2">
        <v>45365</v>
      </c>
      <c r="I511" s="2">
        <v>45400</v>
      </c>
      <c r="J511" s="1">
        <v>49356.7</v>
      </c>
      <c r="K511" s="1">
        <v>1.0299</v>
      </c>
      <c r="L511" s="1">
        <v>50832.47</v>
      </c>
      <c r="M511" s="1">
        <v>959173</v>
      </c>
      <c r="N511" s="1">
        <v>6683</v>
      </c>
      <c r="O511" s="1">
        <v>184898.05</v>
      </c>
      <c r="P511" s="1">
        <v>2024</v>
      </c>
      <c r="Q511" s="1" t="s">
        <v>60</v>
      </c>
      <c r="R511" s="1" t="s">
        <v>40</v>
      </c>
    </row>
    <row r="512" spans="1:18" x14ac:dyDescent="0.35">
      <c r="A512" s="3" t="s">
        <v>47</v>
      </c>
      <c r="B512" s="3"/>
      <c r="C512" s="1" t="s">
        <v>28</v>
      </c>
      <c r="D512" s="1" t="s">
        <v>69</v>
      </c>
      <c r="E512" s="1" t="s">
        <v>51</v>
      </c>
      <c r="F512" s="1" t="s">
        <v>30</v>
      </c>
      <c r="G512" s="1" t="s">
        <v>23</v>
      </c>
      <c r="H512" s="2">
        <v>45365</v>
      </c>
      <c r="I512" s="2">
        <v>45393</v>
      </c>
      <c r="J512" s="1">
        <v>9667.86</v>
      </c>
      <c r="K512" s="1">
        <v>0.71789999999999998</v>
      </c>
      <c r="L512" s="1">
        <v>6940.56</v>
      </c>
      <c r="M512" s="1">
        <v>579128</v>
      </c>
      <c r="N512" s="1">
        <v>28665</v>
      </c>
      <c r="O512" s="1">
        <v>98483.01</v>
      </c>
      <c r="P512" s="1">
        <v>2024</v>
      </c>
      <c r="Q512" s="1" t="s">
        <v>60</v>
      </c>
      <c r="R512" s="1" t="s">
        <v>40</v>
      </c>
    </row>
    <row r="513" spans="1:18" x14ac:dyDescent="0.35">
      <c r="A513" s="3" t="s">
        <v>34</v>
      </c>
      <c r="B513" s="3"/>
      <c r="C513" s="1" t="s">
        <v>19</v>
      </c>
      <c r="D513" s="1" t="s">
        <v>20</v>
      </c>
      <c r="E513" s="1" t="s">
        <v>63</v>
      </c>
      <c r="F513" s="1" t="s">
        <v>38</v>
      </c>
      <c r="G513" s="1" t="s">
        <v>44</v>
      </c>
      <c r="H513" s="2">
        <v>45365</v>
      </c>
      <c r="I513" s="2">
        <v>45391</v>
      </c>
      <c r="J513" s="1">
        <v>2020.52</v>
      </c>
      <c r="K513" s="1">
        <v>1.1695</v>
      </c>
      <c r="L513" s="1">
        <v>2363</v>
      </c>
      <c r="M513" s="1">
        <v>934065</v>
      </c>
      <c r="N513" s="1">
        <v>5144</v>
      </c>
      <c r="O513" s="1">
        <v>46827.65</v>
      </c>
      <c r="P513" s="1">
        <v>2024</v>
      </c>
      <c r="Q513" s="1" t="s">
        <v>60</v>
      </c>
      <c r="R513" s="1" t="s">
        <v>40</v>
      </c>
    </row>
    <row r="514" spans="1:18" x14ac:dyDescent="0.35">
      <c r="A514" s="3" t="s">
        <v>66</v>
      </c>
      <c r="B514" s="3"/>
      <c r="C514" s="1" t="s">
        <v>35</v>
      </c>
      <c r="D514" s="1" t="s">
        <v>36</v>
      </c>
      <c r="E514" s="1" t="s">
        <v>37</v>
      </c>
      <c r="F514" s="1" t="s">
        <v>38</v>
      </c>
      <c r="G514" s="1" t="s">
        <v>23</v>
      </c>
      <c r="H514" s="2">
        <v>45366</v>
      </c>
      <c r="I514" s="2">
        <v>45421</v>
      </c>
      <c r="J514" s="1">
        <v>10109.83</v>
      </c>
      <c r="K514" s="1">
        <v>0.3019</v>
      </c>
      <c r="L514" s="1">
        <v>3052.16</v>
      </c>
      <c r="M514" s="1">
        <v>235636</v>
      </c>
      <c r="N514" s="1">
        <v>43154</v>
      </c>
      <c r="O514" s="1">
        <v>96056.77</v>
      </c>
      <c r="P514" s="1">
        <v>2024</v>
      </c>
      <c r="Q514" s="1" t="s">
        <v>60</v>
      </c>
      <c r="R514" s="1" t="s">
        <v>40</v>
      </c>
    </row>
    <row r="515" spans="1:18" x14ac:dyDescent="0.35">
      <c r="A515" s="3" t="s">
        <v>82</v>
      </c>
      <c r="B515" s="3"/>
      <c r="C515" s="1" t="s">
        <v>19</v>
      </c>
      <c r="D515" s="1" t="s">
        <v>20</v>
      </c>
      <c r="E515" s="1" t="s">
        <v>59</v>
      </c>
      <c r="F515" s="1" t="s">
        <v>38</v>
      </c>
      <c r="G515" s="1" t="s">
        <v>31</v>
      </c>
      <c r="H515" s="2">
        <v>45368</v>
      </c>
      <c r="I515" s="2">
        <v>45384</v>
      </c>
      <c r="J515" s="1">
        <v>13360.89</v>
      </c>
      <c r="K515" s="1">
        <v>0.59460000000000002</v>
      </c>
      <c r="L515" s="1">
        <v>7944.39</v>
      </c>
      <c r="M515" s="1">
        <v>360520</v>
      </c>
      <c r="N515" s="1">
        <v>20046</v>
      </c>
      <c r="O515" s="1">
        <v>32324.51</v>
      </c>
      <c r="P515" s="1">
        <v>2024</v>
      </c>
      <c r="Q515" s="1" t="s">
        <v>60</v>
      </c>
      <c r="R515" s="1" t="s">
        <v>40</v>
      </c>
    </row>
    <row r="516" spans="1:18" x14ac:dyDescent="0.35">
      <c r="A516" s="3" t="s">
        <v>67</v>
      </c>
      <c r="B516" s="3"/>
      <c r="C516" s="1" t="s">
        <v>28</v>
      </c>
      <c r="D516" s="1" t="s">
        <v>58</v>
      </c>
      <c r="E516" s="1" t="s">
        <v>21</v>
      </c>
      <c r="F516" s="1" t="s">
        <v>22</v>
      </c>
      <c r="G516" s="1" t="s">
        <v>31</v>
      </c>
      <c r="H516" s="2">
        <v>45369</v>
      </c>
      <c r="I516" s="2">
        <v>45411</v>
      </c>
      <c r="J516" s="1">
        <v>45994.73</v>
      </c>
      <c r="K516" s="1">
        <v>0.35610000000000003</v>
      </c>
      <c r="L516" s="1">
        <v>16378.72</v>
      </c>
      <c r="M516" s="1">
        <v>43697</v>
      </c>
      <c r="N516" s="1">
        <v>31110</v>
      </c>
      <c r="O516" s="1">
        <v>233569.02</v>
      </c>
      <c r="P516" s="1">
        <v>2024</v>
      </c>
      <c r="Q516" s="1" t="s">
        <v>60</v>
      </c>
      <c r="R516" s="1" t="s">
        <v>40</v>
      </c>
    </row>
    <row r="517" spans="1:18" x14ac:dyDescent="0.35">
      <c r="A517" s="3" t="s">
        <v>112</v>
      </c>
      <c r="B517" s="3"/>
      <c r="C517" s="1" t="s">
        <v>19</v>
      </c>
      <c r="D517" s="1" t="s">
        <v>29</v>
      </c>
      <c r="E517" s="1" t="s">
        <v>51</v>
      </c>
      <c r="F517" s="1" t="s">
        <v>22</v>
      </c>
      <c r="G517" s="1" t="s">
        <v>31</v>
      </c>
      <c r="H517" s="2">
        <v>45369</v>
      </c>
      <c r="I517" s="2">
        <v>45405</v>
      </c>
      <c r="J517" s="1">
        <v>13889.77</v>
      </c>
      <c r="K517" s="1">
        <v>1.0387999999999999</v>
      </c>
      <c r="L517" s="1">
        <v>14428.69</v>
      </c>
      <c r="M517" s="1">
        <v>301979</v>
      </c>
      <c r="N517" s="1">
        <v>48048</v>
      </c>
      <c r="O517" s="1">
        <v>168835.32</v>
      </c>
      <c r="P517" s="1">
        <v>2024</v>
      </c>
      <c r="Q517" s="1" t="s">
        <v>60</v>
      </c>
      <c r="R517" s="1" t="s">
        <v>40</v>
      </c>
    </row>
    <row r="518" spans="1:18" x14ac:dyDescent="0.35">
      <c r="A518" s="3" t="s">
        <v>64</v>
      </c>
      <c r="B518" s="3"/>
      <c r="C518" s="1" t="s">
        <v>48</v>
      </c>
      <c r="D518" s="1" t="s">
        <v>58</v>
      </c>
      <c r="E518" s="1" t="s">
        <v>21</v>
      </c>
      <c r="F518" s="1" t="s">
        <v>38</v>
      </c>
      <c r="G518" s="1" t="s">
        <v>31</v>
      </c>
      <c r="H518" s="2">
        <v>45369</v>
      </c>
      <c r="I518" s="2">
        <v>45383</v>
      </c>
      <c r="J518" s="1">
        <v>32173.66</v>
      </c>
      <c r="K518" s="1">
        <v>0.22989999999999999</v>
      </c>
      <c r="L518" s="1">
        <v>7396.72</v>
      </c>
      <c r="M518" s="1">
        <v>868311</v>
      </c>
      <c r="N518" s="1">
        <v>48898</v>
      </c>
      <c r="O518" s="1">
        <v>166079.01</v>
      </c>
      <c r="P518" s="1">
        <v>2024</v>
      </c>
      <c r="Q518" s="1" t="s">
        <v>60</v>
      </c>
      <c r="R518" s="1" t="s">
        <v>40</v>
      </c>
    </row>
    <row r="519" spans="1:18" x14ac:dyDescent="0.35">
      <c r="A519" s="3" t="s">
        <v>66</v>
      </c>
      <c r="B519" s="3"/>
      <c r="C519" s="1" t="s">
        <v>19</v>
      </c>
      <c r="D519" s="1" t="s">
        <v>36</v>
      </c>
      <c r="E519" s="1" t="s">
        <v>51</v>
      </c>
      <c r="F519" s="1" t="s">
        <v>22</v>
      </c>
      <c r="G519" s="1" t="s">
        <v>44</v>
      </c>
      <c r="H519" s="2">
        <v>45370</v>
      </c>
      <c r="I519" s="2">
        <v>45417</v>
      </c>
      <c r="J519" s="1">
        <v>36605.949999999997</v>
      </c>
      <c r="K519" s="1">
        <v>0.58350000000000002</v>
      </c>
      <c r="L519" s="1">
        <v>21359.57</v>
      </c>
      <c r="M519" s="1">
        <v>705951</v>
      </c>
      <c r="N519" s="1">
        <v>44421</v>
      </c>
      <c r="O519" s="1">
        <v>162144.09</v>
      </c>
      <c r="P519" s="1">
        <v>2024</v>
      </c>
      <c r="Q519" s="1" t="s">
        <v>60</v>
      </c>
      <c r="R519" s="1" t="s">
        <v>40</v>
      </c>
    </row>
    <row r="520" spans="1:18" x14ac:dyDescent="0.35">
      <c r="A520" s="3" t="s">
        <v>114</v>
      </c>
      <c r="B520" s="3"/>
      <c r="C520" s="1" t="s">
        <v>48</v>
      </c>
      <c r="D520" s="1" t="s">
        <v>58</v>
      </c>
      <c r="E520" s="1" t="s">
        <v>37</v>
      </c>
      <c r="F520" s="1" t="s">
        <v>22</v>
      </c>
      <c r="G520" s="1" t="s">
        <v>52</v>
      </c>
      <c r="H520" s="2">
        <v>45371</v>
      </c>
      <c r="I520" s="2">
        <v>45419</v>
      </c>
      <c r="J520" s="1">
        <v>49778.15</v>
      </c>
      <c r="K520" s="1">
        <v>0.41789999999999999</v>
      </c>
      <c r="L520" s="1">
        <v>20802.29</v>
      </c>
      <c r="M520" s="1">
        <v>955169</v>
      </c>
      <c r="N520" s="1">
        <v>32224</v>
      </c>
      <c r="O520" s="1">
        <v>93016.47</v>
      </c>
      <c r="P520" s="1">
        <v>2024</v>
      </c>
      <c r="Q520" s="1" t="s">
        <v>60</v>
      </c>
      <c r="R520" s="1" t="s">
        <v>40</v>
      </c>
    </row>
    <row r="521" spans="1:18" x14ac:dyDescent="0.35">
      <c r="A521" s="3" t="s">
        <v>66</v>
      </c>
      <c r="B521" s="3"/>
      <c r="C521" s="1" t="s">
        <v>48</v>
      </c>
      <c r="D521" s="1" t="s">
        <v>29</v>
      </c>
      <c r="E521" s="1" t="s">
        <v>63</v>
      </c>
      <c r="F521" s="1" t="s">
        <v>22</v>
      </c>
      <c r="G521" s="1" t="s">
        <v>31</v>
      </c>
      <c r="H521" s="2">
        <v>45371</v>
      </c>
      <c r="I521" s="2">
        <v>45406</v>
      </c>
      <c r="J521" s="1">
        <v>15183.86</v>
      </c>
      <c r="K521" s="1">
        <v>0.58830000000000005</v>
      </c>
      <c r="L521" s="1">
        <v>8932.66</v>
      </c>
      <c r="M521" s="1">
        <v>807861</v>
      </c>
      <c r="N521" s="1">
        <v>28211</v>
      </c>
      <c r="O521" s="1">
        <v>65698.09</v>
      </c>
      <c r="P521" s="1">
        <v>2024</v>
      </c>
      <c r="Q521" s="1" t="s">
        <v>60</v>
      </c>
      <c r="R521" s="1" t="s">
        <v>40</v>
      </c>
    </row>
    <row r="522" spans="1:18" x14ac:dyDescent="0.35">
      <c r="A522" s="3" t="s">
        <v>87</v>
      </c>
      <c r="B522" s="3"/>
      <c r="C522" s="1" t="s">
        <v>19</v>
      </c>
      <c r="D522" s="1" t="s">
        <v>20</v>
      </c>
      <c r="E522" s="1" t="s">
        <v>59</v>
      </c>
      <c r="F522" s="1" t="s">
        <v>22</v>
      </c>
      <c r="G522" s="1" t="s">
        <v>23</v>
      </c>
      <c r="H522" s="2">
        <v>45372</v>
      </c>
      <c r="I522" s="2">
        <v>45393</v>
      </c>
      <c r="J522" s="1">
        <v>17380.439999999999</v>
      </c>
      <c r="K522" s="1">
        <v>0.96809999999999996</v>
      </c>
      <c r="L522" s="1">
        <v>16826</v>
      </c>
      <c r="M522" s="1">
        <v>805248</v>
      </c>
      <c r="N522" s="1">
        <v>29797</v>
      </c>
      <c r="O522" s="1">
        <v>15612.78</v>
      </c>
      <c r="P522" s="1">
        <v>2024</v>
      </c>
      <c r="Q522" s="1" t="s">
        <v>60</v>
      </c>
      <c r="R522" s="1" t="s">
        <v>40</v>
      </c>
    </row>
    <row r="523" spans="1:18" x14ac:dyDescent="0.35">
      <c r="A523" s="3" t="s">
        <v>27</v>
      </c>
      <c r="B523" s="3"/>
      <c r="C523" s="1" t="s">
        <v>28</v>
      </c>
      <c r="D523" s="1" t="s">
        <v>58</v>
      </c>
      <c r="E523" s="1" t="s">
        <v>21</v>
      </c>
      <c r="F523" s="1" t="s">
        <v>30</v>
      </c>
      <c r="G523" s="1" t="s">
        <v>44</v>
      </c>
      <c r="H523" s="2">
        <v>45372</v>
      </c>
      <c r="I523" s="2">
        <v>45388</v>
      </c>
      <c r="J523" s="1">
        <v>36955.97</v>
      </c>
      <c r="K523" s="1">
        <v>1.1589</v>
      </c>
      <c r="L523" s="1">
        <v>42828.27</v>
      </c>
      <c r="M523" s="1">
        <v>293201</v>
      </c>
      <c r="N523" s="1">
        <v>40464</v>
      </c>
      <c r="O523" s="1">
        <v>203008.81</v>
      </c>
      <c r="P523" s="1">
        <v>2024</v>
      </c>
      <c r="Q523" s="1" t="s">
        <v>60</v>
      </c>
      <c r="R523" s="1" t="s">
        <v>40</v>
      </c>
    </row>
    <row r="524" spans="1:18" x14ac:dyDescent="0.35">
      <c r="A524" s="3" t="s">
        <v>91</v>
      </c>
      <c r="B524" s="3"/>
      <c r="C524" s="1" t="s">
        <v>48</v>
      </c>
      <c r="D524" s="1" t="s">
        <v>58</v>
      </c>
      <c r="E524" s="1" t="s">
        <v>21</v>
      </c>
      <c r="F524" s="1" t="s">
        <v>22</v>
      </c>
      <c r="G524" s="1" t="s">
        <v>23</v>
      </c>
      <c r="H524" s="2">
        <v>45373</v>
      </c>
      <c r="I524" s="2">
        <v>45431</v>
      </c>
      <c r="J524" s="1">
        <v>31676.9</v>
      </c>
      <c r="K524" s="1">
        <v>0.95009999999999994</v>
      </c>
      <c r="L524" s="1">
        <v>30096.22</v>
      </c>
      <c r="M524" s="1">
        <v>210188</v>
      </c>
      <c r="N524" s="1">
        <v>5742</v>
      </c>
      <c r="O524" s="1">
        <v>78724.88</v>
      </c>
      <c r="P524" s="1">
        <v>2024</v>
      </c>
      <c r="Q524" s="1" t="s">
        <v>60</v>
      </c>
      <c r="R524" s="1" t="s">
        <v>40</v>
      </c>
    </row>
    <row r="525" spans="1:18" x14ac:dyDescent="0.35">
      <c r="A525" s="3" t="s">
        <v>71</v>
      </c>
      <c r="B525" s="3"/>
      <c r="C525" s="1" t="s">
        <v>28</v>
      </c>
      <c r="D525" s="1" t="s">
        <v>69</v>
      </c>
      <c r="E525" s="1" t="s">
        <v>43</v>
      </c>
      <c r="F525" s="1" t="s">
        <v>22</v>
      </c>
      <c r="G525" s="1" t="s">
        <v>31</v>
      </c>
      <c r="H525" s="2">
        <v>45374</v>
      </c>
      <c r="I525" s="2">
        <v>45393</v>
      </c>
      <c r="J525" s="1">
        <v>5879.32</v>
      </c>
      <c r="K525" s="1">
        <v>0.96340000000000003</v>
      </c>
      <c r="L525" s="1">
        <v>5664.14</v>
      </c>
      <c r="M525" s="1">
        <v>538751</v>
      </c>
      <c r="N525" s="1">
        <v>7857</v>
      </c>
      <c r="O525" s="1">
        <v>159703.06</v>
      </c>
      <c r="P525" s="1">
        <v>2024</v>
      </c>
      <c r="Q525" s="1" t="s">
        <v>60</v>
      </c>
      <c r="R525" s="1" t="s">
        <v>40</v>
      </c>
    </row>
    <row r="526" spans="1:18" x14ac:dyDescent="0.35">
      <c r="A526" s="3" t="s">
        <v>79</v>
      </c>
      <c r="B526" s="3"/>
      <c r="C526" s="1" t="s">
        <v>19</v>
      </c>
      <c r="D526" s="1" t="s">
        <v>58</v>
      </c>
      <c r="E526" s="1" t="s">
        <v>51</v>
      </c>
      <c r="F526" s="1" t="s">
        <v>38</v>
      </c>
      <c r="G526" s="1" t="s">
        <v>31</v>
      </c>
      <c r="H526" s="2">
        <v>45376</v>
      </c>
      <c r="I526" s="2">
        <v>45409</v>
      </c>
      <c r="J526" s="1">
        <v>42794.26</v>
      </c>
      <c r="K526" s="1">
        <v>4.58E-2</v>
      </c>
      <c r="L526" s="1">
        <v>1959.98</v>
      </c>
      <c r="M526" s="1">
        <v>155699</v>
      </c>
      <c r="N526" s="1">
        <v>37947</v>
      </c>
      <c r="O526" s="1">
        <v>219068.79999999999</v>
      </c>
      <c r="P526" s="1">
        <v>2024</v>
      </c>
      <c r="Q526" s="1" t="s">
        <v>60</v>
      </c>
      <c r="R526" s="1" t="s">
        <v>40</v>
      </c>
    </row>
    <row r="527" spans="1:18" x14ac:dyDescent="0.35">
      <c r="A527" s="3" t="s">
        <v>84</v>
      </c>
      <c r="B527" s="3"/>
      <c r="C527" s="1" t="s">
        <v>35</v>
      </c>
      <c r="D527" s="1" t="s">
        <v>29</v>
      </c>
      <c r="E527" s="1" t="s">
        <v>37</v>
      </c>
      <c r="F527" s="1" t="s">
        <v>30</v>
      </c>
      <c r="G527" s="1" t="s">
        <v>44</v>
      </c>
      <c r="H527" s="2">
        <v>45379</v>
      </c>
      <c r="I527" s="2">
        <v>45425</v>
      </c>
      <c r="J527" s="1">
        <v>13565.75</v>
      </c>
      <c r="K527" s="1">
        <v>0.58009999999999995</v>
      </c>
      <c r="L527" s="1">
        <v>7869.49</v>
      </c>
      <c r="M527" s="1">
        <v>221883</v>
      </c>
      <c r="N527" s="1">
        <v>35396</v>
      </c>
      <c r="O527" s="1">
        <v>71427.520000000004</v>
      </c>
      <c r="P527" s="1">
        <v>2024</v>
      </c>
      <c r="Q527" s="1" t="s">
        <v>60</v>
      </c>
      <c r="R527" s="1" t="s">
        <v>40</v>
      </c>
    </row>
    <row r="528" spans="1:18" x14ac:dyDescent="0.35">
      <c r="A528" s="3" t="s">
        <v>79</v>
      </c>
      <c r="B528" s="3"/>
      <c r="C528" s="1" t="s">
        <v>28</v>
      </c>
      <c r="D528" s="1" t="s">
        <v>58</v>
      </c>
      <c r="E528" s="1" t="s">
        <v>37</v>
      </c>
      <c r="F528" s="1" t="s">
        <v>22</v>
      </c>
      <c r="G528" s="1" t="s">
        <v>31</v>
      </c>
      <c r="H528" s="2">
        <v>45379</v>
      </c>
      <c r="I528" s="2">
        <v>45424</v>
      </c>
      <c r="J528" s="1">
        <v>15838.2</v>
      </c>
      <c r="K528" s="1">
        <v>0.33689999999999998</v>
      </c>
      <c r="L528" s="1">
        <v>5335.89</v>
      </c>
      <c r="M528" s="1">
        <v>68900</v>
      </c>
      <c r="N528" s="1">
        <v>23164</v>
      </c>
      <c r="O528" s="1">
        <v>129297.54</v>
      </c>
      <c r="P528" s="1">
        <v>2024</v>
      </c>
      <c r="Q528" s="1" t="s">
        <v>60</v>
      </c>
      <c r="R528" s="1" t="s">
        <v>40</v>
      </c>
    </row>
    <row r="529" spans="1:18" x14ac:dyDescent="0.35">
      <c r="A529" s="3" t="s">
        <v>66</v>
      </c>
      <c r="B529" s="3"/>
      <c r="C529" s="1" t="s">
        <v>48</v>
      </c>
      <c r="D529" s="1" t="s">
        <v>29</v>
      </c>
      <c r="E529" s="1" t="s">
        <v>37</v>
      </c>
      <c r="F529" s="1" t="s">
        <v>22</v>
      </c>
      <c r="G529" s="1" t="s">
        <v>44</v>
      </c>
      <c r="H529" s="2">
        <v>45379</v>
      </c>
      <c r="I529" s="2">
        <v>45424</v>
      </c>
      <c r="J529" s="1">
        <v>1296.0899999999999</v>
      </c>
      <c r="K529" s="1">
        <v>1.0450999999999999</v>
      </c>
      <c r="L529" s="1">
        <v>1354.54</v>
      </c>
      <c r="M529" s="1">
        <v>83384</v>
      </c>
      <c r="N529" s="1">
        <v>12713</v>
      </c>
      <c r="O529" s="1">
        <v>17766.18</v>
      </c>
      <c r="P529" s="1">
        <v>2024</v>
      </c>
      <c r="Q529" s="1" t="s">
        <v>60</v>
      </c>
      <c r="R529" s="1" t="s">
        <v>40</v>
      </c>
    </row>
    <row r="530" spans="1:18" x14ac:dyDescent="0.35">
      <c r="A530" s="3" t="s">
        <v>79</v>
      </c>
      <c r="B530" s="3"/>
      <c r="C530" s="1" t="s">
        <v>28</v>
      </c>
      <c r="D530" s="1" t="s">
        <v>29</v>
      </c>
      <c r="E530" s="1" t="s">
        <v>63</v>
      </c>
      <c r="F530" s="1" t="s">
        <v>30</v>
      </c>
      <c r="G530" s="1" t="s">
        <v>44</v>
      </c>
      <c r="H530" s="2">
        <v>45381</v>
      </c>
      <c r="I530" s="2">
        <v>45425</v>
      </c>
      <c r="J530" s="1">
        <v>14961.47</v>
      </c>
      <c r="K530" s="1">
        <v>0.90080000000000005</v>
      </c>
      <c r="L530" s="1">
        <v>13477.29</v>
      </c>
      <c r="M530" s="1">
        <v>480735</v>
      </c>
      <c r="N530" s="1">
        <v>15435</v>
      </c>
      <c r="O530" s="1">
        <v>135832.73000000001</v>
      </c>
      <c r="P530" s="1">
        <v>2024</v>
      </c>
      <c r="Q530" s="1" t="s">
        <v>60</v>
      </c>
      <c r="R530" s="1" t="s">
        <v>40</v>
      </c>
    </row>
    <row r="531" spans="1:18" x14ac:dyDescent="0.35">
      <c r="A531" s="3" t="s">
        <v>42</v>
      </c>
      <c r="B531" s="3"/>
      <c r="C531" s="1" t="s">
        <v>28</v>
      </c>
      <c r="D531" s="1" t="s">
        <v>20</v>
      </c>
      <c r="E531" s="1" t="s">
        <v>63</v>
      </c>
      <c r="F531" s="1" t="s">
        <v>38</v>
      </c>
      <c r="G531" s="1" t="s">
        <v>52</v>
      </c>
      <c r="H531" s="2">
        <v>45381</v>
      </c>
      <c r="I531" s="2">
        <v>45418</v>
      </c>
      <c r="J531" s="1">
        <v>2221.8000000000002</v>
      </c>
      <c r="K531" s="1">
        <v>0.58440000000000003</v>
      </c>
      <c r="L531" s="1">
        <v>1298.42</v>
      </c>
      <c r="M531" s="1">
        <v>534344</v>
      </c>
      <c r="N531" s="1">
        <v>10197</v>
      </c>
      <c r="O531" s="1">
        <v>51601.86</v>
      </c>
      <c r="P531" s="1">
        <v>2024</v>
      </c>
      <c r="Q531" s="1" t="s">
        <v>60</v>
      </c>
      <c r="R531" s="1" t="s">
        <v>40</v>
      </c>
    </row>
    <row r="532" spans="1:18" x14ac:dyDescent="0.35">
      <c r="A532" s="3" t="s">
        <v>108</v>
      </c>
      <c r="B532" s="3"/>
      <c r="C532" s="1" t="s">
        <v>35</v>
      </c>
      <c r="D532" s="1" t="s">
        <v>36</v>
      </c>
      <c r="E532" s="1" t="s">
        <v>21</v>
      </c>
      <c r="F532" s="1" t="s">
        <v>38</v>
      </c>
      <c r="G532" s="1" t="s">
        <v>52</v>
      </c>
      <c r="H532" s="2">
        <v>45381</v>
      </c>
      <c r="I532" s="2">
        <v>45414</v>
      </c>
      <c r="J532" s="1">
        <v>47577.2</v>
      </c>
      <c r="K532" s="1">
        <v>1.028</v>
      </c>
      <c r="L532" s="1">
        <v>48909.36</v>
      </c>
      <c r="M532" s="1">
        <v>114180</v>
      </c>
      <c r="N532" s="1">
        <v>45036</v>
      </c>
      <c r="O532" s="1">
        <v>94997.06</v>
      </c>
      <c r="P532" s="1">
        <v>2024</v>
      </c>
      <c r="Q532" s="1" t="s">
        <v>60</v>
      </c>
      <c r="R532" s="1" t="s">
        <v>40</v>
      </c>
    </row>
    <row r="533" spans="1:18" x14ac:dyDescent="0.35">
      <c r="A533" s="3" t="s">
        <v>105</v>
      </c>
      <c r="B533" s="3"/>
      <c r="C533" s="1" t="s">
        <v>28</v>
      </c>
      <c r="D533" s="1" t="s">
        <v>29</v>
      </c>
      <c r="E533" s="1" t="s">
        <v>43</v>
      </c>
      <c r="F533" s="1" t="s">
        <v>38</v>
      </c>
      <c r="G533" s="1" t="s">
        <v>31</v>
      </c>
      <c r="H533" s="2">
        <v>45383</v>
      </c>
      <c r="I533" s="2">
        <v>45415</v>
      </c>
      <c r="J533" s="1">
        <v>30220.16</v>
      </c>
      <c r="K533" s="1">
        <v>0.33329999999999999</v>
      </c>
      <c r="L533" s="1">
        <v>10072.379999999999</v>
      </c>
      <c r="M533" s="1">
        <v>344232</v>
      </c>
      <c r="N533" s="1">
        <v>40923</v>
      </c>
      <c r="O533" s="1">
        <v>31351.98</v>
      </c>
      <c r="P533" s="1">
        <v>2024</v>
      </c>
      <c r="Q533" s="1" t="s">
        <v>76</v>
      </c>
      <c r="R533" s="1" t="s">
        <v>46</v>
      </c>
    </row>
    <row r="534" spans="1:18" x14ac:dyDescent="0.35">
      <c r="A534" s="3" t="s">
        <v>18</v>
      </c>
      <c r="B534" s="3"/>
      <c r="C534" s="1" t="s">
        <v>35</v>
      </c>
      <c r="D534" s="1" t="s">
        <v>58</v>
      </c>
      <c r="E534" s="1" t="s">
        <v>37</v>
      </c>
      <c r="F534" s="1" t="s">
        <v>38</v>
      </c>
      <c r="G534" s="1" t="s">
        <v>31</v>
      </c>
      <c r="H534" s="2">
        <v>45383</v>
      </c>
      <c r="I534" s="2">
        <v>45403</v>
      </c>
      <c r="J534" s="1">
        <v>45320.33</v>
      </c>
      <c r="K534" s="1">
        <v>0.74029999999999996</v>
      </c>
      <c r="L534" s="1">
        <v>33550.639999999999</v>
      </c>
      <c r="M534" s="1">
        <v>661303</v>
      </c>
      <c r="N534" s="1">
        <v>16079</v>
      </c>
      <c r="O534" s="1">
        <v>239929.72</v>
      </c>
      <c r="P534" s="1">
        <v>2024</v>
      </c>
      <c r="Q534" s="1" t="s">
        <v>76</v>
      </c>
      <c r="R534" s="1" t="s">
        <v>46</v>
      </c>
    </row>
    <row r="535" spans="1:18" x14ac:dyDescent="0.35">
      <c r="A535" s="3" t="s">
        <v>96</v>
      </c>
      <c r="B535" s="3"/>
      <c r="C535" s="1" t="s">
        <v>28</v>
      </c>
      <c r="D535" s="1" t="s">
        <v>36</v>
      </c>
      <c r="E535" s="1" t="s">
        <v>37</v>
      </c>
      <c r="F535" s="1" t="s">
        <v>38</v>
      </c>
      <c r="G535" s="1" t="s">
        <v>49</v>
      </c>
      <c r="H535" s="2">
        <v>45383</v>
      </c>
      <c r="I535" s="2">
        <v>45397</v>
      </c>
      <c r="J535" s="1">
        <v>2697.82</v>
      </c>
      <c r="K535" s="1">
        <v>0.74680000000000002</v>
      </c>
      <c r="L535" s="1">
        <v>2014.73</v>
      </c>
      <c r="M535" s="1">
        <v>267724</v>
      </c>
      <c r="N535" s="1">
        <v>42520</v>
      </c>
      <c r="O535" s="1">
        <v>77300.759999999995</v>
      </c>
      <c r="P535" s="1">
        <v>2024</v>
      </c>
      <c r="Q535" s="1" t="s">
        <v>76</v>
      </c>
      <c r="R535" s="1" t="s">
        <v>46</v>
      </c>
    </row>
    <row r="536" spans="1:18" x14ac:dyDescent="0.35">
      <c r="A536" s="3" t="s">
        <v>119</v>
      </c>
      <c r="B536" s="3"/>
      <c r="C536" s="1" t="s">
        <v>48</v>
      </c>
      <c r="D536" s="1" t="s">
        <v>20</v>
      </c>
      <c r="E536" s="1" t="s">
        <v>59</v>
      </c>
      <c r="F536" s="1" t="s">
        <v>30</v>
      </c>
      <c r="G536" s="1" t="s">
        <v>31</v>
      </c>
      <c r="H536" s="2">
        <v>45386</v>
      </c>
      <c r="I536" s="2">
        <v>45435</v>
      </c>
      <c r="J536" s="1">
        <v>22375.27</v>
      </c>
      <c r="K536" s="1">
        <v>0.20200000000000001</v>
      </c>
      <c r="L536" s="1">
        <v>4519.8</v>
      </c>
      <c r="M536" s="1">
        <v>771485</v>
      </c>
      <c r="N536" s="1">
        <v>12696</v>
      </c>
      <c r="O536" s="1">
        <v>119963.91</v>
      </c>
      <c r="P536" s="1">
        <v>2024</v>
      </c>
      <c r="Q536" s="1" t="s">
        <v>76</v>
      </c>
      <c r="R536" s="1" t="s">
        <v>46</v>
      </c>
    </row>
    <row r="537" spans="1:18" x14ac:dyDescent="0.35">
      <c r="A537" s="3" t="s">
        <v>104</v>
      </c>
      <c r="B537" s="3"/>
      <c r="C537" s="1" t="s">
        <v>35</v>
      </c>
      <c r="D537" s="1" t="s">
        <v>20</v>
      </c>
      <c r="E537" s="1" t="s">
        <v>21</v>
      </c>
      <c r="F537" s="1" t="s">
        <v>30</v>
      </c>
      <c r="G537" s="1" t="s">
        <v>52</v>
      </c>
      <c r="H537" s="2">
        <v>45387</v>
      </c>
      <c r="I537" s="2">
        <v>45422</v>
      </c>
      <c r="J537" s="1">
        <v>2114.66</v>
      </c>
      <c r="K537" s="1">
        <v>0.25869999999999999</v>
      </c>
      <c r="L537" s="1">
        <v>547.05999999999995</v>
      </c>
      <c r="M537" s="1">
        <v>574139</v>
      </c>
      <c r="N537" s="1">
        <v>13985</v>
      </c>
      <c r="O537" s="1">
        <v>54931.33</v>
      </c>
      <c r="P537" s="1">
        <v>2024</v>
      </c>
      <c r="Q537" s="1" t="s">
        <v>76</v>
      </c>
      <c r="R537" s="1" t="s">
        <v>46</v>
      </c>
    </row>
    <row r="538" spans="1:18" x14ac:dyDescent="0.35">
      <c r="A538" s="3" t="s">
        <v>50</v>
      </c>
      <c r="B538" s="3"/>
      <c r="C538" s="1" t="s">
        <v>35</v>
      </c>
      <c r="D538" s="1" t="s">
        <v>58</v>
      </c>
      <c r="E538" s="1" t="s">
        <v>37</v>
      </c>
      <c r="F538" s="1" t="s">
        <v>22</v>
      </c>
      <c r="G538" s="1" t="s">
        <v>52</v>
      </c>
      <c r="H538" s="2">
        <v>45387</v>
      </c>
      <c r="I538" s="2">
        <v>45402</v>
      </c>
      <c r="J538" s="1">
        <v>44583.03</v>
      </c>
      <c r="K538" s="1">
        <v>1.1500999999999999</v>
      </c>
      <c r="L538" s="1">
        <v>51274.94</v>
      </c>
      <c r="M538" s="1">
        <v>275356</v>
      </c>
      <c r="N538" s="1">
        <v>38561</v>
      </c>
      <c r="O538" s="1">
        <v>105403.03</v>
      </c>
      <c r="P538" s="1">
        <v>2024</v>
      </c>
      <c r="Q538" s="1" t="s">
        <v>76</v>
      </c>
      <c r="R538" s="1" t="s">
        <v>46</v>
      </c>
    </row>
    <row r="539" spans="1:18" x14ac:dyDescent="0.35">
      <c r="A539" s="3" t="s">
        <v>71</v>
      </c>
      <c r="B539" s="3"/>
      <c r="C539" s="1" t="s">
        <v>48</v>
      </c>
      <c r="D539" s="1" t="s">
        <v>36</v>
      </c>
      <c r="E539" s="1" t="s">
        <v>21</v>
      </c>
      <c r="F539" s="1" t="s">
        <v>22</v>
      </c>
      <c r="G539" s="1" t="s">
        <v>31</v>
      </c>
      <c r="H539" s="2">
        <v>45391</v>
      </c>
      <c r="I539" s="2">
        <v>45440</v>
      </c>
      <c r="J539" s="1">
        <v>2340.19</v>
      </c>
      <c r="K539" s="1">
        <v>7.1999999999999995E-2</v>
      </c>
      <c r="L539" s="1">
        <v>168.49</v>
      </c>
      <c r="M539" s="1">
        <v>682758</v>
      </c>
      <c r="N539" s="1">
        <v>12141</v>
      </c>
      <c r="O539" s="1">
        <v>159388.29999999999</v>
      </c>
      <c r="P539" s="1">
        <v>2024</v>
      </c>
      <c r="Q539" s="1" t="s">
        <v>76</v>
      </c>
      <c r="R539" s="1" t="s">
        <v>46</v>
      </c>
    </row>
    <row r="540" spans="1:18" x14ac:dyDescent="0.35">
      <c r="A540" s="3" t="s">
        <v>85</v>
      </c>
      <c r="B540" s="3"/>
      <c r="C540" s="1" t="s">
        <v>48</v>
      </c>
      <c r="D540" s="1" t="s">
        <v>36</v>
      </c>
      <c r="E540" s="1" t="s">
        <v>59</v>
      </c>
      <c r="F540" s="1" t="s">
        <v>22</v>
      </c>
      <c r="G540" s="1" t="s">
        <v>23</v>
      </c>
      <c r="H540" s="2">
        <v>45391</v>
      </c>
      <c r="I540" s="2">
        <v>45422</v>
      </c>
      <c r="J540" s="1">
        <v>22651.89</v>
      </c>
      <c r="K540" s="1">
        <v>0.72540000000000004</v>
      </c>
      <c r="L540" s="1">
        <v>16431.68</v>
      </c>
      <c r="M540" s="1">
        <v>16892</v>
      </c>
      <c r="N540" s="1">
        <v>16137</v>
      </c>
      <c r="O540" s="1">
        <v>221131.13</v>
      </c>
      <c r="P540" s="1">
        <v>2024</v>
      </c>
      <c r="Q540" s="1" t="s">
        <v>76</v>
      </c>
      <c r="R540" s="1" t="s">
        <v>46</v>
      </c>
    </row>
    <row r="541" spans="1:18" x14ac:dyDescent="0.35">
      <c r="A541" s="3" t="s">
        <v>72</v>
      </c>
      <c r="B541" s="3"/>
      <c r="C541" s="1" t="s">
        <v>19</v>
      </c>
      <c r="D541" s="1" t="s">
        <v>58</v>
      </c>
      <c r="E541" s="1" t="s">
        <v>43</v>
      </c>
      <c r="F541" s="1" t="s">
        <v>38</v>
      </c>
      <c r="G541" s="1" t="s">
        <v>44</v>
      </c>
      <c r="H541" s="2">
        <v>45391</v>
      </c>
      <c r="I541" s="2">
        <v>45420</v>
      </c>
      <c r="J541" s="1">
        <v>23746.25</v>
      </c>
      <c r="K541" s="1">
        <v>0.51939999999999997</v>
      </c>
      <c r="L541" s="1">
        <v>12333.8</v>
      </c>
      <c r="M541" s="1">
        <v>660338</v>
      </c>
      <c r="N541" s="1">
        <v>40681</v>
      </c>
      <c r="O541" s="1">
        <v>29813.09</v>
      </c>
      <c r="P541" s="1">
        <v>2024</v>
      </c>
      <c r="Q541" s="1" t="s">
        <v>76</v>
      </c>
      <c r="R541" s="1" t="s">
        <v>46</v>
      </c>
    </row>
    <row r="542" spans="1:18" x14ac:dyDescent="0.35">
      <c r="A542" s="3" t="s">
        <v>102</v>
      </c>
      <c r="B542" s="3"/>
      <c r="C542" s="1" t="s">
        <v>48</v>
      </c>
      <c r="D542" s="1" t="s">
        <v>69</v>
      </c>
      <c r="E542" s="1" t="s">
        <v>51</v>
      </c>
      <c r="F542" s="1" t="s">
        <v>38</v>
      </c>
      <c r="G542" s="1" t="s">
        <v>31</v>
      </c>
      <c r="H542" s="2">
        <v>45391</v>
      </c>
      <c r="I542" s="2">
        <v>45400</v>
      </c>
      <c r="J542" s="1">
        <v>34742.07</v>
      </c>
      <c r="K542" s="1">
        <v>0.1981</v>
      </c>
      <c r="L542" s="1">
        <v>6882.4</v>
      </c>
      <c r="M542" s="1">
        <v>445810</v>
      </c>
      <c r="N542" s="1">
        <v>31835</v>
      </c>
      <c r="O542" s="1">
        <v>118788.33</v>
      </c>
      <c r="P542" s="1">
        <v>2024</v>
      </c>
      <c r="Q542" s="1" t="s">
        <v>76</v>
      </c>
      <c r="R542" s="1" t="s">
        <v>46</v>
      </c>
    </row>
    <row r="543" spans="1:18" x14ac:dyDescent="0.35">
      <c r="A543" s="3" t="s">
        <v>68</v>
      </c>
      <c r="B543" s="3"/>
      <c r="C543" s="1" t="s">
        <v>19</v>
      </c>
      <c r="D543" s="1" t="s">
        <v>20</v>
      </c>
      <c r="E543" s="1" t="s">
        <v>21</v>
      </c>
      <c r="F543" s="1" t="s">
        <v>30</v>
      </c>
      <c r="G543" s="1" t="s">
        <v>52</v>
      </c>
      <c r="H543" s="2">
        <v>45392</v>
      </c>
      <c r="I543" s="2">
        <v>45429</v>
      </c>
      <c r="J543" s="1">
        <v>21782.11</v>
      </c>
      <c r="K543" s="1">
        <v>0.9859</v>
      </c>
      <c r="L543" s="1">
        <v>21474.98</v>
      </c>
      <c r="M543" s="1">
        <v>413402</v>
      </c>
      <c r="N543" s="1">
        <v>23385</v>
      </c>
      <c r="O543" s="1">
        <v>60306.53</v>
      </c>
      <c r="P543" s="1">
        <v>2024</v>
      </c>
      <c r="Q543" s="1" t="s">
        <v>76</v>
      </c>
      <c r="R543" s="1" t="s">
        <v>46</v>
      </c>
    </row>
    <row r="544" spans="1:18" x14ac:dyDescent="0.35">
      <c r="A544" s="3" t="s">
        <v>111</v>
      </c>
      <c r="B544" s="3"/>
      <c r="C544" s="1" t="s">
        <v>28</v>
      </c>
      <c r="D544" s="1" t="s">
        <v>36</v>
      </c>
      <c r="E544" s="1" t="s">
        <v>51</v>
      </c>
      <c r="F544" s="1" t="s">
        <v>22</v>
      </c>
      <c r="G544" s="1" t="s">
        <v>49</v>
      </c>
      <c r="H544" s="2">
        <v>45392</v>
      </c>
      <c r="I544" s="2">
        <v>45426</v>
      </c>
      <c r="J544" s="1">
        <v>38819.919999999998</v>
      </c>
      <c r="K544" s="1">
        <v>1.0503</v>
      </c>
      <c r="L544" s="1">
        <v>40772.559999999998</v>
      </c>
      <c r="M544" s="1">
        <v>435051</v>
      </c>
      <c r="N544" s="1">
        <v>12220</v>
      </c>
      <c r="O544" s="1">
        <v>198515.38</v>
      </c>
      <c r="P544" s="1">
        <v>2024</v>
      </c>
      <c r="Q544" s="1" t="s">
        <v>76</v>
      </c>
      <c r="R544" s="1" t="s">
        <v>46</v>
      </c>
    </row>
    <row r="545" spans="1:18" x14ac:dyDescent="0.35">
      <c r="A545" s="3" t="s">
        <v>75</v>
      </c>
      <c r="B545" s="3"/>
      <c r="C545" s="1" t="s">
        <v>48</v>
      </c>
      <c r="D545" s="1" t="s">
        <v>29</v>
      </c>
      <c r="E545" s="1" t="s">
        <v>51</v>
      </c>
      <c r="F545" s="1" t="s">
        <v>30</v>
      </c>
      <c r="G545" s="1" t="s">
        <v>23</v>
      </c>
      <c r="H545" s="2">
        <v>45393</v>
      </c>
      <c r="I545" s="2">
        <v>45424</v>
      </c>
      <c r="J545" s="1">
        <v>44420.71</v>
      </c>
      <c r="K545" s="1">
        <v>0.69499999999999995</v>
      </c>
      <c r="L545" s="1">
        <v>30872.39</v>
      </c>
      <c r="M545" s="1">
        <v>763240</v>
      </c>
      <c r="N545" s="1">
        <v>45736</v>
      </c>
      <c r="O545" s="1">
        <v>99074.72</v>
      </c>
      <c r="P545" s="1">
        <v>2024</v>
      </c>
      <c r="Q545" s="1" t="s">
        <v>76</v>
      </c>
      <c r="R545" s="1" t="s">
        <v>46</v>
      </c>
    </row>
    <row r="546" spans="1:18" x14ac:dyDescent="0.35">
      <c r="A546" s="3" t="s">
        <v>105</v>
      </c>
      <c r="B546" s="3"/>
      <c r="C546" s="1" t="s">
        <v>35</v>
      </c>
      <c r="D546" s="1" t="s">
        <v>20</v>
      </c>
      <c r="E546" s="1" t="s">
        <v>63</v>
      </c>
      <c r="F546" s="1" t="s">
        <v>30</v>
      </c>
      <c r="G546" s="1" t="s">
        <v>31</v>
      </c>
      <c r="H546" s="2">
        <v>45394</v>
      </c>
      <c r="I546" s="2">
        <v>45453</v>
      </c>
      <c r="J546" s="1">
        <v>15803.96</v>
      </c>
      <c r="K546" s="1">
        <v>1.1993</v>
      </c>
      <c r="L546" s="1">
        <v>18953.689999999999</v>
      </c>
      <c r="M546" s="1">
        <v>904787</v>
      </c>
      <c r="N546" s="1">
        <v>31767</v>
      </c>
      <c r="O546" s="1">
        <v>31130.05</v>
      </c>
      <c r="P546" s="1">
        <v>2024</v>
      </c>
      <c r="Q546" s="1" t="s">
        <v>76</v>
      </c>
      <c r="R546" s="1" t="s">
        <v>46</v>
      </c>
    </row>
    <row r="547" spans="1:18" x14ac:dyDescent="0.35">
      <c r="A547" s="3" t="s">
        <v>77</v>
      </c>
      <c r="B547" s="3"/>
      <c r="C547" s="1" t="s">
        <v>28</v>
      </c>
      <c r="D547" s="1" t="s">
        <v>36</v>
      </c>
      <c r="E547" s="1" t="s">
        <v>51</v>
      </c>
      <c r="F547" s="1" t="s">
        <v>22</v>
      </c>
      <c r="G547" s="1" t="s">
        <v>52</v>
      </c>
      <c r="H547" s="2">
        <v>45394</v>
      </c>
      <c r="I547" s="2">
        <v>45402</v>
      </c>
      <c r="J547" s="1">
        <v>45983.519999999997</v>
      </c>
      <c r="K547" s="1">
        <v>0.84850000000000003</v>
      </c>
      <c r="L547" s="1">
        <v>39017.019999999997</v>
      </c>
      <c r="M547" s="1">
        <v>297286</v>
      </c>
      <c r="N547" s="1">
        <v>24240</v>
      </c>
      <c r="O547" s="1">
        <v>206759.04000000001</v>
      </c>
      <c r="P547" s="1">
        <v>2024</v>
      </c>
      <c r="Q547" s="1" t="s">
        <v>76</v>
      </c>
      <c r="R547" s="1" t="s">
        <v>46</v>
      </c>
    </row>
    <row r="548" spans="1:18" x14ac:dyDescent="0.35">
      <c r="A548" s="3" t="s">
        <v>95</v>
      </c>
      <c r="B548" s="3"/>
      <c r="C548" s="1" t="s">
        <v>19</v>
      </c>
      <c r="D548" s="1" t="s">
        <v>20</v>
      </c>
      <c r="E548" s="1" t="s">
        <v>37</v>
      </c>
      <c r="F548" s="1" t="s">
        <v>22</v>
      </c>
      <c r="G548" s="1" t="s">
        <v>31</v>
      </c>
      <c r="H548" s="2">
        <v>45396</v>
      </c>
      <c r="I548" s="2">
        <v>45455</v>
      </c>
      <c r="J548" s="1">
        <v>26291.61</v>
      </c>
      <c r="K548" s="1">
        <v>0.82179999999999997</v>
      </c>
      <c r="L548" s="1">
        <v>21606.45</v>
      </c>
      <c r="M548" s="1">
        <v>999583</v>
      </c>
      <c r="N548" s="1">
        <v>2050</v>
      </c>
      <c r="O548" s="1">
        <v>113431.78</v>
      </c>
      <c r="P548" s="1">
        <v>2024</v>
      </c>
      <c r="Q548" s="1" t="s">
        <v>76</v>
      </c>
      <c r="R548" s="1" t="s">
        <v>46</v>
      </c>
    </row>
    <row r="549" spans="1:18" x14ac:dyDescent="0.35">
      <c r="A549" s="3" t="s">
        <v>100</v>
      </c>
      <c r="B549" s="3"/>
      <c r="C549" s="1" t="s">
        <v>48</v>
      </c>
      <c r="D549" s="1" t="s">
        <v>20</v>
      </c>
      <c r="E549" s="1" t="s">
        <v>59</v>
      </c>
      <c r="F549" s="1" t="s">
        <v>38</v>
      </c>
      <c r="G549" s="1" t="s">
        <v>23</v>
      </c>
      <c r="H549" s="2">
        <v>45399</v>
      </c>
      <c r="I549" s="2">
        <v>45453</v>
      </c>
      <c r="J549" s="1">
        <v>14806.81</v>
      </c>
      <c r="K549" s="1">
        <v>0.46439999999999998</v>
      </c>
      <c r="L549" s="1">
        <v>6876.28</v>
      </c>
      <c r="M549" s="1">
        <v>563081</v>
      </c>
      <c r="N549" s="1">
        <v>27537</v>
      </c>
      <c r="O549" s="1">
        <v>241735.7</v>
      </c>
      <c r="P549" s="1">
        <v>2024</v>
      </c>
      <c r="Q549" s="1" t="s">
        <v>76</v>
      </c>
      <c r="R549" s="1" t="s">
        <v>46</v>
      </c>
    </row>
    <row r="550" spans="1:18" x14ac:dyDescent="0.35">
      <c r="A550" s="3" t="s">
        <v>85</v>
      </c>
      <c r="B550" s="3"/>
      <c r="C550" s="1" t="s">
        <v>19</v>
      </c>
      <c r="D550" s="1" t="s">
        <v>69</v>
      </c>
      <c r="E550" s="1" t="s">
        <v>43</v>
      </c>
      <c r="F550" s="1" t="s">
        <v>22</v>
      </c>
      <c r="G550" s="1" t="s">
        <v>31</v>
      </c>
      <c r="H550" s="2">
        <v>45400</v>
      </c>
      <c r="I550" s="2">
        <v>45456</v>
      </c>
      <c r="J550" s="1">
        <v>38386.78</v>
      </c>
      <c r="K550" s="1">
        <v>0.62639999999999996</v>
      </c>
      <c r="L550" s="1">
        <v>24045.48</v>
      </c>
      <c r="M550" s="1">
        <v>889962</v>
      </c>
      <c r="N550" s="1">
        <v>3661</v>
      </c>
      <c r="O550" s="1">
        <v>25741.48</v>
      </c>
      <c r="P550" s="1">
        <v>2024</v>
      </c>
      <c r="Q550" s="1" t="s">
        <v>76</v>
      </c>
      <c r="R550" s="1" t="s">
        <v>46</v>
      </c>
    </row>
    <row r="551" spans="1:18" x14ac:dyDescent="0.35">
      <c r="A551" s="3" t="s">
        <v>50</v>
      </c>
      <c r="B551" s="3"/>
      <c r="C551" s="1" t="s">
        <v>19</v>
      </c>
      <c r="D551" s="1" t="s">
        <v>69</v>
      </c>
      <c r="E551" s="1" t="s">
        <v>59</v>
      </c>
      <c r="F551" s="1" t="s">
        <v>30</v>
      </c>
      <c r="G551" s="1" t="s">
        <v>52</v>
      </c>
      <c r="H551" s="2">
        <v>45400</v>
      </c>
      <c r="I551" s="2">
        <v>45433</v>
      </c>
      <c r="J551" s="1">
        <v>18578.34</v>
      </c>
      <c r="K551" s="1">
        <v>0.3735</v>
      </c>
      <c r="L551" s="1">
        <v>6939.01</v>
      </c>
      <c r="M551" s="1">
        <v>588469</v>
      </c>
      <c r="N551" s="1">
        <v>7232</v>
      </c>
      <c r="O551" s="1">
        <v>48063.69</v>
      </c>
      <c r="P551" s="1">
        <v>2024</v>
      </c>
      <c r="Q551" s="1" t="s">
        <v>76</v>
      </c>
      <c r="R551" s="1" t="s">
        <v>46</v>
      </c>
    </row>
    <row r="552" spans="1:18" x14ac:dyDescent="0.35">
      <c r="A552" s="3" t="s">
        <v>62</v>
      </c>
      <c r="B552" s="3"/>
      <c r="C552" s="1" t="s">
        <v>48</v>
      </c>
      <c r="D552" s="1" t="s">
        <v>29</v>
      </c>
      <c r="E552" s="1" t="s">
        <v>21</v>
      </c>
      <c r="F552" s="1" t="s">
        <v>38</v>
      </c>
      <c r="G552" s="1" t="s">
        <v>23</v>
      </c>
      <c r="H552" s="2">
        <v>45400</v>
      </c>
      <c r="I552" s="2">
        <v>45411</v>
      </c>
      <c r="J552" s="1">
        <v>40390.94</v>
      </c>
      <c r="K552" s="1">
        <v>0.1764</v>
      </c>
      <c r="L552" s="1">
        <v>7124.96</v>
      </c>
      <c r="M552" s="1">
        <v>22537</v>
      </c>
      <c r="N552" s="1">
        <v>4141</v>
      </c>
      <c r="O552" s="1">
        <v>208441.22</v>
      </c>
      <c r="P552" s="1">
        <v>2024</v>
      </c>
      <c r="Q552" s="1" t="s">
        <v>76</v>
      </c>
      <c r="R552" s="1" t="s">
        <v>46</v>
      </c>
    </row>
    <row r="553" spans="1:18" x14ac:dyDescent="0.35">
      <c r="A553" s="3" t="s">
        <v>90</v>
      </c>
      <c r="B553" s="3"/>
      <c r="C553" s="1" t="s">
        <v>48</v>
      </c>
      <c r="D553" s="1" t="s">
        <v>58</v>
      </c>
      <c r="E553" s="1" t="s">
        <v>21</v>
      </c>
      <c r="F553" s="1" t="s">
        <v>38</v>
      </c>
      <c r="G553" s="1" t="s">
        <v>49</v>
      </c>
      <c r="H553" s="2">
        <v>45401</v>
      </c>
      <c r="I553" s="2">
        <v>45459</v>
      </c>
      <c r="J553" s="1">
        <v>32658.97</v>
      </c>
      <c r="K553" s="1">
        <v>0.1176</v>
      </c>
      <c r="L553" s="1">
        <v>3840.69</v>
      </c>
      <c r="M553" s="1">
        <v>534977</v>
      </c>
      <c r="N553" s="1">
        <v>7516</v>
      </c>
      <c r="O553" s="1">
        <v>49043.99</v>
      </c>
      <c r="P553" s="1">
        <v>2024</v>
      </c>
      <c r="Q553" s="1" t="s">
        <v>76</v>
      </c>
      <c r="R553" s="1" t="s">
        <v>46</v>
      </c>
    </row>
    <row r="554" spans="1:18" x14ac:dyDescent="0.35">
      <c r="A554" s="3" t="s">
        <v>27</v>
      </c>
      <c r="B554" s="3"/>
      <c r="C554" s="1" t="s">
        <v>48</v>
      </c>
      <c r="D554" s="1" t="s">
        <v>29</v>
      </c>
      <c r="E554" s="1" t="s">
        <v>37</v>
      </c>
      <c r="F554" s="1" t="s">
        <v>38</v>
      </c>
      <c r="G554" s="1" t="s">
        <v>23</v>
      </c>
      <c r="H554" s="2">
        <v>45402</v>
      </c>
      <c r="I554" s="2">
        <v>45430</v>
      </c>
      <c r="J554" s="1">
        <v>29992.86</v>
      </c>
      <c r="K554" s="1">
        <v>0.59709999999999996</v>
      </c>
      <c r="L554" s="1">
        <v>17908.740000000002</v>
      </c>
      <c r="M554" s="1">
        <v>820143</v>
      </c>
      <c r="N554" s="1">
        <v>12907</v>
      </c>
      <c r="O554" s="1">
        <v>184453.52</v>
      </c>
      <c r="P554" s="1">
        <v>2024</v>
      </c>
      <c r="Q554" s="1" t="s">
        <v>76</v>
      </c>
      <c r="R554" s="1" t="s">
        <v>46</v>
      </c>
    </row>
    <row r="555" spans="1:18" x14ac:dyDescent="0.35">
      <c r="A555" s="3" t="s">
        <v>78</v>
      </c>
      <c r="B555" s="3"/>
      <c r="C555" s="1" t="s">
        <v>35</v>
      </c>
      <c r="D555" s="1" t="s">
        <v>20</v>
      </c>
      <c r="E555" s="1" t="s">
        <v>51</v>
      </c>
      <c r="F555" s="1" t="s">
        <v>30</v>
      </c>
      <c r="G555" s="1" t="s">
        <v>44</v>
      </c>
      <c r="H555" s="2">
        <v>45403</v>
      </c>
      <c r="I555" s="2">
        <v>45436</v>
      </c>
      <c r="J555" s="1">
        <v>22665.83</v>
      </c>
      <c r="K555" s="1">
        <v>0.26429999999999998</v>
      </c>
      <c r="L555" s="1">
        <v>5990.58</v>
      </c>
      <c r="M555" s="1">
        <v>506171</v>
      </c>
      <c r="N555" s="1">
        <v>48331</v>
      </c>
      <c r="O555" s="1">
        <v>46574.39</v>
      </c>
      <c r="P555" s="1">
        <v>2024</v>
      </c>
      <c r="Q555" s="1" t="s">
        <v>76</v>
      </c>
      <c r="R555" s="1" t="s">
        <v>46</v>
      </c>
    </row>
    <row r="556" spans="1:18" x14ac:dyDescent="0.35">
      <c r="A556" s="3" t="s">
        <v>95</v>
      </c>
      <c r="B556" s="3"/>
      <c r="C556" s="1" t="s">
        <v>35</v>
      </c>
      <c r="D556" s="1" t="s">
        <v>58</v>
      </c>
      <c r="E556" s="1" t="s">
        <v>43</v>
      </c>
      <c r="F556" s="1" t="s">
        <v>30</v>
      </c>
      <c r="G556" s="1" t="s">
        <v>31</v>
      </c>
      <c r="H556" s="2">
        <v>45404</v>
      </c>
      <c r="I556" s="2">
        <v>45454</v>
      </c>
      <c r="J556" s="1">
        <v>46937.23</v>
      </c>
      <c r="K556" s="1">
        <v>5.7500000000000002E-2</v>
      </c>
      <c r="L556" s="1">
        <v>2698.89</v>
      </c>
      <c r="M556" s="1">
        <v>983737</v>
      </c>
      <c r="N556" s="1">
        <v>21243</v>
      </c>
      <c r="O556" s="1">
        <v>151235.68</v>
      </c>
      <c r="P556" s="1">
        <v>2024</v>
      </c>
      <c r="Q556" s="1" t="s">
        <v>76</v>
      </c>
      <c r="R556" s="1" t="s">
        <v>46</v>
      </c>
    </row>
    <row r="557" spans="1:18" x14ac:dyDescent="0.35">
      <c r="A557" s="3" t="s">
        <v>89</v>
      </c>
      <c r="B557" s="3"/>
      <c r="C557" s="1" t="s">
        <v>35</v>
      </c>
      <c r="D557" s="1" t="s">
        <v>69</v>
      </c>
      <c r="E557" s="1" t="s">
        <v>59</v>
      </c>
      <c r="F557" s="1" t="s">
        <v>22</v>
      </c>
      <c r="G557" s="1" t="s">
        <v>31</v>
      </c>
      <c r="H557" s="2">
        <v>45405</v>
      </c>
      <c r="I557" s="2">
        <v>45452</v>
      </c>
      <c r="J557" s="1">
        <v>46872.92</v>
      </c>
      <c r="K557" s="1">
        <v>0.77010000000000001</v>
      </c>
      <c r="L557" s="1">
        <v>36096.839999999997</v>
      </c>
      <c r="M557" s="1">
        <v>977516</v>
      </c>
      <c r="N557" s="1">
        <v>18213</v>
      </c>
      <c r="O557" s="1">
        <v>193492.99</v>
      </c>
      <c r="P557" s="1">
        <v>2024</v>
      </c>
      <c r="Q557" s="1" t="s">
        <v>76</v>
      </c>
      <c r="R557" s="1" t="s">
        <v>46</v>
      </c>
    </row>
    <row r="558" spans="1:18" x14ac:dyDescent="0.35">
      <c r="A558" s="3" t="s">
        <v>18</v>
      </c>
      <c r="B558" s="3"/>
      <c r="C558" s="1" t="s">
        <v>48</v>
      </c>
      <c r="D558" s="1" t="s">
        <v>36</v>
      </c>
      <c r="E558" s="1" t="s">
        <v>59</v>
      </c>
      <c r="F558" s="1" t="s">
        <v>30</v>
      </c>
      <c r="G558" s="1" t="s">
        <v>44</v>
      </c>
      <c r="H558" s="2">
        <v>45407</v>
      </c>
      <c r="I558" s="2">
        <v>45431</v>
      </c>
      <c r="J558" s="1">
        <v>30563.14</v>
      </c>
      <c r="K558" s="1">
        <v>0.35639999999999999</v>
      </c>
      <c r="L558" s="1">
        <v>10892.7</v>
      </c>
      <c r="M558" s="1">
        <v>18474</v>
      </c>
      <c r="N558" s="1">
        <v>34026</v>
      </c>
      <c r="O558" s="1">
        <v>148677.78</v>
      </c>
      <c r="P558" s="1">
        <v>2024</v>
      </c>
      <c r="Q558" s="1" t="s">
        <v>76</v>
      </c>
      <c r="R558" s="1" t="s">
        <v>46</v>
      </c>
    </row>
    <row r="559" spans="1:18" x14ac:dyDescent="0.35">
      <c r="A559" s="3" t="s">
        <v>104</v>
      </c>
      <c r="B559" s="3"/>
      <c r="C559" s="1" t="s">
        <v>35</v>
      </c>
      <c r="D559" s="1" t="s">
        <v>29</v>
      </c>
      <c r="E559" s="1" t="s">
        <v>51</v>
      </c>
      <c r="F559" s="1" t="s">
        <v>38</v>
      </c>
      <c r="G559" s="1" t="s">
        <v>44</v>
      </c>
      <c r="H559" s="2">
        <v>45410</v>
      </c>
      <c r="I559" s="2">
        <v>45453</v>
      </c>
      <c r="J559" s="1">
        <v>33289.620000000003</v>
      </c>
      <c r="K559" s="1">
        <v>0.69550000000000001</v>
      </c>
      <c r="L559" s="1">
        <v>23152.93</v>
      </c>
      <c r="M559" s="1">
        <v>982462</v>
      </c>
      <c r="N559" s="1">
        <v>33325</v>
      </c>
      <c r="O559" s="1">
        <v>194972.51</v>
      </c>
      <c r="P559" s="1">
        <v>2024</v>
      </c>
      <c r="Q559" s="1" t="s">
        <v>76</v>
      </c>
      <c r="R559" s="1" t="s">
        <v>46</v>
      </c>
    </row>
    <row r="560" spans="1:18" x14ac:dyDescent="0.35">
      <c r="A560" s="3" t="s">
        <v>92</v>
      </c>
      <c r="B560" s="3"/>
      <c r="C560" s="1" t="s">
        <v>48</v>
      </c>
      <c r="D560" s="1" t="s">
        <v>29</v>
      </c>
      <c r="E560" s="1" t="s">
        <v>59</v>
      </c>
      <c r="F560" s="1" t="s">
        <v>38</v>
      </c>
      <c r="G560" s="1" t="s">
        <v>49</v>
      </c>
      <c r="H560" s="2">
        <v>45410</v>
      </c>
      <c r="I560" s="2">
        <v>45427</v>
      </c>
      <c r="J560" s="1">
        <v>25523.39</v>
      </c>
      <c r="K560" s="1">
        <v>1.0423</v>
      </c>
      <c r="L560" s="1">
        <v>26603.03</v>
      </c>
      <c r="M560" s="1">
        <v>410209</v>
      </c>
      <c r="N560" s="1">
        <v>34823</v>
      </c>
      <c r="O560" s="1">
        <v>78097.16</v>
      </c>
      <c r="P560" s="1">
        <v>2024</v>
      </c>
      <c r="Q560" s="1" t="s">
        <v>76</v>
      </c>
      <c r="R560" s="1" t="s">
        <v>46</v>
      </c>
    </row>
    <row r="561" spans="1:18" x14ac:dyDescent="0.35">
      <c r="A561" s="3" t="s">
        <v>70</v>
      </c>
      <c r="B561" s="3"/>
      <c r="C561" s="1" t="s">
        <v>19</v>
      </c>
      <c r="D561" s="1" t="s">
        <v>69</v>
      </c>
      <c r="E561" s="1" t="s">
        <v>21</v>
      </c>
      <c r="F561" s="1" t="s">
        <v>30</v>
      </c>
      <c r="G561" s="1" t="s">
        <v>31</v>
      </c>
      <c r="H561" s="2">
        <v>45411</v>
      </c>
      <c r="I561" s="2">
        <v>45440</v>
      </c>
      <c r="J561" s="1">
        <v>34390.67</v>
      </c>
      <c r="K561" s="1">
        <v>0.38140000000000002</v>
      </c>
      <c r="L561" s="1">
        <v>13116.6</v>
      </c>
      <c r="M561" s="1">
        <v>348756</v>
      </c>
      <c r="N561" s="1">
        <v>10494</v>
      </c>
      <c r="O561" s="1">
        <v>159145.24</v>
      </c>
      <c r="P561" s="1">
        <v>2024</v>
      </c>
      <c r="Q561" s="1" t="s">
        <v>76</v>
      </c>
      <c r="R561" s="1" t="s">
        <v>46</v>
      </c>
    </row>
    <row r="562" spans="1:18" x14ac:dyDescent="0.35">
      <c r="A562" s="3" t="s">
        <v>86</v>
      </c>
      <c r="B562" s="3"/>
      <c r="C562" s="1" t="s">
        <v>48</v>
      </c>
      <c r="D562" s="1" t="s">
        <v>20</v>
      </c>
      <c r="E562" s="1" t="s">
        <v>51</v>
      </c>
      <c r="F562" s="1" t="s">
        <v>38</v>
      </c>
      <c r="G562" s="1" t="s">
        <v>49</v>
      </c>
      <c r="H562" s="2">
        <v>45412</v>
      </c>
      <c r="I562" s="2">
        <v>45439</v>
      </c>
      <c r="J562" s="1">
        <v>21586.37</v>
      </c>
      <c r="K562" s="1">
        <v>0.88790000000000002</v>
      </c>
      <c r="L562" s="1">
        <v>19166.54</v>
      </c>
      <c r="M562" s="1">
        <v>32525</v>
      </c>
      <c r="N562" s="1">
        <v>19204</v>
      </c>
      <c r="O562" s="1">
        <v>51319.86</v>
      </c>
      <c r="P562" s="1">
        <v>2024</v>
      </c>
      <c r="Q562" s="1" t="s">
        <v>76</v>
      </c>
      <c r="R562" s="1" t="s">
        <v>46</v>
      </c>
    </row>
    <row r="563" spans="1:18" x14ac:dyDescent="0.35">
      <c r="A563" s="3" t="s">
        <v>107</v>
      </c>
      <c r="B563" s="3"/>
      <c r="C563" s="1" t="s">
        <v>48</v>
      </c>
      <c r="D563" s="1" t="s">
        <v>58</v>
      </c>
      <c r="E563" s="1" t="s">
        <v>51</v>
      </c>
      <c r="F563" s="1" t="s">
        <v>38</v>
      </c>
      <c r="G563" s="1" t="s">
        <v>23</v>
      </c>
      <c r="H563" s="2">
        <v>45414</v>
      </c>
      <c r="I563" s="2">
        <v>45436</v>
      </c>
      <c r="J563" s="1">
        <v>28589.8</v>
      </c>
      <c r="K563" s="1">
        <v>0.51349999999999996</v>
      </c>
      <c r="L563" s="1">
        <v>14680.86</v>
      </c>
      <c r="M563" s="1">
        <v>803237</v>
      </c>
      <c r="N563" s="1">
        <v>27791</v>
      </c>
      <c r="O563" s="1">
        <v>203693.62</v>
      </c>
      <c r="P563" s="1">
        <v>2024</v>
      </c>
      <c r="Q563" s="1" t="s">
        <v>45</v>
      </c>
      <c r="R563" s="1" t="s">
        <v>46</v>
      </c>
    </row>
    <row r="564" spans="1:18" x14ac:dyDescent="0.35">
      <c r="A564" s="3" t="s">
        <v>78</v>
      </c>
      <c r="B564" s="3"/>
      <c r="C564" s="1" t="s">
        <v>19</v>
      </c>
      <c r="D564" s="1" t="s">
        <v>29</v>
      </c>
      <c r="E564" s="1" t="s">
        <v>59</v>
      </c>
      <c r="F564" s="1" t="s">
        <v>30</v>
      </c>
      <c r="G564" s="1" t="s">
        <v>52</v>
      </c>
      <c r="H564" s="2">
        <v>45415</v>
      </c>
      <c r="I564" s="2">
        <v>45457</v>
      </c>
      <c r="J564" s="1">
        <v>43571.81</v>
      </c>
      <c r="K564" s="1">
        <v>5.45E-2</v>
      </c>
      <c r="L564" s="1">
        <v>2374.66</v>
      </c>
      <c r="M564" s="1">
        <v>179054</v>
      </c>
      <c r="N564" s="1">
        <v>10031</v>
      </c>
      <c r="O564" s="1">
        <v>172181.63</v>
      </c>
      <c r="P564" s="1">
        <v>2024</v>
      </c>
      <c r="Q564" s="1" t="s">
        <v>45</v>
      </c>
      <c r="R564" s="1" t="s">
        <v>46</v>
      </c>
    </row>
    <row r="565" spans="1:18" x14ac:dyDescent="0.35">
      <c r="A565" s="3" t="s">
        <v>82</v>
      </c>
      <c r="B565" s="3"/>
      <c r="C565" s="1" t="s">
        <v>48</v>
      </c>
      <c r="D565" s="1" t="s">
        <v>69</v>
      </c>
      <c r="E565" s="1" t="s">
        <v>43</v>
      </c>
      <c r="F565" s="1" t="s">
        <v>38</v>
      </c>
      <c r="G565" s="1" t="s">
        <v>52</v>
      </c>
      <c r="H565" s="2">
        <v>45416</v>
      </c>
      <c r="I565" s="2">
        <v>45423</v>
      </c>
      <c r="J565" s="1">
        <v>46151.96</v>
      </c>
      <c r="K565" s="1">
        <v>0.44009999999999999</v>
      </c>
      <c r="L565" s="1">
        <v>20311.48</v>
      </c>
      <c r="M565" s="1">
        <v>750880</v>
      </c>
      <c r="N565" s="1">
        <v>44430</v>
      </c>
      <c r="O565" s="1">
        <v>11922.74</v>
      </c>
      <c r="P565" s="1">
        <v>2024</v>
      </c>
      <c r="Q565" s="1" t="s">
        <v>45</v>
      </c>
      <c r="R565" s="1" t="s">
        <v>46</v>
      </c>
    </row>
    <row r="566" spans="1:18" x14ac:dyDescent="0.35">
      <c r="A566" s="3" t="s">
        <v>98</v>
      </c>
      <c r="B566" s="3"/>
      <c r="C566" s="1" t="s">
        <v>28</v>
      </c>
      <c r="D566" s="1" t="s">
        <v>58</v>
      </c>
      <c r="E566" s="1" t="s">
        <v>37</v>
      </c>
      <c r="F566" s="1" t="s">
        <v>30</v>
      </c>
      <c r="G566" s="1" t="s">
        <v>23</v>
      </c>
      <c r="H566" s="2">
        <v>45417</v>
      </c>
      <c r="I566" s="2">
        <v>45450</v>
      </c>
      <c r="J566" s="1">
        <v>17694.59</v>
      </c>
      <c r="K566" s="1">
        <v>1.1589</v>
      </c>
      <c r="L566" s="1">
        <v>20506.259999999998</v>
      </c>
      <c r="M566" s="1">
        <v>274742</v>
      </c>
      <c r="N566" s="1">
        <v>31408</v>
      </c>
      <c r="O566" s="1">
        <v>32951.35</v>
      </c>
      <c r="P566" s="1">
        <v>2024</v>
      </c>
      <c r="Q566" s="1" t="s">
        <v>45</v>
      </c>
      <c r="R566" s="1" t="s">
        <v>46</v>
      </c>
    </row>
    <row r="567" spans="1:18" x14ac:dyDescent="0.35">
      <c r="A567" s="3" t="s">
        <v>114</v>
      </c>
      <c r="B567" s="3"/>
      <c r="C567" s="1" t="s">
        <v>19</v>
      </c>
      <c r="D567" s="1" t="s">
        <v>58</v>
      </c>
      <c r="E567" s="1" t="s">
        <v>59</v>
      </c>
      <c r="F567" s="1" t="s">
        <v>30</v>
      </c>
      <c r="G567" s="1" t="s">
        <v>44</v>
      </c>
      <c r="H567" s="2">
        <v>45417</v>
      </c>
      <c r="I567" s="2">
        <v>45435</v>
      </c>
      <c r="J567" s="1">
        <v>43604.22</v>
      </c>
      <c r="K567" s="1">
        <v>0.40620000000000001</v>
      </c>
      <c r="L567" s="1">
        <v>17712.03</v>
      </c>
      <c r="M567" s="1">
        <v>963149</v>
      </c>
      <c r="N567" s="1">
        <v>1104</v>
      </c>
      <c r="O567" s="1">
        <v>56892.9</v>
      </c>
      <c r="P567" s="1">
        <v>2024</v>
      </c>
      <c r="Q567" s="1" t="s">
        <v>45</v>
      </c>
      <c r="R567" s="1" t="s">
        <v>46</v>
      </c>
    </row>
    <row r="568" spans="1:18" x14ac:dyDescent="0.35">
      <c r="A568" s="3" t="s">
        <v>87</v>
      </c>
      <c r="B568" s="3"/>
      <c r="C568" s="1" t="s">
        <v>48</v>
      </c>
      <c r="D568" s="1" t="s">
        <v>29</v>
      </c>
      <c r="E568" s="1" t="s">
        <v>37</v>
      </c>
      <c r="F568" s="1" t="s">
        <v>38</v>
      </c>
      <c r="G568" s="1" t="s">
        <v>49</v>
      </c>
      <c r="H568" s="2">
        <v>45419</v>
      </c>
      <c r="I568" s="2">
        <v>45459</v>
      </c>
      <c r="J568" s="1">
        <v>10707.32</v>
      </c>
      <c r="K568" s="1">
        <v>0.48039999999999999</v>
      </c>
      <c r="L568" s="1">
        <v>5143.8</v>
      </c>
      <c r="M568" s="1">
        <v>609083</v>
      </c>
      <c r="N568" s="1">
        <v>12951</v>
      </c>
      <c r="O568" s="1">
        <v>142486.06</v>
      </c>
      <c r="P568" s="1">
        <v>2024</v>
      </c>
      <c r="Q568" s="1" t="s">
        <v>45</v>
      </c>
      <c r="R568" s="1" t="s">
        <v>46</v>
      </c>
    </row>
    <row r="569" spans="1:18" x14ac:dyDescent="0.35">
      <c r="A569" s="3" t="s">
        <v>57</v>
      </c>
      <c r="B569" s="3"/>
      <c r="C569" s="1" t="s">
        <v>28</v>
      </c>
      <c r="D569" s="1" t="s">
        <v>69</v>
      </c>
      <c r="E569" s="1" t="s">
        <v>43</v>
      </c>
      <c r="F569" s="1" t="s">
        <v>30</v>
      </c>
      <c r="G569" s="1" t="s">
        <v>23</v>
      </c>
      <c r="H569" s="2">
        <v>45421</v>
      </c>
      <c r="I569" s="2">
        <v>45444</v>
      </c>
      <c r="J569" s="1">
        <v>45475.62</v>
      </c>
      <c r="K569" s="1">
        <v>0.64449999999999996</v>
      </c>
      <c r="L569" s="1">
        <v>29309.040000000001</v>
      </c>
      <c r="M569" s="1">
        <v>266496</v>
      </c>
      <c r="N569" s="1">
        <v>25161</v>
      </c>
      <c r="O569" s="1">
        <v>9217.07</v>
      </c>
      <c r="P569" s="1">
        <v>2024</v>
      </c>
      <c r="Q569" s="1" t="s">
        <v>45</v>
      </c>
      <c r="R569" s="1" t="s">
        <v>46</v>
      </c>
    </row>
    <row r="570" spans="1:18" x14ac:dyDescent="0.35">
      <c r="A570" s="3" t="s">
        <v>110</v>
      </c>
      <c r="B570" s="3"/>
      <c r="C570" s="1" t="s">
        <v>35</v>
      </c>
      <c r="D570" s="1" t="s">
        <v>69</v>
      </c>
      <c r="E570" s="1" t="s">
        <v>51</v>
      </c>
      <c r="F570" s="1" t="s">
        <v>38</v>
      </c>
      <c r="G570" s="1" t="s">
        <v>31</v>
      </c>
      <c r="H570" s="2">
        <v>45423</v>
      </c>
      <c r="I570" s="2">
        <v>45473</v>
      </c>
      <c r="J570" s="1">
        <v>22437.5</v>
      </c>
      <c r="K570" s="1">
        <v>0.36070000000000002</v>
      </c>
      <c r="L570" s="1">
        <v>8093.21</v>
      </c>
      <c r="M570" s="1">
        <v>740897</v>
      </c>
      <c r="N570" s="1">
        <v>32218</v>
      </c>
      <c r="O570" s="1">
        <v>51495.08</v>
      </c>
      <c r="P570" s="1">
        <v>2024</v>
      </c>
      <c r="Q570" s="1" t="s">
        <v>45</v>
      </c>
      <c r="R570" s="1" t="s">
        <v>46</v>
      </c>
    </row>
    <row r="571" spans="1:18" x14ac:dyDescent="0.35">
      <c r="A571" s="3" t="s">
        <v>57</v>
      </c>
      <c r="B571" s="3"/>
      <c r="C571" s="1" t="s">
        <v>48</v>
      </c>
      <c r="D571" s="1" t="s">
        <v>29</v>
      </c>
      <c r="E571" s="1" t="s">
        <v>37</v>
      </c>
      <c r="F571" s="1" t="s">
        <v>22</v>
      </c>
      <c r="G571" s="1" t="s">
        <v>23</v>
      </c>
      <c r="H571" s="2">
        <v>45423</v>
      </c>
      <c r="I571" s="2">
        <v>45460</v>
      </c>
      <c r="J571" s="1">
        <v>14665.64</v>
      </c>
      <c r="K571" s="1">
        <v>0.92390000000000005</v>
      </c>
      <c r="L571" s="1">
        <v>13549.58</v>
      </c>
      <c r="M571" s="1">
        <v>123284</v>
      </c>
      <c r="N571" s="1">
        <v>8107</v>
      </c>
      <c r="O571" s="1">
        <v>66419.02</v>
      </c>
      <c r="P571" s="1">
        <v>2024</v>
      </c>
      <c r="Q571" s="1" t="s">
        <v>45</v>
      </c>
      <c r="R571" s="1" t="s">
        <v>46</v>
      </c>
    </row>
    <row r="572" spans="1:18" x14ac:dyDescent="0.35">
      <c r="A572" s="3" t="s">
        <v>50</v>
      </c>
      <c r="B572" s="3"/>
      <c r="C572" s="1" t="s">
        <v>48</v>
      </c>
      <c r="D572" s="1" t="s">
        <v>58</v>
      </c>
      <c r="E572" s="1" t="s">
        <v>21</v>
      </c>
      <c r="F572" s="1" t="s">
        <v>38</v>
      </c>
      <c r="G572" s="1" t="s">
        <v>52</v>
      </c>
      <c r="H572" s="2">
        <v>45423</v>
      </c>
      <c r="I572" s="2">
        <v>45439</v>
      </c>
      <c r="J572" s="1">
        <v>40169.230000000003</v>
      </c>
      <c r="K572" s="1">
        <v>1.0358000000000001</v>
      </c>
      <c r="L572" s="1">
        <v>41607.29</v>
      </c>
      <c r="M572" s="1">
        <v>369502</v>
      </c>
      <c r="N572" s="1">
        <v>5631</v>
      </c>
      <c r="O572" s="1">
        <v>241999.68</v>
      </c>
      <c r="P572" s="1">
        <v>2024</v>
      </c>
      <c r="Q572" s="1" t="s">
        <v>45</v>
      </c>
      <c r="R572" s="1" t="s">
        <v>46</v>
      </c>
    </row>
    <row r="573" spans="1:18" x14ac:dyDescent="0.35">
      <c r="A573" s="3" t="s">
        <v>85</v>
      </c>
      <c r="B573" s="3"/>
      <c r="C573" s="1" t="s">
        <v>48</v>
      </c>
      <c r="D573" s="1" t="s">
        <v>36</v>
      </c>
      <c r="E573" s="1" t="s">
        <v>63</v>
      </c>
      <c r="F573" s="1" t="s">
        <v>38</v>
      </c>
      <c r="G573" s="1" t="s">
        <v>44</v>
      </c>
      <c r="H573" s="2">
        <v>45424</v>
      </c>
      <c r="I573" s="2">
        <v>45464</v>
      </c>
      <c r="J573" s="1">
        <v>49573.36</v>
      </c>
      <c r="K573" s="1">
        <v>0.51219999999999999</v>
      </c>
      <c r="L573" s="1">
        <v>25391.47</v>
      </c>
      <c r="M573" s="1">
        <v>959648</v>
      </c>
      <c r="N573" s="1">
        <v>2525</v>
      </c>
      <c r="O573" s="1">
        <v>54487.67</v>
      </c>
      <c r="P573" s="1">
        <v>2024</v>
      </c>
      <c r="Q573" s="1" t="s">
        <v>45</v>
      </c>
      <c r="R573" s="1" t="s">
        <v>46</v>
      </c>
    </row>
    <row r="574" spans="1:18" x14ac:dyDescent="0.35">
      <c r="A574" s="3" t="s">
        <v>102</v>
      </c>
      <c r="B574" s="3"/>
      <c r="C574" s="1" t="s">
        <v>35</v>
      </c>
      <c r="D574" s="1" t="s">
        <v>29</v>
      </c>
      <c r="E574" s="1" t="s">
        <v>63</v>
      </c>
      <c r="F574" s="1" t="s">
        <v>30</v>
      </c>
      <c r="G574" s="1" t="s">
        <v>49</v>
      </c>
      <c r="H574" s="2">
        <v>45424</v>
      </c>
      <c r="I574" s="2">
        <v>45459</v>
      </c>
      <c r="J574" s="1">
        <v>38088.67</v>
      </c>
      <c r="K574" s="1">
        <v>0.72919999999999996</v>
      </c>
      <c r="L574" s="1">
        <v>27774.26</v>
      </c>
      <c r="M574" s="1">
        <v>362898</v>
      </c>
      <c r="N574" s="1">
        <v>24399</v>
      </c>
      <c r="O574" s="1">
        <v>172055.7</v>
      </c>
      <c r="P574" s="1">
        <v>2024</v>
      </c>
      <c r="Q574" s="1" t="s">
        <v>45</v>
      </c>
      <c r="R574" s="1" t="s">
        <v>46</v>
      </c>
    </row>
    <row r="575" spans="1:18" x14ac:dyDescent="0.35">
      <c r="A575" s="3" t="s">
        <v>100</v>
      </c>
      <c r="B575" s="3"/>
      <c r="C575" s="1" t="s">
        <v>19</v>
      </c>
      <c r="D575" s="1" t="s">
        <v>36</v>
      </c>
      <c r="E575" s="1" t="s">
        <v>21</v>
      </c>
      <c r="F575" s="1" t="s">
        <v>38</v>
      </c>
      <c r="G575" s="1" t="s">
        <v>23</v>
      </c>
      <c r="H575" s="2">
        <v>45425</v>
      </c>
      <c r="I575" s="2">
        <v>45448</v>
      </c>
      <c r="J575" s="1">
        <v>4166.21</v>
      </c>
      <c r="K575" s="1">
        <v>0.36070000000000002</v>
      </c>
      <c r="L575" s="1">
        <v>1502.75</v>
      </c>
      <c r="M575" s="1">
        <v>485904</v>
      </c>
      <c r="N575" s="1">
        <v>2783</v>
      </c>
      <c r="O575" s="1">
        <v>58244.7</v>
      </c>
      <c r="P575" s="1">
        <v>2024</v>
      </c>
      <c r="Q575" s="1" t="s">
        <v>45</v>
      </c>
      <c r="R575" s="1" t="s">
        <v>46</v>
      </c>
    </row>
    <row r="576" spans="1:18" x14ac:dyDescent="0.35">
      <c r="A576" s="3" t="s">
        <v>92</v>
      </c>
      <c r="B576" s="3"/>
      <c r="C576" s="1" t="s">
        <v>48</v>
      </c>
      <c r="D576" s="1" t="s">
        <v>29</v>
      </c>
      <c r="E576" s="1" t="s">
        <v>63</v>
      </c>
      <c r="F576" s="1" t="s">
        <v>38</v>
      </c>
      <c r="G576" s="1" t="s">
        <v>49</v>
      </c>
      <c r="H576" s="2">
        <v>45425</v>
      </c>
      <c r="I576" s="2">
        <v>45441</v>
      </c>
      <c r="J576" s="1">
        <v>25628.07</v>
      </c>
      <c r="K576" s="1">
        <v>0.14119999999999999</v>
      </c>
      <c r="L576" s="1">
        <v>3618.68</v>
      </c>
      <c r="M576" s="1">
        <v>604639</v>
      </c>
      <c r="N576" s="1">
        <v>14031</v>
      </c>
      <c r="O576" s="1">
        <v>50481.32</v>
      </c>
      <c r="P576" s="1">
        <v>2024</v>
      </c>
      <c r="Q576" s="1" t="s">
        <v>45</v>
      </c>
      <c r="R576" s="1" t="s">
        <v>46</v>
      </c>
    </row>
    <row r="577" spans="1:18" x14ac:dyDescent="0.35">
      <c r="A577" s="3" t="s">
        <v>86</v>
      </c>
      <c r="B577" s="3"/>
      <c r="C577" s="1" t="s">
        <v>48</v>
      </c>
      <c r="D577" s="1" t="s">
        <v>58</v>
      </c>
      <c r="E577" s="1" t="s">
        <v>21</v>
      </c>
      <c r="F577" s="1" t="s">
        <v>22</v>
      </c>
      <c r="G577" s="1" t="s">
        <v>44</v>
      </c>
      <c r="H577" s="2">
        <v>45425</v>
      </c>
      <c r="I577" s="2">
        <v>45435</v>
      </c>
      <c r="J577" s="1">
        <v>44375.49</v>
      </c>
      <c r="K577" s="1">
        <v>0.53120000000000001</v>
      </c>
      <c r="L577" s="1">
        <v>23572.26</v>
      </c>
      <c r="M577" s="1">
        <v>208667</v>
      </c>
      <c r="N577" s="1">
        <v>9271</v>
      </c>
      <c r="O577" s="1">
        <v>13746.08</v>
      </c>
      <c r="P577" s="1">
        <v>2024</v>
      </c>
      <c r="Q577" s="1" t="s">
        <v>45</v>
      </c>
      <c r="R577" s="1" t="s">
        <v>46</v>
      </c>
    </row>
    <row r="578" spans="1:18" x14ac:dyDescent="0.35">
      <c r="A578" s="3" t="s">
        <v>85</v>
      </c>
      <c r="B578" s="3"/>
      <c r="C578" s="1" t="s">
        <v>19</v>
      </c>
      <c r="D578" s="1" t="s">
        <v>20</v>
      </c>
      <c r="E578" s="1" t="s">
        <v>59</v>
      </c>
      <c r="F578" s="1" t="s">
        <v>22</v>
      </c>
      <c r="G578" s="1" t="s">
        <v>52</v>
      </c>
      <c r="H578" s="2">
        <v>45426</v>
      </c>
      <c r="I578" s="2">
        <v>45444</v>
      </c>
      <c r="J578" s="1">
        <v>18386.419999999998</v>
      </c>
      <c r="K578" s="1">
        <v>0.31740000000000002</v>
      </c>
      <c r="L578" s="1">
        <v>5835.85</v>
      </c>
      <c r="M578" s="1">
        <v>303243</v>
      </c>
      <c r="N578" s="1">
        <v>39169</v>
      </c>
      <c r="O578" s="1">
        <v>176790.02</v>
      </c>
      <c r="P578" s="1">
        <v>2024</v>
      </c>
      <c r="Q578" s="1" t="s">
        <v>45</v>
      </c>
      <c r="R578" s="1" t="s">
        <v>46</v>
      </c>
    </row>
    <row r="579" spans="1:18" x14ac:dyDescent="0.35">
      <c r="A579" s="3" t="s">
        <v>120</v>
      </c>
      <c r="B579" s="3"/>
      <c r="C579" s="1" t="s">
        <v>48</v>
      </c>
      <c r="D579" s="1" t="s">
        <v>69</v>
      </c>
      <c r="E579" s="1" t="s">
        <v>43</v>
      </c>
      <c r="F579" s="1" t="s">
        <v>30</v>
      </c>
      <c r="G579" s="1" t="s">
        <v>44</v>
      </c>
      <c r="H579" s="2">
        <v>45426</v>
      </c>
      <c r="I579" s="2">
        <v>45438</v>
      </c>
      <c r="J579" s="1">
        <v>44492.1</v>
      </c>
      <c r="K579" s="1">
        <v>0.53439999999999999</v>
      </c>
      <c r="L579" s="1">
        <v>23776.58</v>
      </c>
      <c r="M579" s="1">
        <v>76412</v>
      </c>
      <c r="N579" s="1">
        <v>17245</v>
      </c>
      <c r="O579" s="1">
        <v>165468.51999999999</v>
      </c>
      <c r="P579" s="1">
        <v>2024</v>
      </c>
      <c r="Q579" s="1" t="s">
        <v>45</v>
      </c>
      <c r="R579" s="1" t="s">
        <v>46</v>
      </c>
    </row>
    <row r="580" spans="1:18" x14ac:dyDescent="0.35">
      <c r="A580" s="3" t="s">
        <v>97</v>
      </c>
      <c r="B580" s="3"/>
      <c r="C580" s="1" t="s">
        <v>48</v>
      </c>
      <c r="D580" s="1" t="s">
        <v>20</v>
      </c>
      <c r="E580" s="1" t="s">
        <v>43</v>
      </c>
      <c r="F580" s="1" t="s">
        <v>22</v>
      </c>
      <c r="G580" s="1" t="s">
        <v>52</v>
      </c>
      <c r="H580" s="2">
        <v>45427</v>
      </c>
      <c r="I580" s="2">
        <v>45487</v>
      </c>
      <c r="J580" s="1">
        <v>13128.01</v>
      </c>
      <c r="K580" s="1">
        <v>0.14019999999999999</v>
      </c>
      <c r="L580" s="1">
        <v>1840.55</v>
      </c>
      <c r="M580" s="1">
        <v>868706</v>
      </c>
      <c r="N580" s="1">
        <v>1239</v>
      </c>
      <c r="O580" s="1">
        <v>143980.35</v>
      </c>
      <c r="P580" s="1">
        <v>2024</v>
      </c>
      <c r="Q580" s="1" t="s">
        <v>45</v>
      </c>
      <c r="R580" s="1" t="s">
        <v>46</v>
      </c>
    </row>
    <row r="581" spans="1:18" x14ac:dyDescent="0.35">
      <c r="A581" s="3" t="s">
        <v>112</v>
      </c>
      <c r="B581" s="3"/>
      <c r="C581" s="1" t="s">
        <v>48</v>
      </c>
      <c r="D581" s="1" t="s">
        <v>69</v>
      </c>
      <c r="E581" s="1" t="s">
        <v>51</v>
      </c>
      <c r="F581" s="1" t="s">
        <v>30</v>
      </c>
      <c r="G581" s="1" t="s">
        <v>23</v>
      </c>
      <c r="H581" s="2">
        <v>45427</v>
      </c>
      <c r="I581" s="2">
        <v>45470</v>
      </c>
      <c r="J581" s="1">
        <v>22859.07</v>
      </c>
      <c r="K581" s="1">
        <v>1.153</v>
      </c>
      <c r="L581" s="1">
        <v>26356.51</v>
      </c>
      <c r="M581" s="1">
        <v>507635</v>
      </c>
      <c r="N581" s="1">
        <v>38561</v>
      </c>
      <c r="O581" s="1">
        <v>140076.76</v>
      </c>
      <c r="P581" s="1">
        <v>2024</v>
      </c>
      <c r="Q581" s="1" t="s">
        <v>45</v>
      </c>
      <c r="R581" s="1" t="s">
        <v>46</v>
      </c>
    </row>
    <row r="582" spans="1:18" x14ac:dyDescent="0.35">
      <c r="A582" s="3" t="s">
        <v>71</v>
      </c>
      <c r="B582" s="3"/>
      <c r="C582" s="1" t="s">
        <v>19</v>
      </c>
      <c r="D582" s="1" t="s">
        <v>36</v>
      </c>
      <c r="E582" s="1" t="s">
        <v>63</v>
      </c>
      <c r="F582" s="1" t="s">
        <v>22</v>
      </c>
      <c r="G582" s="1" t="s">
        <v>49</v>
      </c>
      <c r="H582" s="2">
        <v>45427</v>
      </c>
      <c r="I582" s="2">
        <v>45467</v>
      </c>
      <c r="J582" s="1">
        <v>38150.07</v>
      </c>
      <c r="K582" s="1">
        <v>0.83179999999999998</v>
      </c>
      <c r="L582" s="1">
        <v>31733.23</v>
      </c>
      <c r="M582" s="1">
        <v>687278</v>
      </c>
      <c r="N582" s="1">
        <v>46751</v>
      </c>
      <c r="O582" s="1">
        <v>125251.23</v>
      </c>
      <c r="P582" s="1">
        <v>2024</v>
      </c>
      <c r="Q582" s="1" t="s">
        <v>45</v>
      </c>
      <c r="R582" s="1" t="s">
        <v>46</v>
      </c>
    </row>
    <row r="583" spans="1:18" x14ac:dyDescent="0.35">
      <c r="A583" s="3" t="s">
        <v>67</v>
      </c>
      <c r="B583" s="3"/>
      <c r="C583" s="1" t="s">
        <v>19</v>
      </c>
      <c r="D583" s="1" t="s">
        <v>36</v>
      </c>
      <c r="E583" s="1" t="s">
        <v>51</v>
      </c>
      <c r="F583" s="1" t="s">
        <v>38</v>
      </c>
      <c r="G583" s="1" t="s">
        <v>23</v>
      </c>
      <c r="H583" s="2">
        <v>45427</v>
      </c>
      <c r="I583" s="2">
        <v>45433</v>
      </c>
      <c r="J583" s="1">
        <v>6481.52</v>
      </c>
      <c r="K583" s="1">
        <v>0.44190000000000002</v>
      </c>
      <c r="L583" s="1">
        <v>2864.18</v>
      </c>
      <c r="M583" s="1">
        <v>882064</v>
      </c>
      <c r="N583" s="1">
        <v>20253</v>
      </c>
      <c r="O583" s="1">
        <v>63665.82</v>
      </c>
      <c r="P583" s="1">
        <v>2024</v>
      </c>
      <c r="Q583" s="1" t="s">
        <v>45</v>
      </c>
      <c r="R583" s="1" t="s">
        <v>46</v>
      </c>
    </row>
    <row r="584" spans="1:18" x14ac:dyDescent="0.35">
      <c r="A584" s="3" t="s">
        <v>79</v>
      </c>
      <c r="B584" s="3"/>
      <c r="C584" s="1" t="s">
        <v>48</v>
      </c>
      <c r="D584" s="1" t="s">
        <v>20</v>
      </c>
      <c r="E584" s="1" t="s">
        <v>63</v>
      </c>
      <c r="F584" s="1" t="s">
        <v>22</v>
      </c>
      <c r="G584" s="1" t="s">
        <v>31</v>
      </c>
      <c r="H584" s="2">
        <v>45428</v>
      </c>
      <c r="I584" s="2">
        <v>45458</v>
      </c>
      <c r="J584" s="1">
        <v>37475.15</v>
      </c>
      <c r="K584" s="1">
        <v>3.1899999999999998E-2</v>
      </c>
      <c r="L584" s="1">
        <v>1195.46</v>
      </c>
      <c r="M584" s="1">
        <v>727552</v>
      </c>
      <c r="N584" s="1">
        <v>23162</v>
      </c>
      <c r="O584" s="1">
        <v>92067.64</v>
      </c>
      <c r="P584" s="1">
        <v>2024</v>
      </c>
      <c r="Q584" s="1" t="s">
        <v>45</v>
      </c>
      <c r="R584" s="1" t="s">
        <v>46</v>
      </c>
    </row>
    <row r="585" spans="1:18" x14ac:dyDescent="0.35">
      <c r="A585" s="3" t="s">
        <v>98</v>
      </c>
      <c r="B585" s="3"/>
      <c r="C585" s="1" t="s">
        <v>48</v>
      </c>
      <c r="D585" s="1" t="s">
        <v>69</v>
      </c>
      <c r="E585" s="1" t="s">
        <v>43</v>
      </c>
      <c r="F585" s="1" t="s">
        <v>30</v>
      </c>
      <c r="G585" s="1" t="s">
        <v>44</v>
      </c>
      <c r="H585" s="2">
        <v>45429</v>
      </c>
      <c r="I585" s="2">
        <v>45479</v>
      </c>
      <c r="J585" s="1">
        <v>45575.34</v>
      </c>
      <c r="K585" s="1">
        <v>9.7500000000000003E-2</v>
      </c>
      <c r="L585" s="1">
        <v>4443.6000000000004</v>
      </c>
      <c r="M585" s="1">
        <v>94714</v>
      </c>
      <c r="N585" s="1">
        <v>21209</v>
      </c>
      <c r="O585" s="1">
        <v>154032.87</v>
      </c>
      <c r="P585" s="1">
        <v>2024</v>
      </c>
      <c r="Q585" s="1" t="s">
        <v>45</v>
      </c>
      <c r="R585" s="1" t="s">
        <v>46</v>
      </c>
    </row>
    <row r="586" spans="1:18" x14ac:dyDescent="0.35">
      <c r="A586" s="3" t="s">
        <v>57</v>
      </c>
      <c r="B586" s="3"/>
      <c r="C586" s="1" t="s">
        <v>19</v>
      </c>
      <c r="D586" s="1" t="s">
        <v>29</v>
      </c>
      <c r="E586" s="1" t="s">
        <v>51</v>
      </c>
      <c r="F586" s="1" t="s">
        <v>38</v>
      </c>
      <c r="G586" s="1" t="s">
        <v>52</v>
      </c>
      <c r="H586" s="2">
        <v>45430</v>
      </c>
      <c r="I586" s="2">
        <v>45447</v>
      </c>
      <c r="J586" s="1">
        <v>5152.45</v>
      </c>
      <c r="K586" s="1">
        <v>0.622</v>
      </c>
      <c r="L586" s="1">
        <v>3204.82</v>
      </c>
      <c r="M586" s="1">
        <v>171177</v>
      </c>
      <c r="N586" s="1">
        <v>27016</v>
      </c>
      <c r="O586" s="1">
        <v>35341.449999999997</v>
      </c>
      <c r="P586" s="1">
        <v>2024</v>
      </c>
      <c r="Q586" s="1" t="s">
        <v>45</v>
      </c>
      <c r="R586" s="1" t="s">
        <v>46</v>
      </c>
    </row>
    <row r="587" spans="1:18" x14ac:dyDescent="0.35">
      <c r="A587" s="3" t="s">
        <v>91</v>
      </c>
      <c r="B587" s="3"/>
      <c r="C587" s="1" t="s">
        <v>28</v>
      </c>
      <c r="D587" s="1" t="s">
        <v>36</v>
      </c>
      <c r="E587" s="1" t="s">
        <v>21</v>
      </c>
      <c r="F587" s="1" t="s">
        <v>22</v>
      </c>
      <c r="G587" s="1" t="s">
        <v>49</v>
      </c>
      <c r="H587" s="2">
        <v>45431</v>
      </c>
      <c r="I587" s="2">
        <v>45468</v>
      </c>
      <c r="J587" s="1">
        <v>37867.11</v>
      </c>
      <c r="K587" s="1">
        <v>0.46820000000000001</v>
      </c>
      <c r="L587" s="1">
        <v>17729.38</v>
      </c>
      <c r="M587" s="1">
        <v>130671</v>
      </c>
      <c r="N587" s="1">
        <v>17748</v>
      </c>
      <c r="O587" s="1">
        <v>19854.830000000002</v>
      </c>
      <c r="P587" s="1">
        <v>2024</v>
      </c>
      <c r="Q587" s="1" t="s">
        <v>45</v>
      </c>
      <c r="R587" s="1" t="s">
        <v>46</v>
      </c>
    </row>
    <row r="588" spans="1:18" x14ac:dyDescent="0.35">
      <c r="A588" s="3" t="s">
        <v>103</v>
      </c>
      <c r="B588" s="3"/>
      <c r="C588" s="1" t="s">
        <v>19</v>
      </c>
      <c r="D588" s="1" t="s">
        <v>69</v>
      </c>
      <c r="E588" s="1" t="s">
        <v>43</v>
      </c>
      <c r="F588" s="1" t="s">
        <v>22</v>
      </c>
      <c r="G588" s="1" t="s">
        <v>23</v>
      </c>
      <c r="H588" s="2">
        <v>45432</v>
      </c>
      <c r="I588" s="2">
        <v>45476</v>
      </c>
      <c r="J588" s="1">
        <v>3306.57</v>
      </c>
      <c r="K588" s="1">
        <v>0.36509999999999998</v>
      </c>
      <c r="L588" s="1">
        <v>1207.23</v>
      </c>
      <c r="M588" s="1">
        <v>486663</v>
      </c>
      <c r="N588" s="1">
        <v>32431</v>
      </c>
      <c r="O588" s="1">
        <v>212924.72</v>
      </c>
      <c r="P588" s="1">
        <v>2024</v>
      </c>
      <c r="Q588" s="1" t="s">
        <v>45</v>
      </c>
      <c r="R588" s="1" t="s">
        <v>46</v>
      </c>
    </row>
    <row r="589" spans="1:18" x14ac:dyDescent="0.35">
      <c r="A589" s="3" t="s">
        <v>55</v>
      </c>
      <c r="B589" s="3"/>
      <c r="C589" s="1" t="s">
        <v>28</v>
      </c>
      <c r="D589" s="1" t="s">
        <v>29</v>
      </c>
      <c r="E589" s="1" t="s">
        <v>43</v>
      </c>
      <c r="F589" s="1" t="s">
        <v>38</v>
      </c>
      <c r="G589" s="1" t="s">
        <v>31</v>
      </c>
      <c r="H589" s="2">
        <v>45432</v>
      </c>
      <c r="I589" s="2">
        <v>45444</v>
      </c>
      <c r="J589" s="1">
        <v>19854.27</v>
      </c>
      <c r="K589" s="1">
        <v>0.55379999999999996</v>
      </c>
      <c r="L589" s="1">
        <v>10995.29</v>
      </c>
      <c r="M589" s="1">
        <v>781934</v>
      </c>
      <c r="N589" s="1">
        <v>20547</v>
      </c>
      <c r="O589" s="1">
        <v>173326.41</v>
      </c>
      <c r="P589" s="1">
        <v>2024</v>
      </c>
      <c r="Q589" s="1" t="s">
        <v>45</v>
      </c>
      <c r="R589" s="1" t="s">
        <v>46</v>
      </c>
    </row>
    <row r="590" spans="1:18" x14ac:dyDescent="0.35">
      <c r="A590" s="3" t="s">
        <v>47</v>
      </c>
      <c r="B590" s="3"/>
      <c r="C590" s="1" t="s">
        <v>19</v>
      </c>
      <c r="D590" s="1" t="s">
        <v>58</v>
      </c>
      <c r="E590" s="1" t="s">
        <v>59</v>
      </c>
      <c r="F590" s="1" t="s">
        <v>38</v>
      </c>
      <c r="G590" s="1" t="s">
        <v>31</v>
      </c>
      <c r="H590" s="2">
        <v>45433</v>
      </c>
      <c r="I590" s="2">
        <v>45476</v>
      </c>
      <c r="J590" s="1">
        <v>44234.63</v>
      </c>
      <c r="K590" s="1">
        <v>0.78859999999999997</v>
      </c>
      <c r="L590" s="1">
        <v>34883.43</v>
      </c>
      <c r="M590" s="1">
        <v>503446</v>
      </c>
      <c r="N590" s="1">
        <v>18826</v>
      </c>
      <c r="O590" s="1">
        <v>136489.23000000001</v>
      </c>
      <c r="P590" s="1">
        <v>2024</v>
      </c>
      <c r="Q590" s="1" t="s">
        <v>45</v>
      </c>
      <c r="R590" s="1" t="s">
        <v>46</v>
      </c>
    </row>
    <row r="591" spans="1:18" x14ac:dyDescent="0.35">
      <c r="A591" s="3" t="s">
        <v>109</v>
      </c>
      <c r="B591" s="3"/>
      <c r="C591" s="1" t="s">
        <v>48</v>
      </c>
      <c r="D591" s="1" t="s">
        <v>29</v>
      </c>
      <c r="E591" s="1" t="s">
        <v>51</v>
      </c>
      <c r="F591" s="1" t="s">
        <v>30</v>
      </c>
      <c r="G591" s="1" t="s">
        <v>23</v>
      </c>
      <c r="H591" s="2">
        <v>45433</v>
      </c>
      <c r="I591" s="2">
        <v>45456</v>
      </c>
      <c r="J591" s="1">
        <v>35502.879999999997</v>
      </c>
      <c r="K591" s="1">
        <v>0.45829999999999999</v>
      </c>
      <c r="L591" s="1">
        <v>16270.97</v>
      </c>
      <c r="M591" s="1">
        <v>859566</v>
      </c>
      <c r="N591" s="1">
        <v>21932</v>
      </c>
      <c r="O591" s="1">
        <v>42412.05</v>
      </c>
      <c r="P591" s="1">
        <v>2024</v>
      </c>
      <c r="Q591" s="1" t="s">
        <v>45</v>
      </c>
      <c r="R591" s="1" t="s">
        <v>46</v>
      </c>
    </row>
    <row r="592" spans="1:18" x14ac:dyDescent="0.35">
      <c r="A592" s="3" t="s">
        <v>97</v>
      </c>
      <c r="B592" s="3"/>
      <c r="C592" s="1" t="s">
        <v>19</v>
      </c>
      <c r="D592" s="1" t="s">
        <v>36</v>
      </c>
      <c r="E592" s="1" t="s">
        <v>59</v>
      </c>
      <c r="F592" s="1" t="s">
        <v>30</v>
      </c>
      <c r="G592" s="1" t="s">
        <v>44</v>
      </c>
      <c r="H592" s="2">
        <v>45434</v>
      </c>
      <c r="I592" s="2">
        <v>45452</v>
      </c>
      <c r="J592" s="1">
        <v>9380.43</v>
      </c>
      <c r="K592" s="1">
        <v>0.25230000000000002</v>
      </c>
      <c r="L592" s="1">
        <v>2366.6799999999998</v>
      </c>
      <c r="M592" s="1">
        <v>677837</v>
      </c>
      <c r="N592" s="1">
        <v>18973</v>
      </c>
      <c r="O592" s="1">
        <v>177934.07</v>
      </c>
      <c r="P592" s="1">
        <v>2024</v>
      </c>
      <c r="Q592" s="1" t="s">
        <v>45</v>
      </c>
      <c r="R592" s="1" t="s">
        <v>46</v>
      </c>
    </row>
    <row r="593" spans="1:18" x14ac:dyDescent="0.35">
      <c r="A593" s="3" t="s">
        <v>90</v>
      </c>
      <c r="B593" s="3"/>
      <c r="C593" s="1" t="s">
        <v>28</v>
      </c>
      <c r="D593" s="1" t="s">
        <v>29</v>
      </c>
      <c r="E593" s="1" t="s">
        <v>21</v>
      </c>
      <c r="F593" s="1" t="s">
        <v>22</v>
      </c>
      <c r="G593" s="1" t="s">
        <v>52</v>
      </c>
      <c r="H593" s="2">
        <v>45435</v>
      </c>
      <c r="I593" s="2">
        <v>45445</v>
      </c>
      <c r="J593" s="1">
        <v>12665.77</v>
      </c>
      <c r="K593" s="1">
        <v>0.1555</v>
      </c>
      <c r="L593" s="1">
        <v>1969.53</v>
      </c>
      <c r="M593" s="1">
        <v>855872</v>
      </c>
      <c r="N593" s="1">
        <v>20639</v>
      </c>
      <c r="O593" s="1">
        <v>85675.05</v>
      </c>
      <c r="P593" s="1">
        <v>2024</v>
      </c>
      <c r="Q593" s="1" t="s">
        <v>45</v>
      </c>
      <c r="R593" s="1" t="s">
        <v>46</v>
      </c>
    </row>
    <row r="594" spans="1:18" x14ac:dyDescent="0.35">
      <c r="A594" s="3" t="s">
        <v>84</v>
      </c>
      <c r="B594" s="3"/>
      <c r="C594" s="1" t="s">
        <v>35</v>
      </c>
      <c r="D594" s="1" t="s">
        <v>36</v>
      </c>
      <c r="E594" s="1" t="s">
        <v>21</v>
      </c>
      <c r="F594" s="1" t="s">
        <v>30</v>
      </c>
      <c r="G594" s="1" t="s">
        <v>23</v>
      </c>
      <c r="H594" s="2">
        <v>45436</v>
      </c>
      <c r="I594" s="2">
        <v>45488</v>
      </c>
      <c r="J594" s="1">
        <v>22102.1</v>
      </c>
      <c r="K594" s="1">
        <v>0.16370000000000001</v>
      </c>
      <c r="L594" s="1">
        <v>3618.11</v>
      </c>
      <c r="M594" s="1">
        <v>568453</v>
      </c>
      <c r="N594" s="1">
        <v>46215</v>
      </c>
      <c r="O594" s="1">
        <v>61377.13</v>
      </c>
      <c r="P594" s="1">
        <v>2024</v>
      </c>
      <c r="Q594" s="1" t="s">
        <v>45</v>
      </c>
      <c r="R594" s="1" t="s">
        <v>46</v>
      </c>
    </row>
    <row r="595" spans="1:18" x14ac:dyDescent="0.35">
      <c r="A595" s="3" t="s">
        <v>79</v>
      </c>
      <c r="B595" s="3"/>
      <c r="C595" s="1" t="s">
        <v>19</v>
      </c>
      <c r="D595" s="1" t="s">
        <v>36</v>
      </c>
      <c r="E595" s="1" t="s">
        <v>51</v>
      </c>
      <c r="F595" s="1" t="s">
        <v>30</v>
      </c>
      <c r="G595" s="1" t="s">
        <v>49</v>
      </c>
      <c r="H595" s="2">
        <v>45437</v>
      </c>
      <c r="I595" s="2">
        <v>45485</v>
      </c>
      <c r="J595" s="1">
        <v>2310.6999999999998</v>
      </c>
      <c r="K595" s="1">
        <v>0.22309999999999999</v>
      </c>
      <c r="L595" s="1">
        <v>515.52</v>
      </c>
      <c r="M595" s="1">
        <v>643952</v>
      </c>
      <c r="N595" s="1">
        <v>44612</v>
      </c>
      <c r="O595" s="1">
        <v>85104.19</v>
      </c>
      <c r="P595" s="1">
        <v>2024</v>
      </c>
      <c r="Q595" s="1" t="s">
        <v>45</v>
      </c>
      <c r="R595" s="1" t="s">
        <v>46</v>
      </c>
    </row>
    <row r="596" spans="1:18" x14ac:dyDescent="0.35">
      <c r="A596" s="3" t="s">
        <v>67</v>
      </c>
      <c r="B596" s="3"/>
      <c r="C596" s="1" t="s">
        <v>48</v>
      </c>
      <c r="D596" s="1" t="s">
        <v>20</v>
      </c>
      <c r="E596" s="1" t="s">
        <v>63</v>
      </c>
      <c r="F596" s="1" t="s">
        <v>22</v>
      </c>
      <c r="G596" s="1" t="s">
        <v>23</v>
      </c>
      <c r="H596" s="2">
        <v>45437</v>
      </c>
      <c r="I596" s="2">
        <v>45461</v>
      </c>
      <c r="J596" s="1">
        <v>25371.14</v>
      </c>
      <c r="K596" s="1">
        <v>0.1172</v>
      </c>
      <c r="L596" s="1">
        <v>2973.5</v>
      </c>
      <c r="M596" s="1">
        <v>422344</v>
      </c>
      <c r="N596" s="1">
        <v>33224</v>
      </c>
      <c r="O596" s="1">
        <v>117021.51</v>
      </c>
      <c r="P596" s="1">
        <v>2024</v>
      </c>
      <c r="Q596" s="1" t="s">
        <v>45</v>
      </c>
      <c r="R596" s="1" t="s">
        <v>46</v>
      </c>
    </row>
    <row r="597" spans="1:18" x14ac:dyDescent="0.35">
      <c r="A597" s="3" t="s">
        <v>101</v>
      </c>
      <c r="B597" s="3"/>
      <c r="C597" s="1" t="s">
        <v>35</v>
      </c>
      <c r="D597" s="1" t="s">
        <v>69</v>
      </c>
      <c r="E597" s="1" t="s">
        <v>37</v>
      </c>
      <c r="F597" s="1" t="s">
        <v>22</v>
      </c>
      <c r="G597" s="1" t="s">
        <v>52</v>
      </c>
      <c r="H597" s="2">
        <v>45437</v>
      </c>
      <c r="I597" s="2">
        <v>45448</v>
      </c>
      <c r="J597" s="1">
        <v>23285.59</v>
      </c>
      <c r="K597" s="1">
        <v>0.21199999999999999</v>
      </c>
      <c r="L597" s="1">
        <v>4936.55</v>
      </c>
      <c r="M597" s="1">
        <v>319967</v>
      </c>
      <c r="N597" s="1">
        <v>10682</v>
      </c>
      <c r="O597" s="1">
        <v>21699.65</v>
      </c>
      <c r="P597" s="1">
        <v>2024</v>
      </c>
      <c r="Q597" s="1" t="s">
        <v>45</v>
      </c>
      <c r="R597" s="1" t="s">
        <v>46</v>
      </c>
    </row>
    <row r="598" spans="1:18" x14ac:dyDescent="0.35">
      <c r="A598" s="3" t="s">
        <v>117</v>
      </c>
      <c r="B598" s="3"/>
      <c r="C598" s="1" t="s">
        <v>48</v>
      </c>
      <c r="D598" s="1" t="s">
        <v>20</v>
      </c>
      <c r="E598" s="1" t="s">
        <v>59</v>
      </c>
      <c r="F598" s="1" t="s">
        <v>30</v>
      </c>
      <c r="G598" s="1" t="s">
        <v>52</v>
      </c>
      <c r="H598" s="2">
        <v>45437</v>
      </c>
      <c r="I598" s="2">
        <v>45442</v>
      </c>
      <c r="J598" s="1">
        <v>26987.85</v>
      </c>
      <c r="K598" s="1">
        <v>6.7799999999999999E-2</v>
      </c>
      <c r="L598" s="1">
        <v>1829.78</v>
      </c>
      <c r="M598" s="1">
        <v>990741</v>
      </c>
      <c r="N598" s="1">
        <v>28464</v>
      </c>
      <c r="O598" s="1">
        <v>210509.95</v>
      </c>
      <c r="P598" s="1">
        <v>2024</v>
      </c>
      <c r="Q598" s="1" t="s">
        <v>45</v>
      </c>
      <c r="R598" s="1" t="s">
        <v>46</v>
      </c>
    </row>
    <row r="599" spans="1:18" x14ac:dyDescent="0.35">
      <c r="A599" s="3" t="s">
        <v>102</v>
      </c>
      <c r="B599" s="3"/>
      <c r="C599" s="1" t="s">
        <v>19</v>
      </c>
      <c r="D599" s="1" t="s">
        <v>58</v>
      </c>
      <c r="E599" s="1" t="s">
        <v>37</v>
      </c>
      <c r="F599" s="1" t="s">
        <v>22</v>
      </c>
      <c r="G599" s="1" t="s">
        <v>44</v>
      </c>
      <c r="H599" s="2">
        <v>45438</v>
      </c>
      <c r="I599" s="2">
        <v>45477</v>
      </c>
      <c r="J599" s="1">
        <v>48282.74</v>
      </c>
      <c r="K599" s="1">
        <v>0.97599999999999998</v>
      </c>
      <c r="L599" s="1">
        <v>47123.95</v>
      </c>
      <c r="M599" s="1">
        <v>27215</v>
      </c>
      <c r="N599" s="1">
        <v>2527</v>
      </c>
      <c r="O599" s="1">
        <v>88124.85</v>
      </c>
      <c r="P599" s="1">
        <v>2024</v>
      </c>
      <c r="Q599" s="1" t="s">
        <v>45</v>
      </c>
      <c r="R599" s="1" t="s">
        <v>46</v>
      </c>
    </row>
    <row r="600" spans="1:18" x14ac:dyDescent="0.35">
      <c r="A600" s="3" t="s">
        <v>106</v>
      </c>
      <c r="B600" s="3"/>
      <c r="C600" s="1" t="s">
        <v>35</v>
      </c>
      <c r="D600" s="1" t="s">
        <v>69</v>
      </c>
      <c r="E600" s="1" t="s">
        <v>63</v>
      </c>
      <c r="F600" s="1" t="s">
        <v>30</v>
      </c>
      <c r="G600" s="1" t="s">
        <v>49</v>
      </c>
      <c r="H600" s="2">
        <v>45440</v>
      </c>
      <c r="I600" s="2">
        <v>45478</v>
      </c>
      <c r="J600" s="1">
        <v>49621.66</v>
      </c>
      <c r="K600" s="1">
        <v>0.73440000000000005</v>
      </c>
      <c r="L600" s="1">
        <v>36442.15</v>
      </c>
      <c r="M600" s="1">
        <v>558706</v>
      </c>
      <c r="N600" s="1">
        <v>22474</v>
      </c>
      <c r="O600" s="1">
        <v>114632.65</v>
      </c>
      <c r="P600" s="1">
        <v>2024</v>
      </c>
      <c r="Q600" s="1" t="s">
        <v>45</v>
      </c>
      <c r="R600" s="1" t="s">
        <v>46</v>
      </c>
    </row>
    <row r="601" spans="1:18" x14ac:dyDescent="0.35">
      <c r="A601" s="3" t="s">
        <v>96</v>
      </c>
      <c r="B601" s="3"/>
      <c r="C601" s="1" t="s">
        <v>28</v>
      </c>
      <c r="D601" s="1" t="s">
        <v>36</v>
      </c>
      <c r="E601" s="1" t="s">
        <v>43</v>
      </c>
      <c r="F601" s="1" t="s">
        <v>22</v>
      </c>
      <c r="G601" s="1" t="s">
        <v>49</v>
      </c>
      <c r="H601" s="2">
        <v>45442</v>
      </c>
      <c r="I601" s="2">
        <v>45490</v>
      </c>
      <c r="J601" s="1">
        <v>35917.33</v>
      </c>
      <c r="K601" s="1">
        <v>0.56740000000000002</v>
      </c>
      <c r="L601" s="1">
        <v>20379.490000000002</v>
      </c>
      <c r="M601" s="1">
        <v>458443</v>
      </c>
      <c r="N601" s="1">
        <v>30675</v>
      </c>
      <c r="O601" s="1">
        <v>108023.89</v>
      </c>
      <c r="P601" s="1">
        <v>2024</v>
      </c>
      <c r="Q601" s="1" t="s">
        <v>45</v>
      </c>
      <c r="R601" s="1" t="s">
        <v>46</v>
      </c>
    </row>
    <row r="602" spans="1:18" x14ac:dyDescent="0.35">
      <c r="A602" s="3" t="s">
        <v>83</v>
      </c>
      <c r="B602" s="3"/>
      <c r="C602" s="1" t="s">
        <v>28</v>
      </c>
      <c r="D602" s="1" t="s">
        <v>20</v>
      </c>
      <c r="E602" s="1" t="s">
        <v>59</v>
      </c>
      <c r="F602" s="1" t="s">
        <v>22</v>
      </c>
      <c r="G602" s="1" t="s">
        <v>44</v>
      </c>
      <c r="H602" s="2">
        <v>45443</v>
      </c>
      <c r="I602" s="2">
        <v>45499</v>
      </c>
      <c r="J602" s="1">
        <v>15695.54</v>
      </c>
      <c r="K602" s="1">
        <v>0.79949999999999999</v>
      </c>
      <c r="L602" s="1">
        <v>12548.58</v>
      </c>
      <c r="M602" s="1">
        <v>338574</v>
      </c>
      <c r="N602" s="1">
        <v>13212</v>
      </c>
      <c r="O602" s="1">
        <v>106506.99</v>
      </c>
      <c r="P602" s="1">
        <v>2024</v>
      </c>
      <c r="Q602" s="1" t="s">
        <v>45</v>
      </c>
      <c r="R602" s="1" t="s">
        <v>46</v>
      </c>
    </row>
    <row r="603" spans="1:18" x14ac:dyDescent="0.35">
      <c r="A603" s="3" t="s">
        <v>88</v>
      </c>
      <c r="B603" s="3"/>
      <c r="C603" s="1" t="s">
        <v>19</v>
      </c>
      <c r="D603" s="1" t="s">
        <v>20</v>
      </c>
      <c r="E603" s="1" t="s">
        <v>51</v>
      </c>
      <c r="F603" s="1" t="s">
        <v>30</v>
      </c>
      <c r="G603" s="1" t="s">
        <v>49</v>
      </c>
      <c r="H603" s="2">
        <v>45443</v>
      </c>
      <c r="I603" s="2">
        <v>45488</v>
      </c>
      <c r="J603" s="1">
        <v>23585.87</v>
      </c>
      <c r="K603" s="1">
        <v>0.5454</v>
      </c>
      <c r="L603" s="1">
        <v>12863.73</v>
      </c>
      <c r="M603" s="1">
        <v>480888</v>
      </c>
      <c r="N603" s="1">
        <v>9863</v>
      </c>
      <c r="O603" s="1">
        <v>217254.66</v>
      </c>
      <c r="P603" s="1">
        <v>2024</v>
      </c>
      <c r="Q603" s="1" t="s">
        <v>45</v>
      </c>
      <c r="R603" s="1" t="s">
        <v>46</v>
      </c>
    </row>
    <row r="604" spans="1:18" x14ac:dyDescent="0.35">
      <c r="A604" s="3" t="s">
        <v>105</v>
      </c>
      <c r="B604" s="3"/>
      <c r="C604" s="1" t="s">
        <v>28</v>
      </c>
      <c r="D604" s="1" t="s">
        <v>36</v>
      </c>
      <c r="E604" s="1" t="s">
        <v>63</v>
      </c>
      <c r="F604" s="1" t="s">
        <v>30</v>
      </c>
      <c r="G604" s="1" t="s">
        <v>44</v>
      </c>
      <c r="H604" s="2">
        <v>45444</v>
      </c>
      <c r="I604" s="2">
        <v>45488</v>
      </c>
      <c r="J604" s="1">
        <v>37011.480000000003</v>
      </c>
      <c r="K604" s="1">
        <v>0.91479999999999995</v>
      </c>
      <c r="L604" s="1">
        <v>33858.1</v>
      </c>
      <c r="M604" s="1">
        <v>869416</v>
      </c>
      <c r="N604" s="1">
        <v>31688</v>
      </c>
      <c r="O604" s="1">
        <v>9853.7099999999991</v>
      </c>
      <c r="P604" s="1">
        <v>2024</v>
      </c>
      <c r="Q604" s="1" t="s">
        <v>53</v>
      </c>
      <c r="R604" s="1" t="s">
        <v>46</v>
      </c>
    </row>
    <row r="605" spans="1:18" x14ac:dyDescent="0.35">
      <c r="A605" s="3" t="s">
        <v>79</v>
      </c>
      <c r="B605" s="3"/>
      <c r="C605" s="1" t="s">
        <v>19</v>
      </c>
      <c r="D605" s="1" t="s">
        <v>20</v>
      </c>
      <c r="E605" s="1" t="s">
        <v>63</v>
      </c>
      <c r="F605" s="1" t="s">
        <v>30</v>
      </c>
      <c r="G605" s="1" t="s">
        <v>44</v>
      </c>
      <c r="H605" s="2">
        <v>45445</v>
      </c>
      <c r="I605" s="2">
        <v>45469</v>
      </c>
      <c r="J605" s="1">
        <v>18814.419999999998</v>
      </c>
      <c r="K605" s="1">
        <v>0.65790000000000004</v>
      </c>
      <c r="L605" s="1">
        <v>12378.01</v>
      </c>
      <c r="M605" s="1">
        <v>453601</v>
      </c>
      <c r="N605" s="1">
        <v>43233</v>
      </c>
      <c r="O605" s="1">
        <v>5020.96</v>
      </c>
      <c r="P605" s="1">
        <v>2024</v>
      </c>
      <c r="Q605" s="1" t="s">
        <v>53</v>
      </c>
      <c r="R605" s="1" t="s">
        <v>46</v>
      </c>
    </row>
    <row r="606" spans="1:18" x14ac:dyDescent="0.35">
      <c r="A606" s="3" t="s">
        <v>109</v>
      </c>
      <c r="B606" s="3"/>
      <c r="C606" s="1" t="s">
        <v>35</v>
      </c>
      <c r="D606" s="1" t="s">
        <v>36</v>
      </c>
      <c r="E606" s="1" t="s">
        <v>21</v>
      </c>
      <c r="F606" s="1" t="s">
        <v>22</v>
      </c>
      <c r="G606" s="1" t="s">
        <v>44</v>
      </c>
      <c r="H606" s="2">
        <v>45446</v>
      </c>
      <c r="I606" s="2">
        <v>45472</v>
      </c>
      <c r="J606" s="1">
        <v>14529.29</v>
      </c>
      <c r="K606" s="1">
        <v>0.76039999999999996</v>
      </c>
      <c r="L606" s="1">
        <v>11048.07</v>
      </c>
      <c r="M606" s="1">
        <v>547756</v>
      </c>
      <c r="N606" s="1">
        <v>44145</v>
      </c>
      <c r="O606" s="1">
        <v>195376.16</v>
      </c>
      <c r="P606" s="1">
        <v>2024</v>
      </c>
      <c r="Q606" s="1" t="s">
        <v>53</v>
      </c>
      <c r="R606" s="1" t="s">
        <v>46</v>
      </c>
    </row>
    <row r="607" spans="1:18" x14ac:dyDescent="0.35">
      <c r="A607" s="3" t="s">
        <v>66</v>
      </c>
      <c r="B607" s="3"/>
      <c r="C607" s="1" t="s">
        <v>35</v>
      </c>
      <c r="D607" s="1" t="s">
        <v>29</v>
      </c>
      <c r="E607" s="1" t="s">
        <v>43</v>
      </c>
      <c r="F607" s="1" t="s">
        <v>30</v>
      </c>
      <c r="G607" s="1" t="s">
        <v>23</v>
      </c>
      <c r="H607" s="2">
        <v>45446</v>
      </c>
      <c r="I607" s="2">
        <v>45457</v>
      </c>
      <c r="J607" s="1">
        <v>43655.41</v>
      </c>
      <c r="K607" s="1">
        <v>0.36509999999999998</v>
      </c>
      <c r="L607" s="1">
        <v>15938.59</v>
      </c>
      <c r="M607" s="1">
        <v>679987</v>
      </c>
      <c r="N607" s="1">
        <v>33370</v>
      </c>
      <c r="O607" s="1">
        <v>154197.70000000001</v>
      </c>
      <c r="P607" s="1">
        <v>2024</v>
      </c>
      <c r="Q607" s="1" t="s">
        <v>53</v>
      </c>
      <c r="R607" s="1" t="s">
        <v>46</v>
      </c>
    </row>
    <row r="608" spans="1:18" x14ac:dyDescent="0.35">
      <c r="A608" s="3" t="s">
        <v>102</v>
      </c>
      <c r="B608" s="3"/>
      <c r="C608" s="1" t="s">
        <v>19</v>
      </c>
      <c r="D608" s="1" t="s">
        <v>20</v>
      </c>
      <c r="E608" s="1" t="s">
        <v>43</v>
      </c>
      <c r="F608" s="1" t="s">
        <v>30</v>
      </c>
      <c r="G608" s="1" t="s">
        <v>44</v>
      </c>
      <c r="H608" s="2">
        <v>45447</v>
      </c>
      <c r="I608" s="2">
        <v>45498</v>
      </c>
      <c r="J608" s="1">
        <v>29815.96</v>
      </c>
      <c r="K608" s="1">
        <v>1.1343000000000001</v>
      </c>
      <c r="L608" s="1">
        <v>33820.239999999998</v>
      </c>
      <c r="M608" s="1">
        <v>111605</v>
      </c>
      <c r="N608" s="1">
        <v>15321</v>
      </c>
      <c r="O608" s="1">
        <v>77850.39</v>
      </c>
      <c r="P608" s="1">
        <v>2024</v>
      </c>
      <c r="Q608" s="1" t="s">
        <v>53</v>
      </c>
      <c r="R608" s="1" t="s">
        <v>46</v>
      </c>
    </row>
    <row r="609" spans="1:18" x14ac:dyDescent="0.35">
      <c r="A609" s="3" t="s">
        <v>115</v>
      </c>
      <c r="B609" s="3"/>
      <c r="C609" s="1" t="s">
        <v>28</v>
      </c>
      <c r="D609" s="1" t="s">
        <v>29</v>
      </c>
      <c r="E609" s="1" t="s">
        <v>63</v>
      </c>
      <c r="F609" s="1" t="s">
        <v>22</v>
      </c>
      <c r="G609" s="1" t="s">
        <v>49</v>
      </c>
      <c r="H609" s="2">
        <v>45447</v>
      </c>
      <c r="I609" s="2">
        <v>45473</v>
      </c>
      <c r="J609" s="1">
        <v>3604.7</v>
      </c>
      <c r="K609" s="1">
        <v>0.33439999999999998</v>
      </c>
      <c r="L609" s="1">
        <v>1205.4100000000001</v>
      </c>
      <c r="M609" s="1">
        <v>112564</v>
      </c>
      <c r="N609" s="1">
        <v>3320</v>
      </c>
      <c r="O609" s="1">
        <v>163912.32999999999</v>
      </c>
      <c r="P609" s="1">
        <v>2024</v>
      </c>
      <c r="Q609" s="1" t="s">
        <v>53</v>
      </c>
      <c r="R609" s="1" t="s">
        <v>46</v>
      </c>
    </row>
    <row r="610" spans="1:18" x14ac:dyDescent="0.35">
      <c r="A610" s="3" t="s">
        <v>42</v>
      </c>
      <c r="B610" s="3"/>
      <c r="C610" s="1" t="s">
        <v>28</v>
      </c>
      <c r="D610" s="1" t="s">
        <v>58</v>
      </c>
      <c r="E610" s="1" t="s">
        <v>37</v>
      </c>
      <c r="F610" s="1" t="s">
        <v>22</v>
      </c>
      <c r="G610" s="1" t="s">
        <v>52</v>
      </c>
      <c r="H610" s="2">
        <v>45451</v>
      </c>
      <c r="I610" s="2">
        <v>45462</v>
      </c>
      <c r="J610" s="1">
        <v>40965.589999999997</v>
      </c>
      <c r="K610" s="1">
        <v>0.39400000000000002</v>
      </c>
      <c r="L610" s="1">
        <v>16140.44</v>
      </c>
      <c r="M610" s="1">
        <v>667233</v>
      </c>
      <c r="N610" s="1">
        <v>12522</v>
      </c>
      <c r="O610" s="1">
        <v>158044.97</v>
      </c>
      <c r="P610" s="1">
        <v>2024</v>
      </c>
      <c r="Q610" s="1" t="s">
        <v>53</v>
      </c>
      <c r="R610" s="1" t="s">
        <v>46</v>
      </c>
    </row>
    <row r="611" spans="1:18" x14ac:dyDescent="0.35">
      <c r="A611" s="3" t="s">
        <v>42</v>
      </c>
      <c r="B611" s="3"/>
      <c r="C611" s="1" t="s">
        <v>28</v>
      </c>
      <c r="D611" s="1" t="s">
        <v>20</v>
      </c>
      <c r="E611" s="1" t="s">
        <v>51</v>
      </c>
      <c r="F611" s="1" t="s">
        <v>30</v>
      </c>
      <c r="G611" s="1" t="s">
        <v>44</v>
      </c>
      <c r="H611" s="2">
        <v>45452</v>
      </c>
      <c r="I611" s="2">
        <v>45478</v>
      </c>
      <c r="J611" s="1">
        <v>48690.32</v>
      </c>
      <c r="K611" s="1">
        <v>0.81499999999999995</v>
      </c>
      <c r="L611" s="1">
        <v>39682.61</v>
      </c>
      <c r="M611" s="1">
        <v>689068</v>
      </c>
      <c r="N611" s="1">
        <v>45073</v>
      </c>
      <c r="O611" s="1">
        <v>179840.69</v>
      </c>
      <c r="P611" s="1">
        <v>2024</v>
      </c>
      <c r="Q611" s="1" t="s">
        <v>53</v>
      </c>
      <c r="R611" s="1" t="s">
        <v>46</v>
      </c>
    </row>
    <row r="612" spans="1:18" x14ac:dyDescent="0.35">
      <c r="A612" s="3" t="s">
        <v>96</v>
      </c>
      <c r="B612" s="3"/>
      <c r="C612" s="1" t="s">
        <v>48</v>
      </c>
      <c r="D612" s="1" t="s">
        <v>69</v>
      </c>
      <c r="E612" s="1" t="s">
        <v>59</v>
      </c>
      <c r="F612" s="1" t="s">
        <v>22</v>
      </c>
      <c r="G612" s="1" t="s">
        <v>31</v>
      </c>
      <c r="H612" s="2">
        <v>45454</v>
      </c>
      <c r="I612" s="2">
        <v>45466</v>
      </c>
      <c r="J612" s="1">
        <v>4472.12</v>
      </c>
      <c r="K612" s="1">
        <v>0.28999999999999998</v>
      </c>
      <c r="L612" s="1">
        <v>1296.9100000000001</v>
      </c>
      <c r="M612" s="1">
        <v>476428</v>
      </c>
      <c r="N612" s="1">
        <v>38943</v>
      </c>
      <c r="O612" s="1">
        <v>147041.64000000001</v>
      </c>
      <c r="P612" s="1">
        <v>2024</v>
      </c>
      <c r="Q612" s="1" t="s">
        <v>53</v>
      </c>
      <c r="R612" s="1" t="s">
        <v>46</v>
      </c>
    </row>
    <row r="613" spans="1:18" x14ac:dyDescent="0.35">
      <c r="A613" s="3" t="s">
        <v>86</v>
      </c>
      <c r="B613" s="3"/>
      <c r="C613" s="1" t="s">
        <v>35</v>
      </c>
      <c r="D613" s="1" t="s">
        <v>29</v>
      </c>
      <c r="E613" s="1" t="s">
        <v>59</v>
      </c>
      <c r="F613" s="1" t="s">
        <v>22</v>
      </c>
      <c r="G613" s="1" t="s">
        <v>52</v>
      </c>
      <c r="H613" s="2">
        <v>45457</v>
      </c>
      <c r="I613" s="2">
        <v>45494</v>
      </c>
      <c r="J613" s="1">
        <v>38287.089999999997</v>
      </c>
      <c r="K613" s="1">
        <v>0.26740000000000003</v>
      </c>
      <c r="L613" s="1">
        <v>10237.969999999999</v>
      </c>
      <c r="M613" s="1">
        <v>392615</v>
      </c>
      <c r="N613" s="1">
        <v>7622</v>
      </c>
      <c r="O613" s="1">
        <v>225150.23</v>
      </c>
      <c r="P613" s="1">
        <v>2024</v>
      </c>
      <c r="Q613" s="1" t="s">
        <v>53</v>
      </c>
      <c r="R613" s="1" t="s">
        <v>46</v>
      </c>
    </row>
    <row r="614" spans="1:18" x14ac:dyDescent="0.35">
      <c r="A614" s="3" t="s">
        <v>34</v>
      </c>
      <c r="B614" s="3"/>
      <c r="C614" s="1" t="s">
        <v>48</v>
      </c>
      <c r="D614" s="1" t="s">
        <v>36</v>
      </c>
      <c r="E614" s="1" t="s">
        <v>59</v>
      </c>
      <c r="F614" s="1" t="s">
        <v>30</v>
      </c>
      <c r="G614" s="1" t="s">
        <v>52</v>
      </c>
      <c r="H614" s="2">
        <v>45458</v>
      </c>
      <c r="I614" s="2">
        <v>45516</v>
      </c>
      <c r="J614" s="1">
        <v>29651.360000000001</v>
      </c>
      <c r="K614" s="1">
        <v>0.85940000000000005</v>
      </c>
      <c r="L614" s="1">
        <v>25482.38</v>
      </c>
      <c r="M614" s="1">
        <v>838446</v>
      </c>
      <c r="N614" s="1">
        <v>42809</v>
      </c>
      <c r="O614" s="1">
        <v>35401.89</v>
      </c>
      <c r="P614" s="1">
        <v>2024</v>
      </c>
      <c r="Q614" s="1" t="s">
        <v>53</v>
      </c>
      <c r="R614" s="1" t="s">
        <v>46</v>
      </c>
    </row>
    <row r="615" spans="1:18" x14ac:dyDescent="0.35">
      <c r="A615" s="3" t="s">
        <v>99</v>
      </c>
      <c r="B615" s="3"/>
      <c r="C615" s="1" t="s">
        <v>35</v>
      </c>
      <c r="D615" s="1" t="s">
        <v>20</v>
      </c>
      <c r="E615" s="1" t="s">
        <v>43</v>
      </c>
      <c r="F615" s="1" t="s">
        <v>22</v>
      </c>
      <c r="G615" s="1" t="s">
        <v>44</v>
      </c>
      <c r="H615" s="2">
        <v>45458</v>
      </c>
      <c r="I615" s="2">
        <v>45481</v>
      </c>
      <c r="J615" s="1">
        <v>42450.75</v>
      </c>
      <c r="K615" s="1">
        <v>0.30819999999999997</v>
      </c>
      <c r="L615" s="1">
        <v>13083.32</v>
      </c>
      <c r="M615" s="1">
        <v>675905</v>
      </c>
      <c r="N615" s="1">
        <v>36199</v>
      </c>
      <c r="O615" s="1">
        <v>72240.5</v>
      </c>
      <c r="P615" s="1">
        <v>2024</v>
      </c>
      <c r="Q615" s="1" t="s">
        <v>53</v>
      </c>
      <c r="R615" s="1" t="s">
        <v>46</v>
      </c>
    </row>
    <row r="616" spans="1:18" x14ac:dyDescent="0.35">
      <c r="A616" s="3" t="s">
        <v>120</v>
      </c>
      <c r="B616" s="3"/>
      <c r="C616" s="1" t="s">
        <v>19</v>
      </c>
      <c r="D616" s="1" t="s">
        <v>36</v>
      </c>
      <c r="E616" s="1" t="s">
        <v>21</v>
      </c>
      <c r="F616" s="1" t="s">
        <v>22</v>
      </c>
      <c r="G616" s="1" t="s">
        <v>44</v>
      </c>
      <c r="H616" s="2">
        <v>45459</v>
      </c>
      <c r="I616" s="2">
        <v>45485</v>
      </c>
      <c r="J616" s="1">
        <v>34208.19</v>
      </c>
      <c r="K616" s="1">
        <v>1.1919</v>
      </c>
      <c r="L616" s="1">
        <v>40772.74</v>
      </c>
      <c r="M616" s="1">
        <v>338487</v>
      </c>
      <c r="N616" s="1">
        <v>35988</v>
      </c>
      <c r="O616" s="1">
        <v>7591.61</v>
      </c>
      <c r="P616" s="1">
        <v>2024</v>
      </c>
      <c r="Q616" s="1" t="s">
        <v>53</v>
      </c>
      <c r="R616" s="1" t="s">
        <v>46</v>
      </c>
    </row>
    <row r="617" spans="1:18" x14ac:dyDescent="0.35">
      <c r="A617" s="3" t="s">
        <v>94</v>
      </c>
      <c r="B617" s="3"/>
      <c r="C617" s="1" t="s">
        <v>48</v>
      </c>
      <c r="D617" s="1" t="s">
        <v>58</v>
      </c>
      <c r="E617" s="1" t="s">
        <v>51</v>
      </c>
      <c r="F617" s="1" t="s">
        <v>30</v>
      </c>
      <c r="G617" s="1" t="s">
        <v>31</v>
      </c>
      <c r="H617" s="2">
        <v>45459</v>
      </c>
      <c r="I617" s="2">
        <v>45464</v>
      </c>
      <c r="J617" s="1">
        <v>19376.46</v>
      </c>
      <c r="K617" s="1">
        <v>0.25440000000000002</v>
      </c>
      <c r="L617" s="1">
        <v>4929.37</v>
      </c>
      <c r="M617" s="1">
        <v>853356</v>
      </c>
      <c r="N617" s="1">
        <v>20802</v>
      </c>
      <c r="O617" s="1">
        <v>105167.03999999999</v>
      </c>
      <c r="P617" s="1">
        <v>2024</v>
      </c>
      <c r="Q617" s="1" t="s">
        <v>53</v>
      </c>
      <c r="R617" s="1" t="s">
        <v>46</v>
      </c>
    </row>
    <row r="618" spans="1:18" x14ac:dyDescent="0.35">
      <c r="A618" s="3" t="s">
        <v>98</v>
      </c>
      <c r="B618" s="3"/>
      <c r="C618" s="1" t="s">
        <v>35</v>
      </c>
      <c r="D618" s="1" t="s">
        <v>36</v>
      </c>
      <c r="E618" s="1" t="s">
        <v>51</v>
      </c>
      <c r="F618" s="1" t="s">
        <v>22</v>
      </c>
      <c r="G618" s="1" t="s">
        <v>23</v>
      </c>
      <c r="H618" s="2">
        <v>45460</v>
      </c>
      <c r="I618" s="2">
        <v>45495</v>
      </c>
      <c r="J618" s="1">
        <v>18066.71</v>
      </c>
      <c r="K618" s="1">
        <v>0.12620000000000001</v>
      </c>
      <c r="L618" s="1">
        <v>2280.02</v>
      </c>
      <c r="M618" s="1">
        <v>767065</v>
      </c>
      <c r="N618" s="1">
        <v>45763</v>
      </c>
      <c r="O618" s="1">
        <v>115849.56</v>
      </c>
      <c r="P618" s="1">
        <v>2024</v>
      </c>
      <c r="Q618" s="1" t="s">
        <v>53</v>
      </c>
      <c r="R618" s="1" t="s">
        <v>46</v>
      </c>
    </row>
    <row r="619" spans="1:18" x14ac:dyDescent="0.35">
      <c r="A619" s="3" t="s">
        <v>67</v>
      </c>
      <c r="B619" s="3"/>
      <c r="C619" s="1" t="s">
        <v>35</v>
      </c>
      <c r="D619" s="1" t="s">
        <v>58</v>
      </c>
      <c r="E619" s="1" t="s">
        <v>43</v>
      </c>
      <c r="F619" s="1" t="s">
        <v>22</v>
      </c>
      <c r="G619" s="1" t="s">
        <v>23</v>
      </c>
      <c r="H619" s="2">
        <v>45460</v>
      </c>
      <c r="I619" s="2">
        <v>45486</v>
      </c>
      <c r="J619" s="1">
        <v>38095.269999999997</v>
      </c>
      <c r="K619" s="1">
        <v>0.20039999999999999</v>
      </c>
      <c r="L619" s="1">
        <v>7634.29</v>
      </c>
      <c r="M619" s="1">
        <v>39246</v>
      </c>
      <c r="N619" s="1">
        <v>35485</v>
      </c>
      <c r="O619" s="1">
        <v>150163.38</v>
      </c>
      <c r="P619" s="1">
        <v>2024</v>
      </c>
      <c r="Q619" s="1" t="s">
        <v>53</v>
      </c>
      <c r="R619" s="1" t="s">
        <v>46</v>
      </c>
    </row>
    <row r="620" spans="1:18" x14ac:dyDescent="0.35">
      <c r="A620" s="3" t="s">
        <v>75</v>
      </c>
      <c r="B620" s="3"/>
      <c r="C620" s="1" t="s">
        <v>19</v>
      </c>
      <c r="D620" s="1" t="s">
        <v>20</v>
      </c>
      <c r="E620" s="1" t="s">
        <v>21</v>
      </c>
      <c r="F620" s="1" t="s">
        <v>30</v>
      </c>
      <c r="G620" s="1" t="s">
        <v>23</v>
      </c>
      <c r="H620" s="2">
        <v>45460</v>
      </c>
      <c r="I620" s="2">
        <v>45471</v>
      </c>
      <c r="J620" s="1">
        <v>23128.87</v>
      </c>
      <c r="K620" s="1">
        <v>0.99409999999999998</v>
      </c>
      <c r="L620" s="1">
        <v>22992.41</v>
      </c>
      <c r="M620" s="1">
        <v>54476</v>
      </c>
      <c r="N620" s="1">
        <v>16203</v>
      </c>
      <c r="O620" s="1">
        <v>132082.15</v>
      </c>
      <c r="P620" s="1">
        <v>2024</v>
      </c>
      <c r="Q620" s="1" t="s">
        <v>53</v>
      </c>
      <c r="R620" s="1" t="s">
        <v>46</v>
      </c>
    </row>
    <row r="621" spans="1:18" x14ac:dyDescent="0.35">
      <c r="A621" s="3" t="s">
        <v>115</v>
      </c>
      <c r="B621" s="3"/>
      <c r="C621" s="1" t="s">
        <v>28</v>
      </c>
      <c r="D621" s="1" t="s">
        <v>29</v>
      </c>
      <c r="E621" s="1" t="s">
        <v>37</v>
      </c>
      <c r="F621" s="1" t="s">
        <v>38</v>
      </c>
      <c r="G621" s="1" t="s">
        <v>31</v>
      </c>
      <c r="H621" s="2">
        <v>45461</v>
      </c>
      <c r="I621" s="2">
        <v>45499</v>
      </c>
      <c r="J621" s="1">
        <v>12785.65</v>
      </c>
      <c r="K621" s="1">
        <v>0.57869999999999999</v>
      </c>
      <c r="L621" s="1">
        <v>7399.06</v>
      </c>
      <c r="M621" s="1">
        <v>523911</v>
      </c>
      <c r="N621" s="1">
        <v>18485</v>
      </c>
      <c r="O621" s="1">
        <v>83868.28</v>
      </c>
      <c r="P621" s="1">
        <v>2024</v>
      </c>
      <c r="Q621" s="1" t="s">
        <v>53</v>
      </c>
      <c r="R621" s="1" t="s">
        <v>46</v>
      </c>
    </row>
    <row r="622" spans="1:18" x14ac:dyDescent="0.35">
      <c r="A622" s="3" t="s">
        <v>118</v>
      </c>
      <c r="B622" s="3"/>
      <c r="C622" s="1" t="s">
        <v>19</v>
      </c>
      <c r="D622" s="1" t="s">
        <v>58</v>
      </c>
      <c r="E622" s="1" t="s">
        <v>63</v>
      </c>
      <c r="F622" s="1" t="s">
        <v>38</v>
      </c>
      <c r="G622" s="1" t="s">
        <v>49</v>
      </c>
      <c r="H622" s="2">
        <v>45463</v>
      </c>
      <c r="I622" s="2">
        <v>45508</v>
      </c>
      <c r="J622" s="1">
        <v>32336.880000000001</v>
      </c>
      <c r="K622" s="1">
        <v>0.3785</v>
      </c>
      <c r="L622" s="1">
        <v>12239.51</v>
      </c>
      <c r="M622" s="1">
        <v>374032</v>
      </c>
      <c r="N622" s="1">
        <v>31665</v>
      </c>
      <c r="O622" s="1">
        <v>137218.69</v>
      </c>
      <c r="P622" s="1">
        <v>2024</v>
      </c>
      <c r="Q622" s="1" t="s">
        <v>53</v>
      </c>
      <c r="R622" s="1" t="s">
        <v>46</v>
      </c>
    </row>
    <row r="623" spans="1:18" x14ac:dyDescent="0.35">
      <c r="A623" s="3" t="s">
        <v>115</v>
      </c>
      <c r="B623" s="3"/>
      <c r="C623" s="1" t="s">
        <v>19</v>
      </c>
      <c r="D623" s="1" t="s">
        <v>58</v>
      </c>
      <c r="E623" s="1" t="s">
        <v>51</v>
      </c>
      <c r="F623" s="1" t="s">
        <v>30</v>
      </c>
      <c r="G623" s="1" t="s">
        <v>44</v>
      </c>
      <c r="H623" s="2">
        <v>45466</v>
      </c>
      <c r="I623" s="2">
        <v>45497</v>
      </c>
      <c r="J623" s="1">
        <v>26707.66</v>
      </c>
      <c r="K623" s="1">
        <v>0.83799999999999997</v>
      </c>
      <c r="L623" s="1">
        <v>22381.02</v>
      </c>
      <c r="M623" s="1">
        <v>651784</v>
      </c>
      <c r="N623" s="1">
        <v>3913</v>
      </c>
      <c r="O623" s="1">
        <v>31779.05</v>
      </c>
      <c r="P623" s="1">
        <v>2024</v>
      </c>
      <c r="Q623" s="1" t="s">
        <v>53</v>
      </c>
      <c r="R623" s="1" t="s">
        <v>46</v>
      </c>
    </row>
    <row r="624" spans="1:18" x14ac:dyDescent="0.35">
      <c r="A624" s="3" t="s">
        <v>115</v>
      </c>
      <c r="B624" s="3"/>
      <c r="C624" s="1" t="s">
        <v>19</v>
      </c>
      <c r="D624" s="1" t="s">
        <v>29</v>
      </c>
      <c r="E624" s="1" t="s">
        <v>43</v>
      </c>
      <c r="F624" s="1" t="s">
        <v>30</v>
      </c>
      <c r="G624" s="1" t="s">
        <v>49</v>
      </c>
      <c r="H624" s="2">
        <v>45468</v>
      </c>
      <c r="I624" s="2">
        <v>45486</v>
      </c>
      <c r="J624" s="1">
        <v>36074.769999999997</v>
      </c>
      <c r="K624" s="1">
        <v>1.1575</v>
      </c>
      <c r="L624" s="1">
        <v>41756.550000000003</v>
      </c>
      <c r="M624" s="1">
        <v>190117</v>
      </c>
      <c r="N624" s="1">
        <v>49515</v>
      </c>
      <c r="O624" s="1">
        <v>136595.99</v>
      </c>
      <c r="P624" s="1">
        <v>2024</v>
      </c>
      <c r="Q624" s="1" t="s">
        <v>53</v>
      </c>
      <c r="R624" s="1" t="s">
        <v>46</v>
      </c>
    </row>
    <row r="625" spans="1:18" x14ac:dyDescent="0.35">
      <c r="A625" s="3" t="s">
        <v>79</v>
      </c>
      <c r="B625" s="3"/>
      <c r="C625" s="1" t="s">
        <v>28</v>
      </c>
      <c r="D625" s="1" t="s">
        <v>20</v>
      </c>
      <c r="E625" s="1" t="s">
        <v>21</v>
      </c>
      <c r="F625" s="1" t="s">
        <v>30</v>
      </c>
      <c r="G625" s="1" t="s">
        <v>49</v>
      </c>
      <c r="H625" s="2">
        <v>45468</v>
      </c>
      <c r="I625" s="2">
        <v>45481</v>
      </c>
      <c r="J625" s="1">
        <v>36665.050000000003</v>
      </c>
      <c r="K625" s="1">
        <v>0.27500000000000002</v>
      </c>
      <c r="L625" s="1">
        <v>10082.89</v>
      </c>
      <c r="M625" s="1">
        <v>13642</v>
      </c>
      <c r="N625" s="1">
        <v>49656</v>
      </c>
      <c r="O625" s="1">
        <v>10570.16</v>
      </c>
      <c r="P625" s="1">
        <v>2024</v>
      </c>
      <c r="Q625" s="1" t="s">
        <v>53</v>
      </c>
      <c r="R625" s="1" t="s">
        <v>46</v>
      </c>
    </row>
    <row r="626" spans="1:18" x14ac:dyDescent="0.35">
      <c r="A626" s="3" t="s">
        <v>99</v>
      </c>
      <c r="B626" s="3"/>
      <c r="C626" s="1" t="s">
        <v>48</v>
      </c>
      <c r="D626" s="1" t="s">
        <v>58</v>
      </c>
      <c r="E626" s="1" t="s">
        <v>43</v>
      </c>
      <c r="F626" s="1" t="s">
        <v>30</v>
      </c>
      <c r="G626" s="1" t="s">
        <v>49</v>
      </c>
      <c r="H626" s="2">
        <v>45470</v>
      </c>
      <c r="I626" s="2">
        <v>45511</v>
      </c>
      <c r="J626" s="1">
        <v>1415.26</v>
      </c>
      <c r="K626" s="1">
        <v>0.78349999999999997</v>
      </c>
      <c r="L626" s="1">
        <v>1108.8599999999999</v>
      </c>
      <c r="M626" s="1">
        <v>471477</v>
      </c>
      <c r="N626" s="1">
        <v>23115</v>
      </c>
      <c r="O626" s="1">
        <v>181995.85</v>
      </c>
      <c r="P626" s="1">
        <v>2024</v>
      </c>
      <c r="Q626" s="1" t="s">
        <v>53</v>
      </c>
      <c r="R626" s="1" t="s">
        <v>46</v>
      </c>
    </row>
    <row r="627" spans="1:18" x14ac:dyDescent="0.35">
      <c r="A627" s="3" t="s">
        <v>71</v>
      </c>
      <c r="B627" s="3"/>
      <c r="C627" s="1" t="s">
        <v>48</v>
      </c>
      <c r="D627" s="1" t="s">
        <v>36</v>
      </c>
      <c r="E627" s="1" t="s">
        <v>43</v>
      </c>
      <c r="F627" s="1" t="s">
        <v>38</v>
      </c>
      <c r="G627" s="1" t="s">
        <v>23</v>
      </c>
      <c r="H627" s="2">
        <v>45470</v>
      </c>
      <c r="I627" s="2">
        <v>45477</v>
      </c>
      <c r="J627" s="1">
        <v>15532.91</v>
      </c>
      <c r="K627" s="1">
        <v>0.90590000000000004</v>
      </c>
      <c r="L627" s="1">
        <v>14071.26</v>
      </c>
      <c r="M627" s="1">
        <v>741963</v>
      </c>
      <c r="N627" s="1">
        <v>40240</v>
      </c>
      <c r="O627" s="1">
        <v>137896.6</v>
      </c>
      <c r="P627" s="1">
        <v>2024</v>
      </c>
      <c r="Q627" s="1" t="s">
        <v>53</v>
      </c>
      <c r="R627" s="1" t="s">
        <v>46</v>
      </c>
    </row>
    <row r="628" spans="1:18" x14ac:dyDescent="0.35">
      <c r="A628" s="3" t="s">
        <v>117</v>
      </c>
      <c r="B628" s="3"/>
      <c r="C628" s="1" t="s">
        <v>28</v>
      </c>
      <c r="D628" s="1" t="s">
        <v>36</v>
      </c>
      <c r="E628" s="1" t="s">
        <v>63</v>
      </c>
      <c r="F628" s="1" t="s">
        <v>22</v>
      </c>
      <c r="G628" s="1" t="s">
        <v>44</v>
      </c>
      <c r="H628" s="2">
        <v>45472</v>
      </c>
      <c r="I628" s="2">
        <v>45506</v>
      </c>
      <c r="J628" s="1">
        <v>20640.009999999998</v>
      </c>
      <c r="K628" s="1">
        <v>0.502</v>
      </c>
      <c r="L628" s="1">
        <v>10361.290000000001</v>
      </c>
      <c r="M628" s="1">
        <v>661034</v>
      </c>
      <c r="N628" s="1">
        <v>16070</v>
      </c>
      <c r="O628" s="1">
        <v>139247.51</v>
      </c>
      <c r="P628" s="1">
        <v>2024</v>
      </c>
      <c r="Q628" s="1" t="s">
        <v>53</v>
      </c>
      <c r="R628" s="1" t="s">
        <v>46</v>
      </c>
    </row>
    <row r="629" spans="1:18" x14ac:dyDescent="0.35">
      <c r="A629" s="3" t="s">
        <v>96</v>
      </c>
      <c r="B629" s="3"/>
      <c r="C629" s="1" t="s">
        <v>28</v>
      </c>
      <c r="D629" s="1" t="s">
        <v>36</v>
      </c>
      <c r="E629" s="1" t="s">
        <v>21</v>
      </c>
      <c r="F629" s="1" t="s">
        <v>38</v>
      </c>
      <c r="G629" s="1" t="s">
        <v>49</v>
      </c>
      <c r="H629" s="2">
        <v>45472</v>
      </c>
      <c r="I629" s="2">
        <v>45504</v>
      </c>
      <c r="J629" s="1">
        <v>33414.550000000003</v>
      </c>
      <c r="K629" s="1">
        <v>9.2100000000000001E-2</v>
      </c>
      <c r="L629" s="1">
        <v>3077.48</v>
      </c>
      <c r="M629" s="1">
        <v>688998</v>
      </c>
      <c r="N629" s="1">
        <v>22462</v>
      </c>
      <c r="O629" s="1">
        <v>8099.78</v>
      </c>
      <c r="P629" s="1">
        <v>2024</v>
      </c>
      <c r="Q629" s="1" t="s">
        <v>53</v>
      </c>
      <c r="R629" s="1" t="s">
        <v>46</v>
      </c>
    </row>
    <row r="630" spans="1:18" x14ac:dyDescent="0.35">
      <c r="A630" s="3" t="s">
        <v>103</v>
      </c>
      <c r="B630" s="3"/>
      <c r="C630" s="1" t="s">
        <v>35</v>
      </c>
      <c r="D630" s="1" t="s">
        <v>69</v>
      </c>
      <c r="E630" s="1" t="s">
        <v>37</v>
      </c>
      <c r="F630" s="1" t="s">
        <v>22</v>
      </c>
      <c r="G630" s="1" t="s">
        <v>31</v>
      </c>
      <c r="H630" s="2">
        <v>45474</v>
      </c>
      <c r="I630" s="2">
        <v>45534</v>
      </c>
      <c r="J630" s="1">
        <v>12582.71</v>
      </c>
      <c r="K630" s="1">
        <v>0.53649999999999998</v>
      </c>
      <c r="L630" s="1">
        <v>6750.62</v>
      </c>
      <c r="M630" s="1">
        <v>18248</v>
      </c>
      <c r="N630" s="1">
        <v>25854</v>
      </c>
      <c r="O630" s="1">
        <v>232239.31</v>
      </c>
      <c r="P630" s="1">
        <v>2024</v>
      </c>
      <c r="Q630" s="1" t="s">
        <v>80</v>
      </c>
      <c r="R630" s="1" t="s">
        <v>33</v>
      </c>
    </row>
    <row r="631" spans="1:18" x14ac:dyDescent="0.35">
      <c r="A631" s="3" t="s">
        <v>111</v>
      </c>
      <c r="B631" s="3"/>
      <c r="C631" s="1" t="s">
        <v>19</v>
      </c>
      <c r="D631" s="1" t="s">
        <v>36</v>
      </c>
      <c r="E631" s="1" t="s">
        <v>59</v>
      </c>
      <c r="F631" s="1" t="s">
        <v>30</v>
      </c>
      <c r="G631" s="1" t="s">
        <v>31</v>
      </c>
      <c r="H631" s="2">
        <v>45474</v>
      </c>
      <c r="I631" s="2">
        <v>45511</v>
      </c>
      <c r="J631" s="1">
        <v>46251.29</v>
      </c>
      <c r="K631" s="1">
        <v>1.0448999999999999</v>
      </c>
      <c r="L631" s="1">
        <v>48327.97</v>
      </c>
      <c r="M631" s="1">
        <v>448620</v>
      </c>
      <c r="N631" s="1">
        <v>35728</v>
      </c>
      <c r="O631" s="1">
        <v>14007.47</v>
      </c>
      <c r="P631" s="1">
        <v>2024</v>
      </c>
      <c r="Q631" s="1" t="s">
        <v>80</v>
      </c>
      <c r="R631" s="1" t="s">
        <v>33</v>
      </c>
    </row>
    <row r="632" spans="1:18" x14ac:dyDescent="0.35">
      <c r="A632" s="3" t="s">
        <v>89</v>
      </c>
      <c r="B632" s="3"/>
      <c r="C632" s="1" t="s">
        <v>19</v>
      </c>
      <c r="D632" s="1" t="s">
        <v>69</v>
      </c>
      <c r="E632" s="1" t="s">
        <v>43</v>
      </c>
      <c r="F632" s="1" t="s">
        <v>22</v>
      </c>
      <c r="G632" s="1" t="s">
        <v>31</v>
      </c>
      <c r="H632" s="2">
        <v>45474</v>
      </c>
      <c r="I632" s="2">
        <v>45479</v>
      </c>
      <c r="J632" s="1">
        <v>32429.71</v>
      </c>
      <c r="K632" s="1">
        <v>0.74580000000000002</v>
      </c>
      <c r="L632" s="1">
        <v>24186.080000000002</v>
      </c>
      <c r="M632" s="1">
        <v>802682</v>
      </c>
      <c r="N632" s="1">
        <v>48986</v>
      </c>
      <c r="O632" s="1">
        <v>148473.96</v>
      </c>
      <c r="P632" s="1">
        <v>2024</v>
      </c>
      <c r="Q632" s="1" t="s">
        <v>80</v>
      </c>
      <c r="R632" s="1" t="s">
        <v>33</v>
      </c>
    </row>
    <row r="633" spans="1:18" x14ac:dyDescent="0.35">
      <c r="A633" s="3" t="s">
        <v>78</v>
      </c>
      <c r="B633" s="3"/>
      <c r="C633" s="1" t="s">
        <v>28</v>
      </c>
      <c r="D633" s="1" t="s">
        <v>36</v>
      </c>
      <c r="E633" s="1" t="s">
        <v>43</v>
      </c>
      <c r="F633" s="1" t="s">
        <v>30</v>
      </c>
      <c r="G633" s="1" t="s">
        <v>44</v>
      </c>
      <c r="H633" s="2">
        <v>45475</v>
      </c>
      <c r="I633" s="2">
        <v>45523</v>
      </c>
      <c r="J633" s="1">
        <v>43477.81</v>
      </c>
      <c r="K633" s="1">
        <v>0.57499999999999996</v>
      </c>
      <c r="L633" s="1">
        <v>24999.74</v>
      </c>
      <c r="M633" s="1">
        <v>934481</v>
      </c>
      <c r="N633" s="1">
        <v>15543</v>
      </c>
      <c r="O633" s="1">
        <v>121684.26</v>
      </c>
      <c r="P633" s="1">
        <v>2024</v>
      </c>
      <c r="Q633" s="1" t="s">
        <v>80</v>
      </c>
      <c r="R633" s="1" t="s">
        <v>33</v>
      </c>
    </row>
    <row r="634" spans="1:18" x14ac:dyDescent="0.35">
      <c r="A634" s="3" t="s">
        <v>82</v>
      </c>
      <c r="B634" s="3"/>
      <c r="C634" s="1" t="s">
        <v>28</v>
      </c>
      <c r="D634" s="1" t="s">
        <v>69</v>
      </c>
      <c r="E634" s="1" t="s">
        <v>63</v>
      </c>
      <c r="F634" s="1" t="s">
        <v>22</v>
      </c>
      <c r="G634" s="1" t="s">
        <v>44</v>
      </c>
      <c r="H634" s="2">
        <v>45478</v>
      </c>
      <c r="I634" s="2">
        <v>45529</v>
      </c>
      <c r="J634" s="1">
        <v>6940.88</v>
      </c>
      <c r="K634" s="1">
        <v>1.0553999999999999</v>
      </c>
      <c r="L634" s="1">
        <v>7325.4</v>
      </c>
      <c r="M634" s="1">
        <v>846979</v>
      </c>
      <c r="N634" s="1">
        <v>3470</v>
      </c>
      <c r="O634" s="1">
        <v>153739.99</v>
      </c>
      <c r="P634" s="1">
        <v>2024</v>
      </c>
      <c r="Q634" s="1" t="s">
        <v>80</v>
      </c>
      <c r="R634" s="1" t="s">
        <v>33</v>
      </c>
    </row>
    <row r="635" spans="1:18" x14ac:dyDescent="0.35">
      <c r="A635" s="3" t="s">
        <v>105</v>
      </c>
      <c r="B635" s="3"/>
      <c r="C635" s="1" t="s">
        <v>19</v>
      </c>
      <c r="D635" s="1" t="s">
        <v>36</v>
      </c>
      <c r="E635" s="1" t="s">
        <v>21</v>
      </c>
      <c r="F635" s="1" t="s">
        <v>38</v>
      </c>
      <c r="G635" s="1" t="s">
        <v>52</v>
      </c>
      <c r="H635" s="2">
        <v>45480</v>
      </c>
      <c r="I635" s="2">
        <v>45513</v>
      </c>
      <c r="J635" s="1">
        <v>3485.58</v>
      </c>
      <c r="K635" s="1">
        <v>4.4499999999999998E-2</v>
      </c>
      <c r="L635" s="1">
        <v>155.11000000000001</v>
      </c>
      <c r="M635" s="1">
        <v>957170</v>
      </c>
      <c r="N635" s="1">
        <v>44369</v>
      </c>
      <c r="O635" s="1">
        <v>17361.72</v>
      </c>
      <c r="P635" s="1">
        <v>2024</v>
      </c>
      <c r="Q635" s="1" t="s">
        <v>80</v>
      </c>
      <c r="R635" s="1" t="s">
        <v>33</v>
      </c>
    </row>
    <row r="636" spans="1:18" x14ac:dyDescent="0.35">
      <c r="A636" s="3" t="s">
        <v>82</v>
      </c>
      <c r="B636" s="3"/>
      <c r="C636" s="1" t="s">
        <v>28</v>
      </c>
      <c r="D636" s="1" t="s">
        <v>69</v>
      </c>
      <c r="E636" s="1" t="s">
        <v>37</v>
      </c>
      <c r="F636" s="1" t="s">
        <v>22</v>
      </c>
      <c r="G636" s="1" t="s">
        <v>44</v>
      </c>
      <c r="H636" s="2">
        <v>45481</v>
      </c>
      <c r="I636" s="2">
        <v>45508</v>
      </c>
      <c r="J636" s="1">
        <v>32161.15</v>
      </c>
      <c r="K636" s="1">
        <v>0.83520000000000005</v>
      </c>
      <c r="L636" s="1">
        <v>26860.99</v>
      </c>
      <c r="M636" s="1">
        <v>20060</v>
      </c>
      <c r="N636" s="1">
        <v>22055</v>
      </c>
      <c r="O636" s="1">
        <v>5358.2</v>
      </c>
      <c r="P636" s="1">
        <v>2024</v>
      </c>
      <c r="Q636" s="1" t="s">
        <v>80</v>
      </c>
      <c r="R636" s="1" t="s">
        <v>33</v>
      </c>
    </row>
    <row r="637" spans="1:18" x14ac:dyDescent="0.35">
      <c r="A637" s="3" t="s">
        <v>96</v>
      </c>
      <c r="B637" s="3"/>
      <c r="C637" s="1" t="s">
        <v>48</v>
      </c>
      <c r="D637" s="1" t="s">
        <v>36</v>
      </c>
      <c r="E637" s="1" t="s">
        <v>43</v>
      </c>
      <c r="F637" s="1" t="s">
        <v>38</v>
      </c>
      <c r="G637" s="1" t="s">
        <v>52</v>
      </c>
      <c r="H637" s="2">
        <v>45481</v>
      </c>
      <c r="I637" s="2">
        <v>45496</v>
      </c>
      <c r="J637" s="1">
        <v>14982.23</v>
      </c>
      <c r="K637" s="1">
        <v>0.22739999999999999</v>
      </c>
      <c r="L637" s="1">
        <v>3406.96</v>
      </c>
      <c r="M637" s="1">
        <v>815625</v>
      </c>
      <c r="N637" s="1">
        <v>5973</v>
      </c>
      <c r="O637" s="1">
        <v>42785.71</v>
      </c>
      <c r="P637" s="1">
        <v>2024</v>
      </c>
      <c r="Q637" s="1" t="s">
        <v>80</v>
      </c>
      <c r="R637" s="1" t="s">
        <v>33</v>
      </c>
    </row>
    <row r="638" spans="1:18" x14ac:dyDescent="0.35">
      <c r="A638" s="3" t="s">
        <v>90</v>
      </c>
      <c r="B638" s="3"/>
      <c r="C638" s="1" t="s">
        <v>19</v>
      </c>
      <c r="D638" s="1" t="s">
        <v>20</v>
      </c>
      <c r="E638" s="1" t="s">
        <v>21</v>
      </c>
      <c r="F638" s="1" t="s">
        <v>38</v>
      </c>
      <c r="G638" s="1" t="s">
        <v>23</v>
      </c>
      <c r="H638" s="2">
        <v>45482</v>
      </c>
      <c r="I638" s="2">
        <v>45516</v>
      </c>
      <c r="J638" s="1">
        <v>21372.94</v>
      </c>
      <c r="K638" s="1">
        <v>0.25609999999999999</v>
      </c>
      <c r="L638" s="1">
        <v>5473.61</v>
      </c>
      <c r="M638" s="1">
        <v>450552</v>
      </c>
      <c r="N638" s="1">
        <v>25624</v>
      </c>
      <c r="O638" s="1">
        <v>226685.43</v>
      </c>
      <c r="P638" s="1">
        <v>2024</v>
      </c>
      <c r="Q638" s="1" t="s">
        <v>80</v>
      </c>
      <c r="R638" s="1" t="s">
        <v>33</v>
      </c>
    </row>
    <row r="639" spans="1:18" x14ac:dyDescent="0.35">
      <c r="A639" s="3" t="s">
        <v>95</v>
      </c>
      <c r="B639" s="3"/>
      <c r="C639" s="1" t="s">
        <v>35</v>
      </c>
      <c r="D639" s="1" t="s">
        <v>29</v>
      </c>
      <c r="E639" s="1" t="s">
        <v>21</v>
      </c>
      <c r="F639" s="1" t="s">
        <v>30</v>
      </c>
      <c r="G639" s="1" t="s">
        <v>44</v>
      </c>
      <c r="H639" s="2">
        <v>45483</v>
      </c>
      <c r="I639" s="2">
        <v>45522</v>
      </c>
      <c r="J639" s="1">
        <v>24133.09</v>
      </c>
      <c r="K639" s="1">
        <v>0.9325</v>
      </c>
      <c r="L639" s="1">
        <v>22504.11</v>
      </c>
      <c r="M639" s="1">
        <v>393588</v>
      </c>
      <c r="N639" s="1">
        <v>25822</v>
      </c>
      <c r="O639" s="1">
        <v>59710.13</v>
      </c>
      <c r="P639" s="1">
        <v>2024</v>
      </c>
      <c r="Q639" s="1" t="s">
        <v>80</v>
      </c>
      <c r="R639" s="1" t="s">
        <v>33</v>
      </c>
    </row>
    <row r="640" spans="1:18" x14ac:dyDescent="0.35">
      <c r="A640" s="3" t="s">
        <v>96</v>
      </c>
      <c r="B640" s="3"/>
      <c r="C640" s="1" t="s">
        <v>28</v>
      </c>
      <c r="D640" s="1" t="s">
        <v>69</v>
      </c>
      <c r="E640" s="1" t="s">
        <v>59</v>
      </c>
      <c r="F640" s="1" t="s">
        <v>30</v>
      </c>
      <c r="G640" s="1" t="s">
        <v>49</v>
      </c>
      <c r="H640" s="2">
        <v>45483</v>
      </c>
      <c r="I640" s="2">
        <v>45518</v>
      </c>
      <c r="J640" s="1">
        <v>15475.44</v>
      </c>
      <c r="K640" s="1">
        <v>0.27050000000000002</v>
      </c>
      <c r="L640" s="1">
        <v>4186.1099999999997</v>
      </c>
      <c r="M640" s="1">
        <v>933685</v>
      </c>
      <c r="N640" s="1">
        <v>49577</v>
      </c>
      <c r="O640" s="1">
        <v>192164.47</v>
      </c>
      <c r="P640" s="1">
        <v>2024</v>
      </c>
      <c r="Q640" s="1" t="s">
        <v>80</v>
      </c>
      <c r="R640" s="1" t="s">
        <v>33</v>
      </c>
    </row>
    <row r="641" spans="1:18" x14ac:dyDescent="0.35">
      <c r="A641" s="3" t="s">
        <v>77</v>
      </c>
      <c r="B641" s="3"/>
      <c r="C641" s="1" t="s">
        <v>19</v>
      </c>
      <c r="D641" s="1" t="s">
        <v>36</v>
      </c>
      <c r="E641" s="1" t="s">
        <v>21</v>
      </c>
      <c r="F641" s="1" t="s">
        <v>30</v>
      </c>
      <c r="G641" s="1" t="s">
        <v>23</v>
      </c>
      <c r="H641" s="2">
        <v>45485</v>
      </c>
      <c r="I641" s="2">
        <v>45521</v>
      </c>
      <c r="J641" s="1">
        <v>16337.79</v>
      </c>
      <c r="K641" s="1">
        <v>0.78590000000000004</v>
      </c>
      <c r="L641" s="1">
        <v>12839.87</v>
      </c>
      <c r="M641" s="1">
        <v>347471</v>
      </c>
      <c r="N641" s="1">
        <v>30336</v>
      </c>
      <c r="O641" s="1">
        <v>178672.7</v>
      </c>
      <c r="P641" s="1">
        <v>2024</v>
      </c>
      <c r="Q641" s="1" t="s">
        <v>80</v>
      </c>
      <c r="R641" s="1" t="s">
        <v>33</v>
      </c>
    </row>
    <row r="642" spans="1:18" x14ac:dyDescent="0.35">
      <c r="A642" s="3" t="s">
        <v>79</v>
      </c>
      <c r="B642" s="3"/>
      <c r="C642" s="1" t="s">
        <v>35</v>
      </c>
      <c r="D642" s="1" t="s">
        <v>36</v>
      </c>
      <c r="E642" s="1" t="s">
        <v>63</v>
      </c>
      <c r="F642" s="1" t="s">
        <v>22</v>
      </c>
      <c r="G642" s="1" t="s">
        <v>52</v>
      </c>
      <c r="H642" s="2">
        <v>45485</v>
      </c>
      <c r="I642" s="2">
        <v>45492</v>
      </c>
      <c r="J642" s="1">
        <v>41895.160000000003</v>
      </c>
      <c r="K642" s="1">
        <v>0.70320000000000005</v>
      </c>
      <c r="L642" s="1">
        <v>29460.68</v>
      </c>
      <c r="M642" s="1">
        <v>165287</v>
      </c>
      <c r="N642" s="1">
        <v>28266</v>
      </c>
      <c r="O642" s="1">
        <v>36224.15</v>
      </c>
      <c r="P642" s="1">
        <v>2024</v>
      </c>
      <c r="Q642" s="1" t="s">
        <v>80</v>
      </c>
      <c r="R642" s="1" t="s">
        <v>33</v>
      </c>
    </row>
    <row r="643" spans="1:18" x14ac:dyDescent="0.35">
      <c r="A643" s="3" t="s">
        <v>98</v>
      </c>
      <c r="B643" s="3"/>
      <c r="C643" s="1" t="s">
        <v>19</v>
      </c>
      <c r="D643" s="1" t="s">
        <v>69</v>
      </c>
      <c r="E643" s="1" t="s">
        <v>37</v>
      </c>
      <c r="F643" s="1" t="s">
        <v>38</v>
      </c>
      <c r="G643" s="1" t="s">
        <v>44</v>
      </c>
      <c r="H643" s="2">
        <v>45487</v>
      </c>
      <c r="I643" s="2">
        <v>45544</v>
      </c>
      <c r="J643" s="1">
        <v>36959.760000000002</v>
      </c>
      <c r="K643" s="1">
        <v>1.1097999999999999</v>
      </c>
      <c r="L643" s="1">
        <v>41017.94</v>
      </c>
      <c r="M643" s="1">
        <v>705558</v>
      </c>
      <c r="N643" s="1">
        <v>4184</v>
      </c>
      <c r="O643" s="1">
        <v>62726.21</v>
      </c>
      <c r="P643" s="1">
        <v>2024</v>
      </c>
      <c r="Q643" s="1" t="s">
        <v>80</v>
      </c>
      <c r="R643" s="1" t="s">
        <v>33</v>
      </c>
    </row>
    <row r="644" spans="1:18" x14ac:dyDescent="0.35">
      <c r="A644" s="3" t="s">
        <v>34</v>
      </c>
      <c r="B644" s="3"/>
      <c r="C644" s="1" t="s">
        <v>19</v>
      </c>
      <c r="D644" s="1" t="s">
        <v>36</v>
      </c>
      <c r="E644" s="1" t="s">
        <v>37</v>
      </c>
      <c r="F644" s="1" t="s">
        <v>30</v>
      </c>
      <c r="G644" s="1" t="s">
        <v>49</v>
      </c>
      <c r="H644" s="2">
        <v>45487</v>
      </c>
      <c r="I644" s="2">
        <v>45528</v>
      </c>
      <c r="J644" s="1">
        <v>7399.12</v>
      </c>
      <c r="K644" s="1">
        <v>1.0244</v>
      </c>
      <c r="L644" s="1">
        <v>7579.66</v>
      </c>
      <c r="M644" s="1">
        <v>836596</v>
      </c>
      <c r="N644" s="1">
        <v>22627</v>
      </c>
      <c r="O644" s="1">
        <v>224067.89</v>
      </c>
      <c r="P644" s="1">
        <v>2024</v>
      </c>
      <c r="Q644" s="1" t="s">
        <v>80</v>
      </c>
      <c r="R644" s="1" t="s">
        <v>33</v>
      </c>
    </row>
    <row r="645" spans="1:18" x14ac:dyDescent="0.35">
      <c r="A645" s="3" t="s">
        <v>68</v>
      </c>
      <c r="B645" s="3"/>
      <c r="C645" s="1" t="s">
        <v>48</v>
      </c>
      <c r="D645" s="1" t="s">
        <v>20</v>
      </c>
      <c r="E645" s="1" t="s">
        <v>21</v>
      </c>
      <c r="F645" s="1" t="s">
        <v>22</v>
      </c>
      <c r="G645" s="1" t="s">
        <v>23</v>
      </c>
      <c r="H645" s="2">
        <v>45487</v>
      </c>
      <c r="I645" s="2">
        <v>45497</v>
      </c>
      <c r="J645" s="1">
        <v>17559.580000000002</v>
      </c>
      <c r="K645" s="1">
        <v>1.1825000000000001</v>
      </c>
      <c r="L645" s="1">
        <v>20764.2</v>
      </c>
      <c r="M645" s="1">
        <v>946615</v>
      </c>
      <c r="N645" s="1">
        <v>31736</v>
      </c>
      <c r="O645" s="1">
        <v>177603.64</v>
      </c>
      <c r="P645" s="1">
        <v>2024</v>
      </c>
      <c r="Q645" s="1" t="s">
        <v>80</v>
      </c>
      <c r="R645" s="1" t="s">
        <v>33</v>
      </c>
    </row>
    <row r="646" spans="1:18" x14ac:dyDescent="0.35">
      <c r="A646" s="3" t="s">
        <v>57</v>
      </c>
      <c r="B646" s="3"/>
      <c r="C646" s="1" t="s">
        <v>28</v>
      </c>
      <c r="D646" s="1" t="s">
        <v>29</v>
      </c>
      <c r="E646" s="1" t="s">
        <v>21</v>
      </c>
      <c r="F646" s="1" t="s">
        <v>30</v>
      </c>
      <c r="G646" s="1" t="s">
        <v>31</v>
      </c>
      <c r="H646" s="2">
        <v>45488</v>
      </c>
      <c r="I646" s="2">
        <v>45509</v>
      </c>
      <c r="J646" s="1">
        <v>12619.82</v>
      </c>
      <c r="K646" s="1">
        <v>0.57089999999999996</v>
      </c>
      <c r="L646" s="1">
        <v>7204.66</v>
      </c>
      <c r="M646" s="1">
        <v>652865</v>
      </c>
      <c r="N646" s="1">
        <v>22585</v>
      </c>
      <c r="O646" s="1">
        <v>94651.42</v>
      </c>
      <c r="P646" s="1">
        <v>2024</v>
      </c>
      <c r="Q646" s="1" t="s">
        <v>80</v>
      </c>
      <c r="R646" s="1" t="s">
        <v>33</v>
      </c>
    </row>
    <row r="647" spans="1:18" x14ac:dyDescent="0.35">
      <c r="A647" s="3" t="s">
        <v>72</v>
      </c>
      <c r="B647" s="3"/>
      <c r="C647" s="1" t="s">
        <v>28</v>
      </c>
      <c r="D647" s="1" t="s">
        <v>58</v>
      </c>
      <c r="E647" s="1" t="s">
        <v>59</v>
      </c>
      <c r="F647" s="1" t="s">
        <v>30</v>
      </c>
      <c r="G647" s="1" t="s">
        <v>31</v>
      </c>
      <c r="H647" s="2">
        <v>45490</v>
      </c>
      <c r="I647" s="2">
        <v>45536</v>
      </c>
      <c r="J647" s="1">
        <v>47229.760000000002</v>
      </c>
      <c r="K647" s="1">
        <v>0.41170000000000001</v>
      </c>
      <c r="L647" s="1">
        <v>19444.490000000002</v>
      </c>
      <c r="M647" s="1">
        <v>810441</v>
      </c>
      <c r="N647" s="1">
        <v>32122</v>
      </c>
      <c r="O647" s="1">
        <v>241794.53</v>
      </c>
      <c r="P647" s="1">
        <v>2024</v>
      </c>
      <c r="Q647" s="1" t="s">
        <v>80</v>
      </c>
      <c r="R647" s="1" t="s">
        <v>33</v>
      </c>
    </row>
    <row r="648" spans="1:18" x14ac:dyDescent="0.35">
      <c r="A648" s="3" t="s">
        <v>114</v>
      </c>
      <c r="B648" s="3"/>
      <c r="C648" s="1" t="s">
        <v>35</v>
      </c>
      <c r="D648" s="1" t="s">
        <v>69</v>
      </c>
      <c r="E648" s="1" t="s">
        <v>63</v>
      </c>
      <c r="F648" s="1" t="s">
        <v>30</v>
      </c>
      <c r="G648" s="1" t="s">
        <v>23</v>
      </c>
      <c r="H648" s="2">
        <v>45490</v>
      </c>
      <c r="I648" s="2">
        <v>45505</v>
      </c>
      <c r="J648" s="1">
        <v>20938.47</v>
      </c>
      <c r="K648" s="1">
        <v>1.1227</v>
      </c>
      <c r="L648" s="1">
        <v>23507.62</v>
      </c>
      <c r="M648" s="1">
        <v>931068</v>
      </c>
      <c r="N648" s="1">
        <v>31275</v>
      </c>
      <c r="O648" s="1">
        <v>121974.89</v>
      </c>
      <c r="P648" s="1">
        <v>2024</v>
      </c>
      <c r="Q648" s="1" t="s">
        <v>80</v>
      </c>
      <c r="R648" s="1" t="s">
        <v>33</v>
      </c>
    </row>
    <row r="649" spans="1:18" x14ac:dyDescent="0.35">
      <c r="A649" s="3" t="s">
        <v>77</v>
      </c>
      <c r="B649" s="3"/>
      <c r="C649" s="1" t="s">
        <v>48</v>
      </c>
      <c r="D649" s="1" t="s">
        <v>69</v>
      </c>
      <c r="E649" s="1" t="s">
        <v>21</v>
      </c>
      <c r="F649" s="1" t="s">
        <v>38</v>
      </c>
      <c r="G649" s="1" t="s">
        <v>31</v>
      </c>
      <c r="H649" s="2">
        <v>45491</v>
      </c>
      <c r="I649" s="2">
        <v>45526</v>
      </c>
      <c r="J649" s="1">
        <v>47383.43</v>
      </c>
      <c r="K649" s="1">
        <v>0.33189999999999997</v>
      </c>
      <c r="L649" s="1">
        <v>15726.56</v>
      </c>
      <c r="M649" s="1">
        <v>53768</v>
      </c>
      <c r="N649" s="1">
        <v>6919</v>
      </c>
      <c r="O649" s="1">
        <v>13722.02</v>
      </c>
      <c r="P649" s="1">
        <v>2024</v>
      </c>
      <c r="Q649" s="1" t="s">
        <v>80</v>
      </c>
      <c r="R649" s="1" t="s">
        <v>33</v>
      </c>
    </row>
    <row r="650" spans="1:18" x14ac:dyDescent="0.35">
      <c r="A650" s="3" t="s">
        <v>91</v>
      </c>
      <c r="B650" s="3"/>
      <c r="C650" s="1" t="s">
        <v>35</v>
      </c>
      <c r="D650" s="1" t="s">
        <v>69</v>
      </c>
      <c r="E650" s="1" t="s">
        <v>63</v>
      </c>
      <c r="F650" s="1" t="s">
        <v>30</v>
      </c>
      <c r="G650" s="1" t="s">
        <v>23</v>
      </c>
      <c r="H650" s="2">
        <v>45491</v>
      </c>
      <c r="I650" s="2">
        <v>45500</v>
      </c>
      <c r="J650" s="1">
        <v>45947.8</v>
      </c>
      <c r="K650" s="1">
        <v>0.621</v>
      </c>
      <c r="L650" s="1">
        <v>28533.58</v>
      </c>
      <c r="M650" s="1">
        <v>545456</v>
      </c>
      <c r="N650" s="1">
        <v>27947</v>
      </c>
      <c r="O650" s="1">
        <v>106189.75</v>
      </c>
      <c r="P650" s="1">
        <v>2024</v>
      </c>
      <c r="Q650" s="1" t="s">
        <v>80</v>
      </c>
      <c r="R650" s="1" t="s">
        <v>33</v>
      </c>
    </row>
    <row r="651" spans="1:18" x14ac:dyDescent="0.35">
      <c r="A651" s="3" t="s">
        <v>67</v>
      </c>
      <c r="B651" s="3"/>
      <c r="C651" s="1" t="s">
        <v>28</v>
      </c>
      <c r="D651" s="1" t="s">
        <v>29</v>
      </c>
      <c r="E651" s="1" t="s">
        <v>21</v>
      </c>
      <c r="F651" s="1" t="s">
        <v>22</v>
      </c>
      <c r="G651" s="1" t="s">
        <v>31</v>
      </c>
      <c r="H651" s="2">
        <v>45492</v>
      </c>
      <c r="I651" s="2">
        <v>45545</v>
      </c>
      <c r="J651" s="1">
        <v>27628.07</v>
      </c>
      <c r="K651" s="1">
        <v>0.55189999999999995</v>
      </c>
      <c r="L651" s="1">
        <v>15247.93</v>
      </c>
      <c r="M651" s="1">
        <v>347408</v>
      </c>
      <c r="N651" s="1">
        <v>12463</v>
      </c>
      <c r="O651" s="1">
        <v>245289.78</v>
      </c>
      <c r="P651" s="1">
        <v>2024</v>
      </c>
      <c r="Q651" s="1" t="s">
        <v>80</v>
      </c>
      <c r="R651" s="1" t="s">
        <v>33</v>
      </c>
    </row>
    <row r="652" spans="1:18" x14ac:dyDescent="0.35">
      <c r="A652" s="3" t="s">
        <v>68</v>
      </c>
      <c r="B652" s="3"/>
      <c r="C652" s="1" t="s">
        <v>35</v>
      </c>
      <c r="D652" s="1" t="s">
        <v>20</v>
      </c>
      <c r="E652" s="1" t="s">
        <v>37</v>
      </c>
      <c r="F652" s="1" t="s">
        <v>30</v>
      </c>
      <c r="G652" s="1" t="s">
        <v>23</v>
      </c>
      <c r="H652" s="2">
        <v>45492</v>
      </c>
      <c r="I652" s="2">
        <v>45527</v>
      </c>
      <c r="J652" s="1">
        <v>3749.63</v>
      </c>
      <c r="K652" s="1">
        <v>2.12E-2</v>
      </c>
      <c r="L652" s="1">
        <v>79.489999999999995</v>
      </c>
      <c r="M652" s="1">
        <v>189708</v>
      </c>
      <c r="N652" s="1">
        <v>5518</v>
      </c>
      <c r="O652" s="1">
        <v>127465.31</v>
      </c>
      <c r="P652" s="1">
        <v>2024</v>
      </c>
      <c r="Q652" s="1" t="s">
        <v>80</v>
      </c>
      <c r="R652" s="1" t="s">
        <v>33</v>
      </c>
    </row>
    <row r="653" spans="1:18" x14ac:dyDescent="0.35">
      <c r="A653" s="3" t="s">
        <v>84</v>
      </c>
      <c r="B653" s="3"/>
      <c r="C653" s="1" t="s">
        <v>28</v>
      </c>
      <c r="D653" s="1" t="s">
        <v>36</v>
      </c>
      <c r="E653" s="1" t="s">
        <v>63</v>
      </c>
      <c r="F653" s="1" t="s">
        <v>22</v>
      </c>
      <c r="G653" s="1" t="s">
        <v>49</v>
      </c>
      <c r="H653" s="2">
        <v>45493</v>
      </c>
      <c r="I653" s="2">
        <v>45544</v>
      </c>
      <c r="J653" s="1">
        <v>9609.27</v>
      </c>
      <c r="K653" s="1">
        <v>0.4627</v>
      </c>
      <c r="L653" s="1">
        <v>4446.21</v>
      </c>
      <c r="M653" s="1">
        <v>330704</v>
      </c>
      <c r="N653" s="1">
        <v>29827</v>
      </c>
      <c r="O653" s="1">
        <v>74390.31</v>
      </c>
      <c r="P653" s="1">
        <v>2024</v>
      </c>
      <c r="Q653" s="1" t="s">
        <v>80</v>
      </c>
      <c r="R653" s="1" t="s">
        <v>33</v>
      </c>
    </row>
    <row r="654" spans="1:18" x14ac:dyDescent="0.35">
      <c r="A654" s="3" t="s">
        <v>47</v>
      </c>
      <c r="B654" s="3"/>
      <c r="C654" s="1" t="s">
        <v>35</v>
      </c>
      <c r="D654" s="1" t="s">
        <v>29</v>
      </c>
      <c r="E654" s="1" t="s">
        <v>43</v>
      </c>
      <c r="F654" s="1" t="s">
        <v>30</v>
      </c>
      <c r="G654" s="1" t="s">
        <v>44</v>
      </c>
      <c r="H654" s="2">
        <v>45493</v>
      </c>
      <c r="I654" s="2">
        <v>45536</v>
      </c>
      <c r="J654" s="1">
        <v>30400.39</v>
      </c>
      <c r="K654" s="1">
        <v>0.73299999999999998</v>
      </c>
      <c r="L654" s="1">
        <v>22283.49</v>
      </c>
      <c r="M654" s="1">
        <v>826808</v>
      </c>
      <c r="N654" s="1">
        <v>45351</v>
      </c>
      <c r="O654" s="1">
        <v>11571.98</v>
      </c>
      <c r="P654" s="1">
        <v>2024</v>
      </c>
      <c r="Q654" s="1" t="s">
        <v>80</v>
      </c>
      <c r="R654" s="1" t="s">
        <v>33</v>
      </c>
    </row>
    <row r="655" spans="1:18" x14ac:dyDescent="0.35">
      <c r="A655" s="3" t="s">
        <v>115</v>
      </c>
      <c r="B655" s="3"/>
      <c r="C655" s="1" t="s">
        <v>48</v>
      </c>
      <c r="D655" s="1" t="s">
        <v>58</v>
      </c>
      <c r="E655" s="1" t="s">
        <v>21</v>
      </c>
      <c r="F655" s="1" t="s">
        <v>30</v>
      </c>
      <c r="G655" s="1" t="s">
        <v>44</v>
      </c>
      <c r="H655" s="2">
        <v>45494</v>
      </c>
      <c r="I655" s="2">
        <v>45530</v>
      </c>
      <c r="J655" s="1">
        <v>40609</v>
      </c>
      <c r="K655" s="1">
        <v>2.2700000000000001E-2</v>
      </c>
      <c r="L655" s="1">
        <v>921.82</v>
      </c>
      <c r="M655" s="1">
        <v>454579</v>
      </c>
      <c r="N655" s="1">
        <v>44470</v>
      </c>
      <c r="O655" s="1">
        <v>129627.18</v>
      </c>
      <c r="P655" s="1">
        <v>2024</v>
      </c>
      <c r="Q655" s="1" t="s">
        <v>80</v>
      </c>
      <c r="R655" s="1" t="s">
        <v>33</v>
      </c>
    </row>
    <row r="656" spans="1:18" x14ac:dyDescent="0.35">
      <c r="A656" s="3" t="s">
        <v>87</v>
      </c>
      <c r="B656" s="3"/>
      <c r="C656" s="1" t="s">
        <v>48</v>
      </c>
      <c r="D656" s="1" t="s">
        <v>58</v>
      </c>
      <c r="E656" s="1" t="s">
        <v>51</v>
      </c>
      <c r="F656" s="1" t="s">
        <v>22</v>
      </c>
      <c r="G656" s="1" t="s">
        <v>52</v>
      </c>
      <c r="H656" s="2">
        <v>45494</v>
      </c>
      <c r="I656" s="2">
        <v>45510</v>
      </c>
      <c r="J656" s="1">
        <v>24351.22</v>
      </c>
      <c r="K656" s="1">
        <v>0.43070000000000003</v>
      </c>
      <c r="L656" s="1">
        <v>10488.07</v>
      </c>
      <c r="M656" s="1">
        <v>947758</v>
      </c>
      <c r="N656" s="1">
        <v>37698</v>
      </c>
      <c r="O656" s="1">
        <v>70923.570000000007</v>
      </c>
      <c r="P656" s="1">
        <v>2024</v>
      </c>
      <c r="Q656" s="1" t="s">
        <v>80</v>
      </c>
      <c r="R656" s="1" t="s">
        <v>33</v>
      </c>
    </row>
    <row r="657" spans="1:18" x14ac:dyDescent="0.35">
      <c r="A657" s="3" t="s">
        <v>64</v>
      </c>
      <c r="B657" s="3"/>
      <c r="C657" s="1" t="s">
        <v>19</v>
      </c>
      <c r="D657" s="1" t="s">
        <v>20</v>
      </c>
      <c r="E657" s="1" t="s">
        <v>63</v>
      </c>
      <c r="F657" s="1" t="s">
        <v>22</v>
      </c>
      <c r="G657" s="1" t="s">
        <v>23</v>
      </c>
      <c r="H657" s="2">
        <v>45495</v>
      </c>
      <c r="I657" s="2">
        <v>45528</v>
      </c>
      <c r="J657" s="1">
        <v>40225.14</v>
      </c>
      <c r="K657" s="1">
        <v>0.15640000000000001</v>
      </c>
      <c r="L657" s="1">
        <v>6291.21</v>
      </c>
      <c r="M657" s="1">
        <v>145073</v>
      </c>
      <c r="N657" s="1">
        <v>37788</v>
      </c>
      <c r="O657" s="1">
        <v>55526.33</v>
      </c>
      <c r="P657" s="1">
        <v>2024</v>
      </c>
      <c r="Q657" s="1" t="s">
        <v>80</v>
      </c>
      <c r="R657" s="1" t="s">
        <v>33</v>
      </c>
    </row>
    <row r="658" spans="1:18" x14ac:dyDescent="0.35">
      <c r="A658" s="3" t="s">
        <v>113</v>
      </c>
      <c r="B658" s="3"/>
      <c r="C658" s="1" t="s">
        <v>35</v>
      </c>
      <c r="D658" s="1" t="s">
        <v>36</v>
      </c>
      <c r="E658" s="1" t="s">
        <v>21</v>
      </c>
      <c r="F658" s="1" t="s">
        <v>22</v>
      </c>
      <c r="G658" s="1" t="s">
        <v>52</v>
      </c>
      <c r="H658" s="2">
        <v>45495</v>
      </c>
      <c r="I658" s="2">
        <v>45510</v>
      </c>
      <c r="J658" s="1">
        <v>24992.46</v>
      </c>
      <c r="K658" s="1">
        <v>0.17699999999999999</v>
      </c>
      <c r="L658" s="1">
        <v>4423.67</v>
      </c>
      <c r="M658" s="1">
        <v>339861</v>
      </c>
      <c r="N658" s="1">
        <v>29656</v>
      </c>
      <c r="O658" s="1">
        <v>156755.44</v>
      </c>
      <c r="P658" s="1">
        <v>2024</v>
      </c>
      <c r="Q658" s="1" t="s">
        <v>80</v>
      </c>
      <c r="R658" s="1" t="s">
        <v>33</v>
      </c>
    </row>
    <row r="659" spans="1:18" x14ac:dyDescent="0.35">
      <c r="A659" s="3" t="s">
        <v>47</v>
      </c>
      <c r="B659" s="3"/>
      <c r="C659" s="1" t="s">
        <v>48</v>
      </c>
      <c r="D659" s="1" t="s">
        <v>69</v>
      </c>
      <c r="E659" s="1" t="s">
        <v>21</v>
      </c>
      <c r="F659" s="1" t="s">
        <v>22</v>
      </c>
      <c r="G659" s="1" t="s">
        <v>44</v>
      </c>
      <c r="H659" s="2">
        <v>45498</v>
      </c>
      <c r="I659" s="2">
        <v>45533</v>
      </c>
      <c r="J659" s="1">
        <v>47923.17</v>
      </c>
      <c r="K659" s="1">
        <v>1.1059000000000001</v>
      </c>
      <c r="L659" s="1">
        <v>52998.23</v>
      </c>
      <c r="M659" s="1">
        <v>72471</v>
      </c>
      <c r="N659" s="1">
        <v>22994</v>
      </c>
      <c r="O659" s="1">
        <v>93410.34</v>
      </c>
      <c r="P659" s="1">
        <v>2024</v>
      </c>
      <c r="Q659" s="1" t="s">
        <v>80</v>
      </c>
      <c r="R659" s="1" t="s">
        <v>33</v>
      </c>
    </row>
    <row r="660" spans="1:18" x14ac:dyDescent="0.35">
      <c r="A660" s="3" t="s">
        <v>95</v>
      </c>
      <c r="B660" s="3"/>
      <c r="C660" s="1" t="s">
        <v>35</v>
      </c>
      <c r="D660" s="1" t="s">
        <v>58</v>
      </c>
      <c r="E660" s="1" t="s">
        <v>59</v>
      </c>
      <c r="F660" s="1" t="s">
        <v>30</v>
      </c>
      <c r="G660" s="1" t="s">
        <v>44</v>
      </c>
      <c r="H660" s="2">
        <v>45498</v>
      </c>
      <c r="I660" s="2">
        <v>45530</v>
      </c>
      <c r="J660" s="1">
        <v>32952.51</v>
      </c>
      <c r="K660" s="1">
        <v>0.2218</v>
      </c>
      <c r="L660" s="1">
        <v>7308.87</v>
      </c>
      <c r="M660" s="1">
        <v>918211</v>
      </c>
      <c r="N660" s="1">
        <v>24065</v>
      </c>
      <c r="O660" s="1">
        <v>214566.22</v>
      </c>
      <c r="P660" s="1">
        <v>2024</v>
      </c>
      <c r="Q660" s="1" t="s">
        <v>80</v>
      </c>
      <c r="R660" s="1" t="s">
        <v>33</v>
      </c>
    </row>
    <row r="661" spans="1:18" x14ac:dyDescent="0.35">
      <c r="A661" s="3" t="s">
        <v>99</v>
      </c>
      <c r="B661" s="3"/>
      <c r="C661" s="1" t="s">
        <v>28</v>
      </c>
      <c r="D661" s="1" t="s">
        <v>58</v>
      </c>
      <c r="E661" s="1" t="s">
        <v>63</v>
      </c>
      <c r="F661" s="1" t="s">
        <v>22</v>
      </c>
      <c r="G661" s="1" t="s">
        <v>49</v>
      </c>
      <c r="H661" s="2">
        <v>45498</v>
      </c>
      <c r="I661" s="2">
        <v>45507</v>
      </c>
      <c r="J661" s="1">
        <v>29173.15</v>
      </c>
      <c r="K661" s="1">
        <v>0.28089999999999998</v>
      </c>
      <c r="L661" s="1">
        <v>8194.74</v>
      </c>
      <c r="M661" s="1">
        <v>281212</v>
      </c>
      <c r="N661" s="1">
        <v>26814</v>
      </c>
      <c r="O661" s="1">
        <v>100067.99</v>
      </c>
      <c r="P661" s="1">
        <v>2024</v>
      </c>
      <c r="Q661" s="1" t="s">
        <v>80</v>
      </c>
      <c r="R661" s="1" t="s">
        <v>33</v>
      </c>
    </row>
    <row r="662" spans="1:18" x14ac:dyDescent="0.35">
      <c r="A662" s="3" t="s">
        <v>75</v>
      </c>
      <c r="B662" s="3"/>
      <c r="C662" s="1" t="s">
        <v>48</v>
      </c>
      <c r="D662" s="1" t="s">
        <v>36</v>
      </c>
      <c r="E662" s="1" t="s">
        <v>51</v>
      </c>
      <c r="F662" s="1" t="s">
        <v>22</v>
      </c>
      <c r="G662" s="1" t="s">
        <v>49</v>
      </c>
      <c r="H662" s="2">
        <v>45499</v>
      </c>
      <c r="I662" s="2">
        <v>45539</v>
      </c>
      <c r="J662" s="1">
        <v>24704.25</v>
      </c>
      <c r="K662" s="1">
        <v>1.1862999999999999</v>
      </c>
      <c r="L662" s="1">
        <v>29306.65</v>
      </c>
      <c r="M662" s="1">
        <v>615711</v>
      </c>
      <c r="N662" s="1">
        <v>22667</v>
      </c>
      <c r="O662" s="1">
        <v>194677.65</v>
      </c>
      <c r="P662" s="1">
        <v>2024</v>
      </c>
      <c r="Q662" s="1" t="s">
        <v>80</v>
      </c>
      <c r="R662" s="1" t="s">
        <v>33</v>
      </c>
    </row>
    <row r="663" spans="1:18" x14ac:dyDescent="0.35">
      <c r="A663" s="3" t="s">
        <v>81</v>
      </c>
      <c r="B663" s="3"/>
      <c r="C663" s="1" t="s">
        <v>35</v>
      </c>
      <c r="D663" s="1" t="s">
        <v>58</v>
      </c>
      <c r="E663" s="1" t="s">
        <v>21</v>
      </c>
      <c r="F663" s="1" t="s">
        <v>30</v>
      </c>
      <c r="G663" s="1" t="s">
        <v>49</v>
      </c>
      <c r="H663" s="2">
        <v>45499</v>
      </c>
      <c r="I663" s="2">
        <v>45508</v>
      </c>
      <c r="J663" s="1">
        <v>25655.29</v>
      </c>
      <c r="K663" s="1">
        <v>0.41460000000000002</v>
      </c>
      <c r="L663" s="1">
        <v>10636.68</v>
      </c>
      <c r="M663" s="1">
        <v>132692</v>
      </c>
      <c r="N663" s="1">
        <v>33738</v>
      </c>
      <c r="O663" s="1">
        <v>239393.79</v>
      </c>
      <c r="P663" s="1">
        <v>2024</v>
      </c>
      <c r="Q663" s="1" t="s">
        <v>80</v>
      </c>
      <c r="R663" s="1" t="s">
        <v>33</v>
      </c>
    </row>
    <row r="664" spans="1:18" x14ac:dyDescent="0.35">
      <c r="A664" s="3" t="s">
        <v>102</v>
      </c>
      <c r="B664" s="3"/>
      <c r="C664" s="1" t="s">
        <v>35</v>
      </c>
      <c r="D664" s="1" t="s">
        <v>69</v>
      </c>
      <c r="E664" s="1" t="s">
        <v>63</v>
      </c>
      <c r="F664" s="1" t="s">
        <v>38</v>
      </c>
      <c r="G664" s="1" t="s">
        <v>31</v>
      </c>
      <c r="H664" s="2">
        <v>45501</v>
      </c>
      <c r="I664" s="2">
        <v>45547</v>
      </c>
      <c r="J664" s="1">
        <v>30094.85</v>
      </c>
      <c r="K664" s="1">
        <v>0.34639999999999999</v>
      </c>
      <c r="L664" s="1">
        <v>10424.86</v>
      </c>
      <c r="M664" s="1">
        <v>727659</v>
      </c>
      <c r="N664" s="1">
        <v>7184</v>
      </c>
      <c r="O664" s="1">
        <v>123025.91</v>
      </c>
      <c r="P664" s="1">
        <v>2024</v>
      </c>
      <c r="Q664" s="1" t="s">
        <v>80</v>
      </c>
      <c r="R664" s="1" t="s">
        <v>33</v>
      </c>
    </row>
    <row r="665" spans="1:18" x14ac:dyDescent="0.35">
      <c r="A665" s="3" t="s">
        <v>34</v>
      </c>
      <c r="B665" s="3"/>
      <c r="C665" s="1" t="s">
        <v>19</v>
      </c>
      <c r="D665" s="1" t="s">
        <v>20</v>
      </c>
      <c r="E665" s="1" t="s">
        <v>43</v>
      </c>
      <c r="F665" s="1" t="s">
        <v>22</v>
      </c>
      <c r="G665" s="1" t="s">
        <v>49</v>
      </c>
      <c r="H665" s="2">
        <v>45501</v>
      </c>
      <c r="I665" s="2">
        <v>45547</v>
      </c>
      <c r="J665" s="1">
        <v>7065.3</v>
      </c>
      <c r="K665" s="1">
        <v>0.67559999999999998</v>
      </c>
      <c r="L665" s="1">
        <v>4773.32</v>
      </c>
      <c r="M665" s="1">
        <v>211774</v>
      </c>
      <c r="N665" s="1">
        <v>40647</v>
      </c>
      <c r="O665" s="1">
        <v>137749.41</v>
      </c>
      <c r="P665" s="1">
        <v>2024</v>
      </c>
      <c r="Q665" s="1" t="s">
        <v>80</v>
      </c>
      <c r="R665" s="1" t="s">
        <v>33</v>
      </c>
    </row>
    <row r="666" spans="1:18" x14ac:dyDescent="0.35">
      <c r="A666" s="3" t="s">
        <v>91</v>
      </c>
      <c r="B666" s="3"/>
      <c r="C666" s="1" t="s">
        <v>35</v>
      </c>
      <c r="D666" s="1" t="s">
        <v>20</v>
      </c>
      <c r="E666" s="1" t="s">
        <v>63</v>
      </c>
      <c r="F666" s="1" t="s">
        <v>30</v>
      </c>
      <c r="G666" s="1" t="s">
        <v>31</v>
      </c>
      <c r="H666" s="2">
        <v>45501</v>
      </c>
      <c r="I666" s="2">
        <v>45526</v>
      </c>
      <c r="J666" s="1">
        <v>49908.02</v>
      </c>
      <c r="K666" s="1">
        <v>0.57930000000000004</v>
      </c>
      <c r="L666" s="1">
        <v>28911.72</v>
      </c>
      <c r="M666" s="1">
        <v>405129</v>
      </c>
      <c r="N666" s="1">
        <v>20662</v>
      </c>
      <c r="O666" s="1">
        <v>239387.95</v>
      </c>
      <c r="P666" s="1">
        <v>2024</v>
      </c>
      <c r="Q666" s="1" t="s">
        <v>80</v>
      </c>
      <c r="R666" s="1" t="s">
        <v>33</v>
      </c>
    </row>
    <row r="667" spans="1:18" x14ac:dyDescent="0.35">
      <c r="A667" s="3" t="s">
        <v>75</v>
      </c>
      <c r="B667" s="3"/>
      <c r="C667" s="1" t="s">
        <v>28</v>
      </c>
      <c r="D667" s="1" t="s">
        <v>20</v>
      </c>
      <c r="E667" s="1" t="s">
        <v>51</v>
      </c>
      <c r="F667" s="1" t="s">
        <v>30</v>
      </c>
      <c r="G667" s="1" t="s">
        <v>52</v>
      </c>
      <c r="H667" s="2">
        <v>45501</v>
      </c>
      <c r="I667" s="2">
        <v>45516</v>
      </c>
      <c r="J667" s="1">
        <v>11176.41</v>
      </c>
      <c r="K667" s="1">
        <v>1.1311</v>
      </c>
      <c r="L667" s="1">
        <v>12641.64</v>
      </c>
      <c r="M667" s="1">
        <v>632234</v>
      </c>
      <c r="N667" s="1">
        <v>16481</v>
      </c>
      <c r="O667" s="1">
        <v>25552.75</v>
      </c>
      <c r="P667" s="1">
        <v>2024</v>
      </c>
      <c r="Q667" s="1" t="s">
        <v>80</v>
      </c>
      <c r="R667" s="1" t="s">
        <v>33</v>
      </c>
    </row>
    <row r="668" spans="1:18" x14ac:dyDescent="0.35">
      <c r="A668" s="3" t="s">
        <v>119</v>
      </c>
      <c r="B668" s="3"/>
      <c r="C668" s="1" t="s">
        <v>28</v>
      </c>
      <c r="D668" s="1" t="s">
        <v>29</v>
      </c>
      <c r="E668" s="1" t="s">
        <v>37</v>
      </c>
      <c r="F668" s="1" t="s">
        <v>30</v>
      </c>
      <c r="G668" s="1" t="s">
        <v>23</v>
      </c>
      <c r="H668" s="2">
        <v>45502</v>
      </c>
      <c r="I668" s="2">
        <v>45539</v>
      </c>
      <c r="J668" s="1">
        <v>33000.42</v>
      </c>
      <c r="K668" s="1">
        <v>0.49690000000000001</v>
      </c>
      <c r="L668" s="1">
        <v>16397.91</v>
      </c>
      <c r="M668" s="1">
        <v>525611</v>
      </c>
      <c r="N668" s="1">
        <v>27338</v>
      </c>
      <c r="O668" s="1">
        <v>178984.88</v>
      </c>
      <c r="P668" s="1">
        <v>2024</v>
      </c>
      <c r="Q668" s="1" t="s">
        <v>80</v>
      </c>
      <c r="R668" s="1" t="s">
        <v>33</v>
      </c>
    </row>
    <row r="669" spans="1:18" x14ac:dyDescent="0.35">
      <c r="A669" s="3" t="s">
        <v>112</v>
      </c>
      <c r="B669" s="3"/>
      <c r="C669" s="1" t="s">
        <v>35</v>
      </c>
      <c r="D669" s="1" t="s">
        <v>58</v>
      </c>
      <c r="E669" s="1" t="s">
        <v>43</v>
      </c>
      <c r="F669" s="1" t="s">
        <v>22</v>
      </c>
      <c r="G669" s="1" t="s">
        <v>31</v>
      </c>
      <c r="H669" s="2">
        <v>45504</v>
      </c>
      <c r="I669" s="2">
        <v>45559</v>
      </c>
      <c r="J669" s="1">
        <v>24706.54</v>
      </c>
      <c r="K669" s="1">
        <v>6.7199999999999996E-2</v>
      </c>
      <c r="L669" s="1">
        <v>1660.28</v>
      </c>
      <c r="M669" s="1">
        <v>107738</v>
      </c>
      <c r="N669" s="1">
        <v>20324</v>
      </c>
      <c r="O669" s="1">
        <v>7077.29</v>
      </c>
      <c r="P669" s="1">
        <v>2024</v>
      </c>
      <c r="Q669" s="1" t="s">
        <v>80</v>
      </c>
      <c r="R669" s="1" t="s">
        <v>33</v>
      </c>
    </row>
    <row r="670" spans="1:18" x14ac:dyDescent="0.35">
      <c r="A670" s="3" t="s">
        <v>102</v>
      </c>
      <c r="B670" s="3"/>
      <c r="C670" s="1" t="s">
        <v>35</v>
      </c>
      <c r="D670" s="1" t="s">
        <v>36</v>
      </c>
      <c r="E670" s="1" t="s">
        <v>59</v>
      </c>
      <c r="F670" s="1" t="s">
        <v>38</v>
      </c>
      <c r="G670" s="1" t="s">
        <v>23</v>
      </c>
      <c r="H670" s="2">
        <v>45505</v>
      </c>
      <c r="I670" s="2">
        <v>45556</v>
      </c>
      <c r="J670" s="1">
        <v>34231.68</v>
      </c>
      <c r="K670" s="1">
        <v>0.67069999999999996</v>
      </c>
      <c r="L670" s="1">
        <v>22959.19</v>
      </c>
      <c r="M670" s="1">
        <v>29627</v>
      </c>
      <c r="N670" s="1">
        <v>13748</v>
      </c>
      <c r="O670" s="1">
        <v>146462.42000000001</v>
      </c>
      <c r="P670" s="1">
        <v>2024</v>
      </c>
      <c r="Q670" s="1" t="s">
        <v>32</v>
      </c>
      <c r="R670" s="1" t="s">
        <v>33</v>
      </c>
    </row>
    <row r="671" spans="1:18" x14ac:dyDescent="0.35">
      <c r="A671" s="3" t="s">
        <v>87</v>
      </c>
      <c r="B671" s="3"/>
      <c r="C671" s="1" t="s">
        <v>48</v>
      </c>
      <c r="D671" s="1" t="s">
        <v>36</v>
      </c>
      <c r="E671" s="1" t="s">
        <v>43</v>
      </c>
      <c r="F671" s="1" t="s">
        <v>30</v>
      </c>
      <c r="G671" s="1" t="s">
        <v>31</v>
      </c>
      <c r="H671" s="2">
        <v>45507</v>
      </c>
      <c r="I671" s="2">
        <v>45565</v>
      </c>
      <c r="J671" s="1">
        <v>42622.68</v>
      </c>
      <c r="K671" s="1">
        <v>0.81569999999999998</v>
      </c>
      <c r="L671" s="1">
        <v>34767.32</v>
      </c>
      <c r="M671" s="1">
        <v>576820</v>
      </c>
      <c r="N671" s="1">
        <v>21840</v>
      </c>
      <c r="O671" s="1">
        <v>99042.32</v>
      </c>
      <c r="P671" s="1">
        <v>2024</v>
      </c>
      <c r="Q671" s="1" t="s">
        <v>32</v>
      </c>
      <c r="R671" s="1" t="s">
        <v>33</v>
      </c>
    </row>
    <row r="672" spans="1:18" x14ac:dyDescent="0.35">
      <c r="A672" s="3" t="s">
        <v>116</v>
      </c>
      <c r="B672" s="3"/>
      <c r="C672" s="1" t="s">
        <v>28</v>
      </c>
      <c r="D672" s="1" t="s">
        <v>36</v>
      </c>
      <c r="E672" s="1" t="s">
        <v>43</v>
      </c>
      <c r="F672" s="1" t="s">
        <v>38</v>
      </c>
      <c r="G672" s="1" t="s">
        <v>52</v>
      </c>
      <c r="H672" s="2">
        <v>45508</v>
      </c>
      <c r="I672" s="2">
        <v>45553</v>
      </c>
      <c r="J672" s="1">
        <v>40158.14</v>
      </c>
      <c r="K672" s="1">
        <v>1.0973999999999999</v>
      </c>
      <c r="L672" s="1">
        <v>44069.54</v>
      </c>
      <c r="M672" s="1">
        <v>611755</v>
      </c>
      <c r="N672" s="1">
        <v>25717</v>
      </c>
      <c r="O672" s="1">
        <v>245142.17</v>
      </c>
      <c r="P672" s="1">
        <v>2024</v>
      </c>
      <c r="Q672" s="1" t="s">
        <v>32</v>
      </c>
      <c r="R672" s="1" t="s">
        <v>33</v>
      </c>
    </row>
    <row r="673" spans="1:18" x14ac:dyDescent="0.35">
      <c r="A673" s="3" t="s">
        <v>100</v>
      </c>
      <c r="B673" s="3"/>
      <c r="C673" s="1" t="s">
        <v>19</v>
      </c>
      <c r="D673" s="1" t="s">
        <v>20</v>
      </c>
      <c r="E673" s="1" t="s">
        <v>51</v>
      </c>
      <c r="F673" s="1" t="s">
        <v>38</v>
      </c>
      <c r="G673" s="1" t="s">
        <v>23</v>
      </c>
      <c r="H673" s="2">
        <v>45509</v>
      </c>
      <c r="I673" s="2">
        <v>45527</v>
      </c>
      <c r="J673" s="1">
        <v>36979.03</v>
      </c>
      <c r="K673" s="1">
        <v>0.87109999999999999</v>
      </c>
      <c r="L673" s="1">
        <v>32212.43</v>
      </c>
      <c r="M673" s="1">
        <v>841420</v>
      </c>
      <c r="N673" s="1">
        <v>31723</v>
      </c>
      <c r="O673" s="1">
        <v>47361.11</v>
      </c>
      <c r="P673" s="1">
        <v>2024</v>
      </c>
      <c r="Q673" s="1" t="s">
        <v>32</v>
      </c>
      <c r="R673" s="1" t="s">
        <v>33</v>
      </c>
    </row>
    <row r="674" spans="1:18" x14ac:dyDescent="0.35">
      <c r="A674" s="3" t="s">
        <v>112</v>
      </c>
      <c r="B674" s="3"/>
      <c r="C674" s="1" t="s">
        <v>28</v>
      </c>
      <c r="D674" s="1" t="s">
        <v>58</v>
      </c>
      <c r="E674" s="1" t="s">
        <v>51</v>
      </c>
      <c r="F674" s="1" t="s">
        <v>30</v>
      </c>
      <c r="G674" s="1" t="s">
        <v>49</v>
      </c>
      <c r="H674" s="2">
        <v>45510</v>
      </c>
      <c r="I674" s="2">
        <v>45540</v>
      </c>
      <c r="J674" s="1">
        <v>42837.63</v>
      </c>
      <c r="K674" s="1">
        <v>0.27539999999999998</v>
      </c>
      <c r="L674" s="1">
        <v>11797.48</v>
      </c>
      <c r="M674" s="1">
        <v>926622</v>
      </c>
      <c r="N674" s="1">
        <v>30395</v>
      </c>
      <c r="O674" s="1">
        <v>168941.89</v>
      </c>
      <c r="P674" s="1">
        <v>2024</v>
      </c>
      <c r="Q674" s="1" t="s">
        <v>32</v>
      </c>
      <c r="R674" s="1" t="s">
        <v>33</v>
      </c>
    </row>
    <row r="675" spans="1:18" x14ac:dyDescent="0.35">
      <c r="A675" s="3" t="s">
        <v>116</v>
      </c>
      <c r="B675" s="3"/>
      <c r="C675" s="1" t="s">
        <v>28</v>
      </c>
      <c r="D675" s="1" t="s">
        <v>36</v>
      </c>
      <c r="E675" s="1" t="s">
        <v>43</v>
      </c>
      <c r="F675" s="1" t="s">
        <v>38</v>
      </c>
      <c r="G675" s="1" t="s">
        <v>23</v>
      </c>
      <c r="H675" s="2">
        <v>45513</v>
      </c>
      <c r="I675" s="2">
        <v>45552</v>
      </c>
      <c r="J675" s="1">
        <v>8342.77</v>
      </c>
      <c r="K675" s="1">
        <v>0.40050000000000002</v>
      </c>
      <c r="L675" s="1">
        <v>3341.28</v>
      </c>
      <c r="M675" s="1">
        <v>555617</v>
      </c>
      <c r="N675" s="1">
        <v>29056</v>
      </c>
      <c r="O675" s="1">
        <v>33478.81</v>
      </c>
      <c r="P675" s="1">
        <v>2024</v>
      </c>
      <c r="Q675" s="1" t="s">
        <v>32</v>
      </c>
      <c r="R675" s="1" t="s">
        <v>33</v>
      </c>
    </row>
    <row r="676" spans="1:18" x14ac:dyDescent="0.35">
      <c r="A676" s="3" t="s">
        <v>106</v>
      </c>
      <c r="B676" s="3"/>
      <c r="C676" s="1" t="s">
        <v>19</v>
      </c>
      <c r="D676" s="1" t="s">
        <v>36</v>
      </c>
      <c r="E676" s="1" t="s">
        <v>21</v>
      </c>
      <c r="F676" s="1" t="s">
        <v>22</v>
      </c>
      <c r="G676" s="1" t="s">
        <v>31</v>
      </c>
      <c r="H676" s="2">
        <v>45513</v>
      </c>
      <c r="I676" s="2">
        <v>45528</v>
      </c>
      <c r="J676" s="1">
        <v>27264.639999999999</v>
      </c>
      <c r="K676" s="1">
        <v>0.93769999999999998</v>
      </c>
      <c r="L676" s="1">
        <v>25566.05</v>
      </c>
      <c r="M676" s="1">
        <v>125674</v>
      </c>
      <c r="N676" s="1">
        <v>40293</v>
      </c>
      <c r="O676" s="1">
        <v>154634.09</v>
      </c>
      <c r="P676" s="1">
        <v>2024</v>
      </c>
      <c r="Q676" s="1" t="s">
        <v>32</v>
      </c>
      <c r="R676" s="1" t="s">
        <v>33</v>
      </c>
    </row>
    <row r="677" spans="1:18" x14ac:dyDescent="0.35">
      <c r="A677" s="3" t="s">
        <v>57</v>
      </c>
      <c r="B677" s="3"/>
      <c r="C677" s="1" t="s">
        <v>19</v>
      </c>
      <c r="D677" s="1" t="s">
        <v>29</v>
      </c>
      <c r="E677" s="1" t="s">
        <v>43</v>
      </c>
      <c r="F677" s="1" t="s">
        <v>22</v>
      </c>
      <c r="G677" s="1" t="s">
        <v>31</v>
      </c>
      <c r="H677" s="2">
        <v>45513</v>
      </c>
      <c r="I677" s="2">
        <v>45521</v>
      </c>
      <c r="J677" s="1">
        <v>33159.67</v>
      </c>
      <c r="K677" s="1">
        <v>0.35720000000000002</v>
      </c>
      <c r="L677" s="1">
        <v>11844.63</v>
      </c>
      <c r="M677" s="1">
        <v>783199</v>
      </c>
      <c r="N677" s="1">
        <v>41015</v>
      </c>
      <c r="O677" s="1">
        <v>11688.03</v>
      </c>
      <c r="P677" s="1">
        <v>2024</v>
      </c>
      <c r="Q677" s="1" t="s">
        <v>32</v>
      </c>
      <c r="R677" s="1" t="s">
        <v>33</v>
      </c>
    </row>
    <row r="678" spans="1:18" x14ac:dyDescent="0.35">
      <c r="A678" s="3" t="s">
        <v>47</v>
      </c>
      <c r="B678" s="3"/>
      <c r="C678" s="1" t="s">
        <v>19</v>
      </c>
      <c r="D678" s="1" t="s">
        <v>20</v>
      </c>
      <c r="E678" s="1" t="s">
        <v>59</v>
      </c>
      <c r="F678" s="1" t="s">
        <v>22</v>
      </c>
      <c r="G678" s="1" t="s">
        <v>49</v>
      </c>
      <c r="H678" s="2">
        <v>45515</v>
      </c>
      <c r="I678" s="2">
        <v>45520</v>
      </c>
      <c r="J678" s="1">
        <v>26253.77</v>
      </c>
      <c r="K678" s="1">
        <v>1.1285000000000001</v>
      </c>
      <c r="L678" s="1">
        <v>29627.38</v>
      </c>
      <c r="M678" s="1">
        <v>524514</v>
      </c>
      <c r="N678" s="1">
        <v>31435</v>
      </c>
      <c r="O678" s="1">
        <v>111834.13</v>
      </c>
      <c r="P678" s="1">
        <v>2024</v>
      </c>
      <c r="Q678" s="1" t="s">
        <v>32</v>
      </c>
      <c r="R678" s="1" t="s">
        <v>33</v>
      </c>
    </row>
    <row r="679" spans="1:18" x14ac:dyDescent="0.35">
      <c r="A679" s="3" t="s">
        <v>82</v>
      </c>
      <c r="B679" s="3"/>
      <c r="C679" s="1" t="s">
        <v>28</v>
      </c>
      <c r="D679" s="1" t="s">
        <v>29</v>
      </c>
      <c r="E679" s="1" t="s">
        <v>59</v>
      </c>
      <c r="F679" s="1" t="s">
        <v>22</v>
      </c>
      <c r="G679" s="1" t="s">
        <v>52</v>
      </c>
      <c r="H679" s="2">
        <v>45516</v>
      </c>
      <c r="I679" s="2">
        <v>45570</v>
      </c>
      <c r="J679" s="1">
        <v>42816.61</v>
      </c>
      <c r="K679" s="1">
        <v>0.72970000000000002</v>
      </c>
      <c r="L679" s="1">
        <v>31243.279999999999</v>
      </c>
      <c r="M679" s="1">
        <v>856514</v>
      </c>
      <c r="N679" s="1">
        <v>48417</v>
      </c>
      <c r="O679" s="1">
        <v>218477.46</v>
      </c>
      <c r="P679" s="1">
        <v>2024</v>
      </c>
      <c r="Q679" s="1" t="s">
        <v>32</v>
      </c>
      <c r="R679" s="1" t="s">
        <v>33</v>
      </c>
    </row>
    <row r="680" spans="1:18" x14ac:dyDescent="0.35">
      <c r="A680" s="3" t="s">
        <v>120</v>
      </c>
      <c r="B680" s="3"/>
      <c r="C680" s="1" t="s">
        <v>48</v>
      </c>
      <c r="D680" s="1" t="s">
        <v>36</v>
      </c>
      <c r="E680" s="1" t="s">
        <v>21</v>
      </c>
      <c r="F680" s="1" t="s">
        <v>38</v>
      </c>
      <c r="G680" s="1" t="s">
        <v>44</v>
      </c>
      <c r="H680" s="2">
        <v>45516</v>
      </c>
      <c r="I680" s="2">
        <v>45552</v>
      </c>
      <c r="J680" s="1">
        <v>31998.86</v>
      </c>
      <c r="K680" s="1">
        <v>0.9294</v>
      </c>
      <c r="L680" s="1">
        <v>29739.74</v>
      </c>
      <c r="M680" s="1">
        <v>953584</v>
      </c>
      <c r="N680" s="1">
        <v>11890</v>
      </c>
      <c r="O680" s="1">
        <v>219719.4</v>
      </c>
      <c r="P680" s="1">
        <v>2024</v>
      </c>
      <c r="Q680" s="1" t="s">
        <v>32</v>
      </c>
      <c r="R680" s="1" t="s">
        <v>33</v>
      </c>
    </row>
    <row r="681" spans="1:18" x14ac:dyDescent="0.35">
      <c r="A681" s="3" t="s">
        <v>89</v>
      </c>
      <c r="B681" s="3"/>
      <c r="C681" s="1" t="s">
        <v>28</v>
      </c>
      <c r="D681" s="1" t="s">
        <v>58</v>
      </c>
      <c r="E681" s="1" t="s">
        <v>21</v>
      </c>
      <c r="F681" s="1" t="s">
        <v>22</v>
      </c>
      <c r="G681" s="1" t="s">
        <v>52</v>
      </c>
      <c r="H681" s="2">
        <v>45516</v>
      </c>
      <c r="I681" s="2">
        <v>45538</v>
      </c>
      <c r="J681" s="1">
        <v>12699.59</v>
      </c>
      <c r="K681" s="1">
        <v>0.64319999999999999</v>
      </c>
      <c r="L681" s="1">
        <v>8168.38</v>
      </c>
      <c r="M681" s="1">
        <v>298840</v>
      </c>
      <c r="N681" s="1">
        <v>14941</v>
      </c>
      <c r="O681" s="1">
        <v>221237.07</v>
      </c>
      <c r="P681" s="1">
        <v>2024</v>
      </c>
      <c r="Q681" s="1" t="s">
        <v>32</v>
      </c>
      <c r="R681" s="1" t="s">
        <v>33</v>
      </c>
    </row>
    <row r="682" spans="1:18" x14ac:dyDescent="0.35">
      <c r="A682" s="3" t="s">
        <v>47</v>
      </c>
      <c r="B682" s="3"/>
      <c r="C682" s="1" t="s">
        <v>28</v>
      </c>
      <c r="D682" s="1" t="s">
        <v>69</v>
      </c>
      <c r="E682" s="1" t="s">
        <v>21</v>
      </c>
      <c r="F682" s="1" t="s">
        <v>38</v>
      </c>
      <c r="G682" s="1" t="s">
        <v>52</v>
      </c>
      <c r="H682" s="2">
        <v>45516</v>
      </c>
      <c r="I682" s="2">
        <v>45526</v>
      </c>
      <c r="J682" s="1">
        <v>6430.58</v>
      </c>
      <c r="K682" s="1">
        <v>0.307</v>
      </c>
      <c r="L682" s="1">
        <v>1974.19</v>
      </c>
      <c r="M682" s="1">
        <v>758226</v>
      </c>
      <c r="N682" s="1">
        <v>42644</v>
      </c>
      <c r="O682" s="1">
        <v>191974.86</v>
      </c>
      <c r="P682" s="1">
        <v>2024</v>
      </c>
      <c r="Q682" s="1" t="s">
        <v>32</v>
      </c>
      <c r="R682" s="1" t="s">
        <v>33</v>
      </c>
    </row>
    <row r="683" spans="1:18" x14ac:dyDescent="0.35">
      <c r="A683" s="3" t="s">
        <v>99</v>
      </c>
      <c r="B683" s="3"/>
      <c r="C683" s="1" t="s">
        <v>28</v>
      </c>
      <c r="D683" s="1" t="s">
        <v>20</v>
      </c>
      <c r="E683" s="1" t="s">
        <v>51</v>
      </c>
      <c r="F683" s="1" t="s">
        <v>30</v>
      </c>
      <c r="G683" s="1" t="s">
        <v>23</v>
      </c>
      <c r="H683" s="2">
        <v>45517</v>
      </c>
      <c r="I683" s="2">
        <v>45553</v>
      </c>
      <c r="J683" s="1">
        <v>11434.69</v>
      </c>
      <c r="K683" s="1">
        <v>1.1549</v>
      </c>
      <c r="L683" s="1">
        <v>13205.92</v>
      </c>
      <c r="M683" s="1">
        <v>788261</v>
      </c>
      <c r="N683" s="1">
        <v>30724</v>
      </c>
      <c r="O683" s="1">
        <v>70644.31</v>
      </c>
      <c r="P683" s="1">
        <v>2024</v>
      </c>
      <c r="Q683" s="1" t="s">
        <v>32</v>
      </c>
      <c r="R683" s="1" t="s">
        <v>33</v>
      </c>
    </row>
    <row r="684" spans="1:18" x14ac:dyDescent="0.35">
      <c r="A684" s="3" t="s">
        <v>111</v>
      </c>
      <c r="B684" s="3"/>
      <c r="C684" s="1" t="s">
        <v>28</v>
      </c>
      <c r="D684" s="1" t="s">
        <v>58</v>
      </c>
      <c r="E684" s="1" t="s">
        <v>59</v>
      </c>
      <c r="F684" s="1" t="s">
        <v>38</v>
      </c>
      <c r="G684" s="1" t="s">
        <v>49</v>
      </c>
      <c r="H684" s="2">
        <v>45517</v>
      </c>
      <c r="I684" s="2">
        <v>45550</v>
      </c>
      <c r="J684" s="1">
        <v>48418.559999999998</v>
      </c>
      <c r="K684" s="1">
        <v>0.24970000000000001</v>
      </c>
      <c r="L684" s="1">
        <v>12090.11</v>
      </c>
      <c r="M684" s="1">
        <v>914318</v>
      </c>
      <c r="N684" s="1">
        <v>31634</v>
      </c>
      <c r="O684" s="1">
        <v>24603.91</v>
      </c>
      <c r="P684" s="1">
        <v>2024</v>
      </c>
      <c r="Q684" s="1" t="s">
        <v>32</v>
      </c>
      <c r="R684" s="1" t="s">
        <v>33</v>
      </c>
    </row>
    <row r="685" spans="1:18" x14ac:dyDescent="0.35">
      <c r="A685" s="3" t="s">
        <v>103</v>
      </c>
      <c r="B685" s="3"/>
      <c r="C685" s="1" t="s">
        <v>28</v>
      </c>
      <c r="D685" s="1" t="s">
        <v>69</v>
      </c>
      <c r="E685" s="1" t="s">
        <v>59</v>
      </c>
      <c r="F685" s="1" t="s">
        <v>38</v>
      </c>
      <c r="G685" s="1" t="s">
        <v>23</v>
      </c>
      <c r="H685" s="2">
        <v>45517</v>
      </c>
      <c r="I685" s="2">
        <v>45523</v>
      </c>
      <c r="J685" s="1">
        <v>14966.81</v>
      </c>
      <c r="K685" s="1">
        <v>0.77600000000000002</v>
      </c>
      <c r="L685" s="1">
        <v>11614.24</v>
      </c>
      <c r="M685" s="1">
        <v>907689</v>
      </c>
      <c r="N685" s="1">
        <v>37832</v>
      </c>
      <c r="O685" s="1">
        <v>247048.92</v>
      </c>
      <c r="P685" s="1">
        <v>2024</v>
      </c>
      <c r="Q685" s="1" t="s">
        <v>32</v>
      </c>
      <c r="R685" s="1" t="s">
        <v>33</v>
      </c>
    </row>
    <row r="686" spans="1:18" x14ac:dyDescent="0.35">
      <c r="A686" s="3" t="s">
        <v>116</v>
      </c>
      <c r="B686" s="3"/>
      <c r="C686" s="1" t="s">
        <v>28</v>
      </c>
      <c r="D686" s="1" t="s">
        <v>58</v>
      </c>
      <c r="E686" s="1" t="s">
        <v>63</v>
      </c>
      <c r="F686" s="1" t="s">
        <v>22</v>
      </c>
      <c r="G686" s="1" t="s">
        <v>49</v>
      </c>
      <c r="H686" s="2">
        <v>45518</v>
      </c>
      <c r="I686" s="2">
        <v>45558</v>
      </c>
      <c r="J686" s="1">
        <v>42895.199999999997</v>
      </c>
      <c r="K686" s="1">
        <v>0.1129</v>
      </c>
      <c r="L686" s="1">
        <v>4842.87</v>
      </c>
      <c r="M686" s="1">
        <v>908602</v>
      </c>
      <c r="N686" s="1">
        <v>34294</v>
      </c>
      <c r="O686" s="1">
        <v>124857.28</v>
      </c>
      <c r="P686" s="1">
        <v>2024</v>
      </c>
      <c r="Q686" s="1" t="s">
        <v>32</v>
      </c>
      <c r="R686" s="1" t="s">
        <v>33</v>
      </c>
    </row>
    <row r="687" spans="1:18" x14ac:dyDescent="0.35">
      <c r="A687" s="3" t="s">
        <v>47</v>
      </c>
      <c r="B687" s="3"/>
      <c r="C687" s="1" t="s">
        <v>48</v>
      </c>
      <c r="D687" s="1" t="s">
        <v>36</v>
      </c>
      <c r="E687" s="1" t="s">
        <v>21</v>
      </c>
      <c r="F687" s="1" t="s">
        <v>38</v>
      </c>
      <c r="G687" s="1" t="s">
        <v>49</v>
      </c>
      <c r="H687" s="2">
        <v>45518</v>
      </c>
      <c r="I687" s="2">
        <v>45535</v>
      </c>
      <c r="J687" s="1">
        <v>35524.019999999997</v>
      </c>
      <c r="K687" s="1">
        <v>6.4500000000000002E-2</v>
      </c>
      <c r="L687" s="1">
        <v>2291.3000000000002</v>
      </c>
      <c r="M687" s="1">
        <v>248968</v>
      </c>
      <c r="N687" s="1">
        <v>19065</v>
      </c>
      <c r="O687" s="1">
        <v>246379.27</v>
      </c>
      <c r="P687" s="1">
        <v>2024</v>
      </c>
      <c r="Q687" s="1" t="s">
        <v>32</v>
      </c>
      <c r="R687" s="1" t="s">
        <v>33</v>
      </c>
    </row>
    <row r="688" spans="1:18" x14ac:dyDescent="0.35">
      <c r="A688" s="3" t="s">
        <v>78</v>
      </c>
      <c r="B688" s="3"/>
      <c r="C688" s="1" t="s">
        <v>48</v>
      </c>
      <c r="D688" s="1" t="s">
        <v>69</v>
      </c>
      <c r="E688" s="1" t="s">
        <v>37</v>
      </c>
      <c r="F688" s="1" t="s">
        <v>22</v>
      </c>
      <c r="G688" s="1" t="s">
        <v>23</v>
      </c>
      <c r="H688" s="2">
        <v>45521</v>
      </c>
      <c r="I688" s="2">
        <v>45571</v>
      </c>
      <c r="J688" s="1">
        <v>21670.2</v>
      </c>
      <c r="K688" s="1">
        <v>0.69769999999999999</v>
      </c>
      <c r="L688" s="1">
        <v>15119.3</v>
      </c>
      <c r="M688" s="1">
        <v>737186</v>
      </c>
      <c r="N688" s="1">
        <v>49139</v>
      </c>
      <c r="O688" s="1">
        <v>58736.83</v>
      </c>
      <c r="P688" s="1">
        <v>2024</v>
      </c>
      <c r="Q688" s="1" t="s">
        <v>32</v>
      </c>
      <c r="R688" s="1" t="s">
        <v>33</v>
      </c>
    </row>
    <row r="689" spans="1:18" x14ac:dyDescent="0.35">
      <c r="A689" s="3" t="s">
        <v>96</v>
      </c>
      <c r="B689" s="3"/>
      <c r="C689" s="1" t="s">
        <v>35</v>
      </c>
      <c r="D689" s="1" t="s">
        <v>29</v>
      </c>
      <c r="E689" s="1" t="s">
        <v>63</v>
      </c>
      <c r="F689" s="1" t="s">
        <v>22</v>
      </c>
      <c r="G689" s="1" t="s">
        <v>52</v>
      </c>
      <c r="H689" s="2">
        <v>45523</v>
      </c>
      <c r="I689" s="2">
        <v>45558</v>
      </c>
      <c r="J689" s="1">
        <v>46909.42</v>
      </c>
      <c r="K689" s="1">
        <v>1.1820999999999999</v>
      </c>
      <c r="L689" s="1">
        <v>55451.63</v>
      </c>
      <c r="M689" s="1">
        <v>694963</v>
      </c>
      <c r="N689" s="1">
        <v>2064</v>
      </c>
      <c r="O689" s="1">
        <v>12907.31</v>
      </c>
      <c r="P689" s="1">
        <v>2024</v>
      </c>
      <c r="Q689" s="1" t="s">
        <v>32</v>
      </c>
      <c r="R689" s="1" t="s">
        <v>33</v>
      </c>
    </row>
    <row r="690" spans="1:18" x14ac:dyDescent="0.35">
      <c r="A690" s="3" t="s">
        <v>27</v>
      </c>
      <c r="B690" s="3"/>
      <c r="C690" s="1" t="s">
        <v>28</v>
      </c>
      <c r="D690" s="1" t="s">
        <v>36</v>
      </c>
      <c r="E690" s="1" t="s">
        <v>43</v>
      </c>
      <c r="F690" s="1" t="s">
        <v>38</v>
      </c>
      <c r="G690" s="1" t="s">
        <v>52</v>
      </c>
      <c r="H690" s="2">
        <v>45524</v>
      </c>
      <c r="I690" s="2">
        <v>45562</v>
      </c>
      <c r="J690" s="1">
        <v>11885.05</v>
      </c>
      <c r="K690" s="1">
        <v>1.1234</v>
      </c>
      <c r="L690" s="1">
        <v>13351.67</v>
      </c>
      <c r="M690" s="1">
        <v>301427</v>
      </c>
      <c r="N690" s="1">
        <v>12926</v>
      </c>
      <c r="O690" s="1">
        <v>10524.42</v>
      </c>
      <c r="P690" s="1">
        <v>2024</v>
      </c>
      <c r="Q690" s="1" t="s">
        <v>32</v>
      </c>
      <c r="R690" s="1" t="s">
        <v>33</v>
      </c>
    </row>
    <row r="691" spans="1:18" x14ac:dyDescent="0.35">
      <c r="A691" s="3" t="s">
        <v>94</v>
      </c>
      <c r="B691" s="3"/>
      <c r="C691" s="1" t="s">
        <v>19</v>
      </c>
      <c r="D691" s="1" t="s">
        <v>58</v>
      </c>
      <c r="E691" s="1" t="s">
        <v>51</v>
      </c>
      <c r="F691" s="1" t="s">
        <v>38</v>
      </c>
      <c r="G691" s="1" t="s">
        <v>31</v>
      </c>
      <c r="H691" s="2">
        <v>45525</v>
      </c>
      <c r="I691" s="2">
        <v>45569</v>
      </c>
      <c r="J691" s="1">
        <v>41664.43</v>
      </c>
      <c r="K691" s="1">
        <v>9.0399999999999994E-2</v>
      </c>
      <c r="L691" s="1">
        <v>3766.46</v>
      </c>
      <c r="M691" s="1">
        <v>40955</v>
      </c>
      <c r="N691" s="1">
        <v>48129</v>
      </c>
      <c r="O691" s="1">
        <v>43999.02</v>
      </c>
      <c r="P691" s="1">
        <v>2024</v>
      </c>
      <c r="Q691" s="1" t="s">
        <v>32</v>
      </c>
      <c r="R691" s="1" t="s">
        <v>33</v>
      </c>
    </row>
    <row r="692" spans="1:18" x14ac:dyDescent="0.35">
      <c r="A692" s="3" t="s">
        <v>96</v>
      </c>
      <c r="B692" s="3"/>
      <c r="C692" s="1" t="s">
        <v>48</v>
      </c>
      <c r="D692" s="1" t="s">
        <v>29</v>
      </c>
      <c r="E692" s="1" t="s">
        <v>43</v>
      </c>
      <c r="F692" s="1" t="s">
        <v>22</v>
      </c>
      <c r="G692" s="1" t="s">
        <v>49</v>
      </c>
      <c r="H692" s="2">
        <v>45525</v>
      </c>
      <c r="I692" s="2">
        <v>45561</v>
      </c>
      <c r="J692" s="1">
        <v>32186.6</v>
      </c>
      <c r="K692" s="1">
        <v>1.1958</v>
      </c>
      <c r="L692" s="1">
        <v>38488.74</v>
      </c>
      <c r="M692" s="1">
        <v>732487</v>
      </c>
      <c r="N692" s="1">
        <v>32182</v>
      </c>
      <c r="O692" s="1">
        <v>184270.66</v>
      </c>
      <c r="P692" s="1">
        <v>2024</v>
      </c>
      <c r="Q692" s="1" t="s">
        <v>32</v>
      </c>
      <c r="R692" s="1" t="s">
        <v>33</v>
      </c>
    </row>
    <row r="693" spans="1:18" x14ac:dyDescent="0.35">
      <c r="A693" s="3" t="s">
        <v>107</v>
      </c>
      <c r="B693" s="3"/>
      <c r="C693" s="1" t="s">
        <v>28</v>
      </c>
      <c r="D693" s="1" t="s">
        <v>69</v>
      </c>
      <c r="E693" s="1" t="s">
        <v>37</v>
      </c>
      <c r="F693" s="1" t="s">
        <v>30</v>
      </c>
      <c r="G693" s="1" t="s">
        <v>31</v>
      </c>
      <c r="H693" s="2">
        <v>45528</v>
      </c>
      <c r="I693" s="2">
        <v>45580</v>
      </c>
      <c r="J693" s="1">
        <v>36603.360000000001</v>
      </c>
      <c r="K693" s="1">
        <v>1.0636000000000001</v>
      </c>
      <c r="L693" s="1">
        <v>38931.33</v>
      </c>
      <c r="M693" s="1">
        <v>696735</v>
      </c>
      <c r="N693" s="1">
        <v>6589</v>
      </c>
      <c r="O693" s="1">
        <v>209254.81</v>
      </c>
      <c r="P693" s="1">
        <v>2024</v>
      </c>
      <c r="Q693" s="1" t="s">
        <v>32</v>
      </c>
      <c r="R693" s="1" t="s">
        <v>33</v>
      </c>
    </row>
    <row r="694" spans="1:18" x14ac:dyDescent="0.35">
      <c r="A694" s="3" t="s">
        <v>97</v>
      </c>
      <c r="B694" s="3"/>
      <c r="C694" s="1" t="s">
        <v>35</v>
      </c>
      <c r="D694" s="1" t="s">
        <v>20</v>
      </c>
      <c r="E694" s="1" t="s">
        <v>37</v>
      </c>
      <c r="F694" s="1" t="s">
        <v>22</v>
      </c>
      <c r="G694" s="1" t="s">
        <v>52</v>
      </c>
      <c r="H694" s="2">
        <v>45529</v>
      </c>
      <c r="I694" s="2">
        <v>45586</v>
      </c>
      <c r="J694" s="1">
        <v>40533.11</v>
      </c>
      <c r="K694" s="1">
        <v>0.1237</v>
      </c>
      <c r="L694" s="1">
        <v>5013.95</v>
      </c>
      <c r="M694" s="1">
        <v>375848</v>
      </c>
      <c r="N694" s="1">
        <v>46005</v>
      </c>
      <c r="O694" s="1">
        <v>145178.73000000001</v>
      </c>
      <c r="P694" s="1">
        <v>2024</v>
      </c>
      <c r="Q694" s="1" t="s">
        <v>32</v>
      </c>
      <c r="R694" s="1" t="s">
        <v>33</v>
      </c>
    </row>
    <row r="695" spans="1:18" x14ac:dyDescent="0.35">
      <c r="A695" s="3" t="s">
        <v>91</v>
      </c>
      <c r="B695" s="3"/>
      <c r="C695" s="1" t="s">
        <v>28</v>
      </c>
      <c r="D695" s="1" t="s">
        <v>58</v>
      </c>
      <c r="E695" s="1" t="s">
        <v>59</v>
      </c>
      <c r="F695" s="1" t="s">
        <v>22</v>
      </c>
      <c r="G695" s="1" t="s">
        <v>31</v>
      </c>
      <c r="H695" s="2">
        <v>45529</v>
      </c>
      <c r="I695" s="2">
        <v>45565</v>
      </c>
      <c r="J695" s="1">
        <v>18999.63</v>
      </c>
      <c r="K695" s="1">
        <v>0.33750000000000002</v>
      </c>
      <c r="L695" s="1">
        <v>6412.38</v>
      </c>
      <c r="M695" s="1">
        <v>414562</v>
      </c>
      <c r="N695" s="1">
        <v>45821</v>
      </c>
      <c r="O695" s="1">
        <v>200964.52</v>
      </c>
      <c r="P695" s="1">
        <v>2024</v>
      </c>
      <c r="Q695" s="1" t="s">
        <v>32</v>
      </c>
      <c r="R695" s="1" t="s">
        <v>33</v>
      </c>
    </row>
    <row r="696" spans="1:18" x14ac:dyDescent="0.35">
      <c r="A696" s="3" t="s">
        <v>70</v>
      </c>
      <c r="B696" s="3"/>
      <c r="C696" s="1" t="s">
        <v>35</v>
      </c>
      <c r="D696" s="1" t="s">
        <v>36</v>
      </c>
      <c r="E696" s="1" t="s">
        <v>43</v>
      </c>
      <c r="F696" s="1" t="s">
        <v>22</v>
      </c>
      <c r="G696" s="1" t="s">
        <v>31</v>
      </c>
      <c r="H696" s="2">
        <v>45529</v>
      </c>
      <c r="I696" s="2">
        <v>45548</v>
      </c>
      <c r="J696" s="1">
        <v>1352.35</v>
      </c>
      <c r="K696" s="1">
        <v>0.85229999999999995</v>
      </c>
      <c r="L696" s="1">
        <v>1152.6099999999999</v>
      </c>
      <c r="M696" s="1">
        <v>71733</v>
      </c>
      <c r="N696" s="1">
        <v>15103</v>
      </c>
      <c r="O696" s="1">
        <v>21513.08</v>
      </c>
      <c r="P696" s="1">
        <v>2024</v>
      </c>
      <c r="Q696" s="1" t="s">
        <v>32</v>
      </c>
      <c r="R696" s="1" t="s">
        <v>33</v>
      </c>
    </row>
    <row r="697" spans="1:18" x14ac:dyDescent="0.35">
      <c r="A697" s="3" t="s">
        <v>86</v>
      </c>
      <c r="B697" s="3"/>
      <c r="C697" s="1" t="s">
        <v>35</v>
      </c>
      <c r="D697" s="1" t="s">
        <v>58</v>
      </c>
      <c r="E697" s="1" t="s">
        <v>63</v>
      </c>
      <c r="F697" s="1" t="s">
        <v>22</v>
      </c>
      <c r="G697" s="1" t="s">
        <v>23</v>
      </c>
      <c r="H697" s="2">
        <v>45530</v>
      </c>
      <c r="I697" s="2">
        <v>45537</v>
      </c>
      <c r="J697" s="1">
        <v>25082.18</v>
      </c>
      <c r="K697" s="1">
        <v>1.1213</v>
      </c>
      <c r="L697" s="1">
        <v>28124.65</v>
      </c>
      <c r="M697" s="1">
        <v>366470</v>
      </c>
      <c r="N697" s="1">
        <v>28740</v>
      </c>
      <c r="O697" s="1">
        <v>49224.46</v>
      </c>
      <c r="P697" s="1">
        <v>2024</v>
      </c>
      <c r="Q697" s="1" t="s">
        <v>32</v>
      </c>
      <c r="R697" s="1" t="s">
        <v>33</v>
      </c>
    </row>
    <row r="698" spans="1:18" x14ac:dyDescent="0.35">
      <c r="A698" s="3" t="s">
        <v>42</v>
      </c>
      <c r="B698" s="3"/>
      <c r="C698" s="1" t="s">
        <v>19</v>
      </c>
      <c r="D698" s="1" t="s">
        <v>36</v>
      </c>
      <c r="E698" s="1" t="s">
        <v>37</v>
      </c>
      <c r="F698" s="1" t="s">
        <v>22</v>
      </c>
      <c r="G698" s="1" t="s">
        <v>44</v>
      </c>
      <c r="H698" s="2">
        <v>45533</v>
      </c>
      <c r="I698" s="2">
        <v>45575</v>
      </c>
      <c r="J698" s="1">
        <v>8555.52</v>
      </c>
      <c r="K698" s="1">
        <v>0.79390000000000005</v>
      </c>
      <c r="L698" s="1">
        <v>6792.23</v>
      </c>
      <c r="M698" s="1">
        <v>765638</v>
      </c>
      <c r="N698" s="1">
        <v>39758</v>
      </c>
      <c r="O698" s="1">
        <v>87716.800000000003</v>
      </c>
      <c r="P698" s="1">
        <v>2024</v>
      </c>
      <c r="Q698" s="1" t="s">
        <v>32</v>
      </c>
      <c r="R698" s="1" t="s">
        <v>33</v>
      </c>
    </row>
    <row r="699" spans="1:18" x14ac:dyDescent="0.35">
      <c r="A699" s="3" t="s">
        <v>72</v>
      </c>
      <c r="B699" s="3"/>
      <c r="C699" s="1" t="s">
        <v>48</v>
      </c>
      <c r="D699" s="1" t="s">
        <v>36</v>
      </c>
      <c r="E699" s="1" t="s">
        <v>59</v>
      </c>
      <c r="F699" s="1" t="s">
        <v>22</v>
      </c>
      <c r="G699" s="1" t="s">
        <v>23</v>
      </c>
      <c r="H699" s="2">
        <v>45535</v>
      </c>
      <c r="I699" s="2">
        <v>45557</v>
      </c>
      <c r="J699" s="1">
        <v>26948.57</v>
      </c>
      <c r="K699" s="1">
        <v>0.59740000000000004</v>
      </c>
      <c r="L699" s="1">
        <v>16099.08</v>
      </c>
      <c r="M699" s="1">
        <v>464626</v>
      </c>
      <c r="N699" s="1">
        <v>7255</v>
      </c>
      <c r="O699" s="1">
        <v>171884.33</v>
      </c>
      <c r="P699" s="1">
        <v>2024</v>
      </c>
      <c r="Q699" s="1" t="s">
        <v>32</v>
      </c>
      <c r="R699" s="1" t="s">
        <v>33</v>
      </c>
    </row>
    <row r="700" spans="1:18" x14ac:dyDescent="0.35">
      <c r="A700" s="3" t="s">
        <v>96</v>
      </c>
      <c r="B700" s="3"/>
      <c r="C700" s="1" t="s">
        <v>28</v>
      </c>
      <c r="D700" s="1" t="s">
        <v>58</v>
      </c>
      <c r="E700" s="1" t="s">
        <v>37</v>
      </c>
      <c r="F700" s="1" t="s">
        <v>30</v>
      </c>
      <c r="G700" s="1" t="s">
        <v>31</v>
      </c>
      <c r="H700" s="2">
        <v>45535</v>
      </c>
      <c r="I700" s="2">
        <v>45543</v>
      </c>
      <c r="J700" s="1">
        <v>33436.53</v>
      </c>
      <c r="K700" s="1">
        <v>0.78769999999999996</v>
      </c>
      <c r="L700" s="1">
        <v>26337.95</v>
      </c>
      <c r="M700" s="1">
        <v>30700</v>
      </c>
      <c r="N700" s="1">
        <v>3261</v>
      </c>
      <c r="O700" s="1">
        <v>173988.69</v>
      </c>
      <c r="P700" s="1">
        <v>2024</v>
      </c>
      <c r="Q700" s="1" t="s">
        <v>32</v>
      </c>
      <c r="R700" s="1" t="s">
        <v>33</v>
      </c>
    </row>
    <row r="701" spans="1:18" x14ac:dyDescent="0.35">
      <c r="A701" s="3" t="s">
        <v>95</v>
      </c>
      <c r="B701" s="3"/>
      <c r="C701" s="1" t="s">
        <v>19</v>
      </c>
      <c r="D701" s="1" t="s">
        <v>20</v>
      </c>
      <c r="E701" s="1" t="s">
        <v>59</v>
      </c>
      <c r="F701" s="1" t="s">
        <v>30</v>
      </c>
      <c r="G701" s="1" t="s">
        <v>44</v>
      </c>
      <c r="H701" s="2">
        <v>45538</v>
      </c>
      <c r="I701" s="2">
        <v>45581</v>
      </c>
      <c r="J701" s="1">
        <v>39437.5</v>
      </c>
      <c r="K701" s="1">
        <v>1.0378000000000001</v>
      </c>
      <c r="L701" s="1">
        <v>40928.239999999998</v>
      </c>
      <c r="M701" s="1">
        <v>22940</v>
      </c>
      <c r="N701" s="1">
        <v>19226</v>
      </c>
      <c r="O701" s="1">
        <v>106383.47</v>
      </c>
      <c r="P701" s="1">
        <v>2024</v>
      </c>
      <c r="Q701" s="1" t="s">
        <v>74</v>
      </c>
      <c r="R701" s="1" t="s">
        <v>33</v>
      </c>
    </row>
    <row r="702" spans="1:18" x14ac:dyDescent="0.35">
      <c r="A702" s="3" t="s">
        <v>106</v>
      </c>
      <c r="B702" s="3"/>
      <c r="C702" s="1" t="s">
        <v>48</v>
      </c>
      <c r="D702" s="1" t="s">
        <v>69</v>
      </c>
      <c r="E702" s="1" t="s">
        <v>59</v>
      </c>
      <c r="F702" s="1" t="s">
        <v>38</v>
      </c>
      <c r="G702" s="1" t="s">
        <v>44</v>
      </c>
      <c r="H702" s="2">
        <v>45538</v>
      </c>
      <c r="I702" s="2">
        <v>45562</v>
      </c>
      <c r="J702" s="1">
        <v>9491.7999999999993</v>
      </c>
      <c r="K702" s="1">
        <v>0.52859999999999996</v>
      </c>
      <c r="L702" s="1">
        <v>5017.37</v>
      </c>
      <c r="M702" s="1">
        <v>928481</v>
      </c>
      <c r="N702" s="1">
        <v>21234</v>
      </c>
      <c r="O702" s="1">
        <v>202073.16</v>
      </c>
      <c r="P702" s="1">
        <v>2024</v>
      </c>
      <c r="Q702" s="1" t="s">
        <v>74</v>
      </c>
      <c r="R702" s="1" t="s">
        <v>33</v>
      </c>
    </row>
    <row r="703" spans="1:18" x14ac:dyDescent="0.35">
      <c r="A703" s="3" t="s">
        <v>117</v>
      </c>
      <c r="B703" s="3"/>
      <c r="C703" s="1" t="s">
        <v>19</v>
      </c>
      <c r="D703" s="1" t="s">
        <v>69</v>
      </c>
      <c r="E703" s="1" t="s">
        <v>43</v>
      </c>
      <c r="F703" s="1" t="s">
        <v>30</v>
      </c>
      <c r="G703" s="1" t="s">
        <v>44</v>
      </c>
      <c r="H703" s="2">
        <v>45540</v>
      </c>
      <c r="I703" s="2">
        <v>45592</v>
      </c>
      <c r="J703" s="1">
        <v>18726.22</v>
      </c>
      <c r="K703" s="1">
        <v>0.58179999999999998</v>
      </c>
      <c r="L703" s="1">
        <v>10894.91</v>
      </c>
      <c r="M703" s="1">
        <v>467250</v>
      </c>
      <c r="N703" s="1">
        <v>17002</v>
      </c>
      <c r="O703" s="1">
        <v>158859.03</v>
      </c>
      <c r="P703" s="1">
        <v>2024</v>
      </c>
      <c r="Q703" s="1" t="s">
        <v>74</v>
      </c>
      <c r="R703" s="1" t="s">
        <v>33</v>
      </c>
    </row>
    <row r="704" spans="1:18" x14ac:dyDescent="0.35">
      <c r="A704" s="3" t="s">
        <v>109</v>
      </c>
      <c r="B704" s="3"/>
      <c r="C704" s="1" t="s">
        <v>28</v>
      </c>
      <c r="D704" s="1" t="s">
        <v>58</v>
      </c>
      <c r="E704" s="1" t="s">
        <v>51</v>
      </c>
      <c r="F704" s="1" t="s">
        <v>38</v>
      </c>
      <c r="G704" s="1" t="s">
        <v>23</v>
      </c>
      <c r="H704" s="2">
        <v>45541</v>
      </c>
      <c r="I704" s="2">
        <v>45562</v>
      </c>
      <c r="J704" s="1">
        <v>8313.31</v>
      </c>
      <c r="K704" s="1">
        <v>1.1500999999999999</v>
      </c>
      <c r="L704" s="1">
        <v>9561.14</v>
      </c>
      <c r="M704" s="1">
        <v>188386</v>
      </c>
      <c r="N704" s="1">
        <v>37274</v>
      </c>
      <c r="O704" s="1">
        <v>33750.879999999997</v>
      </c>
      <c r="P704" s="1">
        <v>2024</v>
      </c>
      <c r="Q704" s="1" t="s">
        <v>74</v>
      </c>
      <c r="R704" s="1" t="s">
        <v>33</v>
      </c>
    </row>
    <row r="705" spans="1:18" x14ac:dyDescent="0.35">
      <c r="A705" s="3" t="s">
        <v>67</v>
      </c>
      <c r="B705" s="3"/>
      <c r="C705" s="1" t="s">
        <v>48</v>
      </c>
      <c r="D705" s="1" t="s">
        <v>69</v>
      </c>
      <c r="E705" s="1" t="s">
        <v>43</v>
      </c>
      <c r="F705" s="1" t="s">
        <v>38</v>
      </c>
      <c r="G705" s="1" t="s">
        <v>49</v>
      </c>
      <c r="H705" s="2">
        <v>45541</v>
      </c>
      <c r="I705" s="2">
        <v>45561</v>
      </c>
      <c r="J705" s="1">
        <v>18136.75</v>
      </c>
      <c r="K705" s="1">
        <v>0.1022</v>
      </c>
      <c r="L705" s="1">
        <v>1853.58</v>
      </c>
      <c r="M705" s="1">
        <v>475371</v>
      </c>
      <c r="N705" s="1">
        <v>7517</v>
      </c>
      <c r="O705" s="1">
        <v>130203.7</v>
      </c>
      <c r="P705" s="1">
        <v>2024</v>
      </c>
      <c r="Q705" s="1" t="s">
        <v>74</v>
      </c>
      <c r="R705" s="1" t="s">
        <v>33</v>
      </c>
    </row>
    <row r="706" spans="1:18" x14ac:dyDescent="0.35">
      <c r="A706" s="3" t="s">
        <v>72</v>
      </c>
      <c r="B706" s="3"/>
      <c r="C706" s="1" t="s">
        <v>19</v>
      </c>
      <c r="D706" s="1" t="s">
        <v>29</v>
      </c>
      <c r="E706" s="1" t="s">
        <v>59</v>
      </c>
      <c r="F706" s="1" t="s">
        <v>22</v>
      </c>
      <c r="G706" s="1" t="s">
        <v>31</v>
      </c>
      <c r="H706" s="2">
        <v>45544</v>
      </c>
      <c r="I706" s="2">
        <v>45555</v>
      </c>
      <c r="J706" s="1">
        <v>19515.88</v>
      </c>
      <c r="K706" s="1">
        <v>3.4700000000000002E-2</v>
      </c>
      <c r="L706" s="1">
        <v>677.2</v>
      </c>
      <c r="M706" s="1">
        <v>876713</v>
      </c>
      <c r="N706" s="1">
        <v>988</v>
      </c>
      <c r="O706" s="1">
        <v>192044.21</v>
      </c>
      <c r="P706" s="1">
        <v>2024</v>
      </c>
      <c r="Q706" s="1" t="s">
        <v>74</v>
      </c>
      <c r="R706" s="1" t="s">
        <v>33</v>
      </c>
    </row>
    <row r="707" spans="1:18" x14ac:dyDescent="0.35">
      <c r="A707" s="3" t="s">
        <v>55</v>
      </c>
      <c r="B707" s="3"/>
      <c r="C707" s="1" t="s">
        <v>28</v>
      </c>
      <c r="D707" s="1" t="s">
        <v>20</v>
      </c>
      <c r="E707" s="1" t="s">
        <v>21</v>
      </c>
      <c r="F707" s="1" t="s">
        <v>38</v>
      </c>
      <c r="G707" s="1" t="s">
        <v>31</v>
      </c>
      <c r="H707" s="2">
        <v>45546</v>
      </c>
      <c r="I707" s="2">
        <v>45604</v>
      </c>
      <c r="J707" s="1">
        <v>11481.07</v>
      </c>
      <c r="K707" s="1">
        <v>0.2077</v>
      </c>
      <c r="L707" s="1">
        <v>2384.62</v>
      </c>
      <c r="M707" s="1">
        <v>674555</v>
      </c>
      <c r="N707" s="1">
        <v>18301</v>
      </c>
      <c r="O707" s="1">
        <v>179280.18</v>
      </c>
      <c r="P707" s="1">
        <v>2024</v>
      </c>
      <c r="Q707" s="1" t="s">
        <v>74</v>
      </c>
      <c r="R707" s="1" t="s">
        <v>33</v>
      </c>
    </row>
    <row r="708" spans="1:18" x14ac:dyDescent="0.35">
      <c r="A708" s="3" t="s">
        <v>55</v>
      </c>
      <c r="B708" s="3"/>
      <c r="C708" s="1" t="s">
        <v>35</v>
      </c>
      <c r="D708" s="1" t="s">
        <v>36</v>
      </c>
      <c r="E708" s="1" t="s">
        <v>43</v>
      </c>
      <c r="F708" s="1" t="s">
        <v>30</v>
      </c>
      <c r="G708" s="1" t="s">
        <v>52</v>
      </c>
      <c r="H708" s="2">
        <v>45546</v>
      </c>
      <c r="I708" s="2">
        <v>45581</v>
      </c>
      <c r="J708" s="1">
        <v>25567</v>
      </c>
      <c r="K708" s="1">
        <v>1.1496999999999999</v>
      </c>
      <c r="L708" s="1">
        <v>29394.38</v>
      </c>
      <c r="M708" s="1">
        <v>482407</v>
      </c>
      <c r="N708" s="1">
        <v>6883</v>
      </c>
      <c r="O708" s="1">
        <v>203686.87</v>
      </c>
      <c r="P708" s="1">
        <v>2024</v>
      </c>
      <c r="Q708" s="1" t="s">
        <v>74</v>
      </c>
      <c r="R708" s="1" t="s">
        <v>33</v>
      </c>
    </row>
    <row r="709" spans="1:18" x14ac:dyDescent="0.35">
      <c r="A709" s="3" t="s">
        <v>94</v>
      </c>
      <c r="B709" s="3"/>
      <c r="C709" s="1" t="s">
        <v>19</v>
      </c>
      <c r="D709" s="1" t="s">
        <v>69</v>
      </c>
      <c r="E709" s="1" t="s">
        <v>43</v>
      </c>
      <c r="F709" s="1" t="s">
        <v>30</v>
      </c>
      <c r="G709" s="1" t="s">
        <v>49</v>
      </c>
      <c r="H709" s="2">
        <v>45547</v>
      </c>
      <c r="I709" s="2">
        <v>45590</v>
      </c>
      <c r="J709" s="1">
        <v>48223</v>
      </c>
      <c r="K709" s="1">
        <v>0.86480000000000001</v>
      </c>
      <c r="L709" s="1">
        <v>41703.25</v>
      </c>
      <c r="M709" s="1">
        <v>825573</v>
      </c>
      <c r="N709" s="1">
        <v>10832</v>
      </c>
      <c r="O709" s="1">
        <v>241356.59</v>
      </c>
      <c r="P709" s="1">
        <v>2024</v>
      </c>
      <c r="Q709" s="1" t="s">
        <v>74</v>
      </c>
      <c r="R709" s="1" t="s">
        <v>33</v>
      </c>
    </row>
    <row r="710" spans="1:18" x14ac:dyDescent="0.35">
      <c r="A710" s="3" t="s">
        <v>93</v>
      </c>
      <c r="B710" s="3"/>
      <c r="C710" s="1" t="s">
        <v>35</v>
      </c>
      <c r="D710" s="1" t="s">
        <v>20</v>
      </c>
      <c r="E710" s="1" t="s">
        <v>21</v>
      </c>
      <c r="F710" s="1" t="s">
        <v>30</v>
      </c>
      <c r="G710" s="1" t="s">
        <v>31</v>
      </c>
      <c r="H710" s="2">
        <v>45548</v>
      </c>
      <c r="I710" s="2">
        <v>45581</v>
      </c>
      <c r="J710" s="1">
        <v>21295</v>
      </c>
      <c r="K710" s="1">
        <v>0.26650000000000001</v>
      </c>
      <c r="L710" s="1">
        <v>5675.12</v>
      </c>
      <c r="M710" s="1">
        <v>547234</v>
      </c>
      <c r="N710" s="1">
        <v>7559</v>
      </c>
      <c r="O710" s="1">
        <v>89567.35</v>
      </c>
      <c r="P710" s="1">
        <v>2024</v>
      </c>
      <c r="Q710" s="1" t="s">
        <v>74</v>
      </c>
      <c r="R710" s="1" t="s">
        <v>33</v>
      </c>
    </row>
    <row r="711" spans="1:18" x14ac:dyDescent="0.35">
      <c r="A711" s="3" t="s">
        <v>110</v>
      </c>
      <c r="B711" s="3"/>
      <c r="C711" s="1" t="s">
        <v>19</v>
      </c>
      <c r="D711" s="1" t="s">
        <v>69</v>
      </c>
      <c r="E711" s="1" t="s">
        <v>59</v>
      </c>
      <c r="F711" s="1" t="s">
        <v>30</v>
      </c>
      <c r="G711" s="1" t="s">
        <v>31</v>
      </c>
      <c r="H711" s="2">
        <v>45548</v>
      </c>
      <c r="I711" s="2">
        <v>45581</v>
      </c>
      <c r="J711" s="1">
        <v>48267.72</v>
      </c>
      <c r="K711" s="1">
        <v>0.81269999999999998</v>
      </c>
      <c r="L711" s="1">
        <v>39227.18</v>
      </c>
      <c r="M711" s="1">
        <v>934771</v>
      </c>
      <c r="N711" s="1">
        <v>34409</v>
      </c>
      <c r="O711" s="1">
        <v>226430.66</v>
      </c>
      <c r="P711" s="1">
        <v>2024</v>
      </c>
      <c r="Q711" s="1" t="s">
        <v>74</v>
      </c>
      <c r="R711" s="1" t="s">
        <v>33</v>
      </c>
    </row>
    <row r="712" spans="1:18" x14ac:dyDescent="0.35">
      <c r="A712" s="3" t="s">
        <v>86</v>
      </c>
      <c r="B712" s="3"/>
      <c r="C712" s="1" t="s">
        <v>28</v>
      </c>
      <c r="D712" s="1" t="s">
        <v>29</v>
      </c>
      <c r="E712" s="1" t="s">
        <v>43</v>
      </c>
      <c r="F712" s="1" t="s">
        <v>22</v>
      </c>
      <c r="G712" s="1" t="s">
        <v>52</v>
      </c>
      <c r="H712" s="2">
        <v>45548</v>
      </c>
      <c r="I712" s="2">
        <v>45558</v>
      </c>
      <c r="J712" s="1">
        <v>14794.35</v>
      </c>
      <c r="K712" s="1">
        <v>1.1128</v>
      </c>
      <c r="L712" s="1">
        <v>16463.150000000001</v>
      </c>
      <c r="M712" s="1">
        <v>409941</v>
      </c>
      <c r="N712" s="1">
        <v>25994</v>
      </c>
      <c r="O712" s="1">
        <v>206419.98</v>
      </c>
      <c r="P712" s="1">
        <v>2024</v>
      </c>
      <c r="Q712" s="1" t="s">
        <v>74</v>
      </c>
      <c r="R712" s="1" t="s">
        <v>33</v>
      </c>
    </row>
    <row r="713" spans="1:18" x14ac:dyDescent="0.35">
      <c r="A713" s="3" t="s">
        <v>79</v>
      </c>
      <c r="B713" s="3"/>
      <c r="C713" s="1" t="s">
        <v>35</v>
      </c>
      <c r="D713" s="1" t="s">
        <v>69</v>
      </c>
      <c r="E713" s="1" t="s">
        <v>37</v>
      </c>
      <c r="F713" s="1" t="s">
        <v>22</v>
      </c>
      <c r="G713" s="1" t="s">
        <v>52</v>
      </c>
      <c r="H713" s="2">
        <v>45550</v>
      </c>
      <c r="I713" s="2">
        <v>45597</v>
      </c>
      <c r="J713" s="1">
        <v>41643.58</v>
      </c>
      <c r="K713" s="1">
        <v>0.32829999999999998</v>
      </c>
      <c r="L713" s="1">
        <v>13671.59</v>
      </c>
      <c r="M713" s="1">
        <v>199179</v>
      </c>
      <c r="N713" s="1">
        <v>18009</v>
      </c>
      <c r="O713" s="1">
        <v>177161.2</v>
      </c>
      <c r="P713" s="1">
        <v>2024</v>
      </c>
      <c r="Q713" s="1" t="s">
        <v>74</v>
      </c>
      <c r="R713" s="1" t="s">
        <v>33</v>
      </c>
    </row>
    <row r="714" spans="1:18" x14ac:dyDescent="0.35">
      <c r="A714" s="3" t="s">
        <v>83</v>
      </c>
      <c r="B714" s="3"/>
      <c r="C714" s="1" t="s">
        <v>35</v>
      </c>
      <c r="D714" s="1" t="s">
        <v>58</v>
      </c>
      <c r="E714" s="1" t="s">
        <v>21</v>
      </c>
      <c r="F714" s="1" t="s">
        <v>38</v>
      </c>
      <c r="G714" s="1" t="s">
        <v>23</v>
      </c>
      <c r="H714" s="2">
        <v>45550</v>
      </c>
      <c r="I714" s="2">
        <v>45570</v>
      </c>
      <c r="J714" s="1">
        <v>28594.09</v>
      </c>
      <c r="K714" s="1">
        <v>0.2646</v>
      </c>
      <c r="L714" s="1">
        <v>7566</v>
      </c>
      <c r="M714" s="1">
        <v>812903</v>
      </c>
      <c r="N714" s="1">
        <v>36160</v>
      </c>
      <c r="O714" s="1">
        <v>231906</v>
      </c>
      <c r="P714" s="1">
        <v>2024</v>
      </c>
      <c r="Q714" s="1" t="s">
        <v>74</v>
      </c>
      <c r="R714" s="1" t="s">
        <v>33</v>
      </c>
    </row>
    <row r="715" spans="1:18" x14ac:dyDescent="0.35">
      <c r="A715" s="3" t="s">
        <v>90</v>
      </c>
      <c r="B715" s="3"/>
      <c r="C715" s="1" t="s">
        <v>28</v>
      </c>
      <c r="D715" s="1" t="s">
        <v>58</v>
      </c>
      <c r="E715" s="1" t="s">
        <v>51</v>
      </c>
      <c r="F715" s="1" t="s">
        <v>30</v>
      </c>
      <c r="G715" s="1" t="s">
        <v>52</v>
      </c>
      <c r="H715" s="2">
        <v>45552</v>
      </c>
      <c r="I715" s="2">
        <v>45598</v>
      </c>
      <c r="J715" s="1">
        <v>43059.43</v>
      </c>
      <c r="K715" s="1">
        <v>0.40860000000000002</v>
      </c>
      <c r="L715" s="1">
        <v>17594.080000000002</v>
      </c>
      <c r="M715" s="1">
        <v>290061</v>
      </c>
      <c r="N715" s="1">
        <v>6540</v>
      </c>
      <c r="O715" s="1">
        <v>67559.259999999995</v>
      </c>
      <c r="P715" s="1">
        <v>2024</v>
      </c>
      <c r="Q715" s="1" t="s">
        <v>74</v>
      </c>
      <c r="R715" s="1" t="s">
        <v>33</v>
      </c>
    </row>
    <row r="716" spans="1:18" x14ac:dyDescent="0.35">
      <c r="A716" s="3" t="s">
        <v>113</v>
      </c>
      <c r="B716" s="3"/>
      <c r="C716" s="1" t="s">
        <v>28</v>
      </c>
      <c r="D716" s="1" t="s">
        <v>29</v>
      </c>
      <c r="E716" s="1" t="s">
        <v>37</v>
      </c>
      <c r="F716" s="1" t="s">
        <v>30</v>
      </c>
      <c r="G716" s="1" t="s">
        <v>23</v>
      </c>
      <c r="H716" s="2">
        <v>45552</v>
      </c>
      <c r="I716" s="2">
        <v>45560</v>
      </c>
      <c r="J716" s="1">
        <v>48789.95</v>
      </c>
      <c r="K716" s="1">
        <v>1.0489999999999999</v>
      </c>
      <c r="L716" s="1">
        <v>51180.66</v>
      </c>
      <c r="M716" s="1">
        <v>855435</v>
      </c>
      <c r="N716" s="1">
        <v>6665</v>
      </c>
      <c r="O716" s="1">
        <v>5755.74</v>
      </c>
      <c r="P716" s="1">
        <v>2024</v>
      </c>
      <c r="Q716" s="1" t="s">
        <v>74</v>
      </c>
      <c r="R716" s="1" t="s">
        <v>33</v>
      </c>
    </row>
    <row r="717" spans="1:18" x14ac:dyDescent="0.35">
      <c r="A717" s="3" t="s">
        <v>82</v>
      </c>
      <c r="B717" s="3"/>
      <c r="C717" s="1" t="s">
        <v>19</v>
      </c>
      <c r="D717" s="1" t="s">
        <v>29</v>
      </c>
      <c r="E717" s="1" t="s">
        <v>63</v>
      </c>
      <c r="F717" s="1" t="s">
        <v>22</v>
      </c>
      <c r="G717" s="1" t="s">
        <v>23</v>
      </c>
      <c r="H717" s="2">
        <v>45553</v>
      </c>
      <c r="I717" s="2">
        <v>45609</v>
      </c>
      <c r="J717" s="1">
        <v>33044.839999999997</v>
      </c>
      <c r="K717" s="1">
        <v>1.9300000000000001E-2</v>
      </c>
      <c r="L717" s="1">
        <v>637.77</v>
      </c>
      <c r="M717" s="1">
        <v>866795</v>
      </c>
      <c r="N717" s="1">
        <v>36446</v>
      </c>
      <c r="O717" s="1">
        <v>78347.789999999994</v>
      </c>
      <c r="P717" s="1">
        <v>2024</v>
      </c>
      <c r="Q717" s="1" t="s">
        <v>74</v>
      </c>
      <c r="R717" s="1" t="s">
        <v>33</v>
      </c>
    </row>
    <row r="718" spans="1:18" x14ac:dyDescent="0.35">
      <c r="A718" s="3" t="s">
        <v>84</v>
      </c>
      <c r="B718" s="3"/>
      <c r="C718" s="1" t="s">
        <v>19</v>
      </c>
      <c r="D718" s="1" t="s">
        <v>36</v>
      </c>
      <c r="E718" s="1" t="s">
        <v>51</v>
      </c>
      <c r="F718" s="1" t="s">
        <v>30</v>
      </c>
      <c r="G718" s="1" t="s">
        <v>31</v>
      </c>
      <c r="H718" s="2">
        <v>45553</v>
      </c>
      <c r="I718" s="2">
        <v>45590</v>
      </c>
      <c r="J718" s="1">
        <v>20805.669999999998</v>
      </c>
      <c r="K718" s="1">
        <v>0.1618</v>
      </c>
      <c r="L718" s="1">
        <v>3366.36</v>
      </c>
      <c r="M718" s="1">
        <v>318474</v>
      </c>
      <c r="N718" s="1">
        <v>4190</v>
      </c>
      <c r="O718" s="1">
        <v>95459.61</v>
      </c>
      <c r="P718" s="1">
        <v>2024</v>
      </c>
      <c r="Q718" s="1" t="s">
        <v>74</v>
      </c>
      <c r="R718" s="1" t="s">
        <v>33</v>
      </c>
    </row>
    <row r="719" spans="1:18" x14ac:dyDescent="0.35">
      <c r="A719" s="3" t="s">
        <v>108</v>
      </c>
      <c r="B719" s="3"/>
      <c r="C719" s="1" t="s">
        <v>28</v>
      </c>
      <c r="D719" s="1" t="s">
        <v>20</v>
      </c>
      <c r="E719" s="1" t="s">
        <v>51</v>
      </c>
      <c r="F719" s="1" t="s">
        <v>38</v>
      </c>
      <c r="G719" s="1" t="s">
        <v>49</v>
      </c>
      <c r="H719" s="2">
        <v>45554</v>
      </c>
      <c r="I719" s="2">
        <v>45562</v>
      </c>
      <c r="J719" s="1">
        <v>45275.68</v>
      </c>
      <c r="K719" s="1">
        <v>0.64670000000000005</v>
      </c>
      <c r="L719" s="1">
        <v>29279.78</v>
      </c>
      <c r="M719" s="1">
        <v>21307</v>
      </c>
      <c r="N719" s="1">
        <v>30827</v>
      </c>
      <c r="O719" s="1">
        <v>116238.52</v>
      </c>
      <c r="P719" s="1">
        <v>2024</v>
      </c>
      <c r="Q719" s="1" t="s">
        <v>74</v>
      </c>
      <c r="R719" s="1" t="s">
        <v>33</v>
      </c>
    </row>
    <row r="720" spans="1:18" x14ac:dyDescent="0.35">
      <c r="A720" s="3" t="s">
        <v>100</v>
      </c>
      <c r="B720" s="3"/>
      <c r="C720" s="1" t="s">
        <v>48</v>
      </c>
      <c r="D720" s="1" t="s">
        <v>58</v>
      </c>
      <c r="E720" s="1" t="s">
        <v>21</v>
      </c>
      <c r="F720" s="1" t="s">
        <v>22</v>
      </c>
      <c r="G720" s="1" t="s">
        <v>52</v>
      </c>
      <c r="H720" s="2">
        <v>45555</v>
      </c>
      <c r="I720" s="2">
        <v>45601</v>
      </c>
      <c r="J720" s="1">
        <v>26529.27</v>
      </c>
      <c r="K720" s="1">
        <v>0.85680000000000001</v>
      </c>
      <c r="L720" s="1">
        <v>22730.28</v>
      </c>
      <c r="M720" s="1">
        <v>636495</v>
      </c>
      <c r="N720" s="1">
        <v>3865</v>
      </c>
      <c r="O720" s="1">
        <v>236700.39</v>
      </c>
      <c r="P720" s="1">
        <v>2024</v>
      </c>
      <c r="Q720" s="1" t="s">
        <v>74</v>
      </c>
      <c r="R720" s="1" t="s">
        <v>33</v>
      </c>
    </row>
    <row r="721" spans="1:18" x14ac:dyDescent="0.35">
      <c r="A721" s="3" t="s">
        <v>75</v>
      </c>
      <c r="B721" s="3"/>
      <c r="C721" s="1" t="s">
        <v>35</v>
      </c>
      <c r="D721" s="1" t="s">
        <v>20</v>
      </c>
      <c r="E721" s="1" t="s">
        <v>51</v>
      </c>
      <c r="F721" s="1" t="s">
        <v>30</v>
      </c>
      <c r="G721" s="1" t="s">
        <v>52</v>
      </c>
      <c r="H721" s="2">
        <v>45556</v>
      </c>
      <c r="I721" s="2">
        <v>45588</v>
      </c>
      <c r="J721" s="1">
        <v>14453.21</v>
      </c>
      <c r="K721" s="1">
        <v>1.1761999999999999</v>
      </c>
      <c r="L721" s="1">
        <v>16999.87</v>
      </c>
      <c r="M721" s="1">
        <v>70144</v>
      </c>
      <c r="N721" s="1">
        <v>5017</v>
      </c>
      <c r="O721" s="1">
        <v>169440.05</v>
      </c>
      <c r="P721" s="1">
        <v>2024</v>
      </c>
      <c r="Q721" s="1" t="s">
        <v>74</v>
      </c>
      <c r="R721" s="1" t="s">
        <v>33</v>
      </c>
    </row>
    <row r="722" spans="1:18" x14ac:dyDescent="0.35">
      <c r="A722" s="3" t="s">
        <v>72</v>
      </c>
      <c r="B722" s="3"/>
      <c r="C722" s="1" t="s">
        <v>19</v>
      </c>
      <c r="D722" s="1" t="s">
        <v>36</v>
      </c>
      <c r="E722" s="1" t="s">
        <v>21</v>
      </c>
      <c r="F722" s="1" t="s">
        <v>38</v>
      </c>
      <c r="G722" s="1" t="s">
        <v>49</v>
      </c>
      <c r="H722" s="2">
        <v>45556</v>
      </c>
      <c r="I722" s="2">
        <v>45563</v>
      </c>
      <c r="J722" s="1">
        <v>36634.910000000003</v>
      </c>
      <c r="K722" s="1">
        <v>1.0913999999999999</v>
      </c>
      <c r="L722" s="1">
        <v>39983.339999999997</v>
      </c>
      <c r="M722" s="1">
        <v>700909</v>
      </c>
      <c r="N722" s="1">
        <v>34273</v>
      </c>
      <c r="O722" s="1">
        <v>78899.429999999993</v>
      </c>
      <c r="P722" s="1">
        <v>2024</v>
      </c>
      <c r="Q722" s="1" t="s">
        <v>74</v>
      </c>
      <c r="R722" s="1" t="s">
        <v>33</v>
      </c>
    </row>
    <row r="723" spans="1:18" x14ac:dyDescent="0.35">
      <c r="A723" s="3" t="s">
        <v>71</v>
      </c>
      <c r="B723" s="3"/>
      <c r="C723" s="1" t="s">
        <v>35</v>
      </c>
      <c r="D723" s="1" t="s">
        <v>58</v>
      </c>
      <c r="E723" s="1" t="s">
        <v>51</v>
      </c>
      <c r="F723" s="1" t="s">
        <v>38</v>
      </c>
      <c r="G723" s="1" t="s">
        <v>23</v>
      </c>
      <c r="H723" s="2">
        <v>45557</v>
      </c>
      <c r="I723" s="2">
        <v>45598</v>
      </c>
      <c r="J723" s="1">
        <v>22910.83</v>
      </c>
      <c r="K723" s="1">
        <v>0.25469999999999998</v>
      </c>
      <c r="L723" s="1">
        <v>5835.39</v>
      </c>
      <c r="M723" s="1">
        <v>930047</v>
      </c>
      <c r="N723" s="1">
        <v>20848</v>
      </c>
      <c r="O723" s="1">
        <v>78435.16</v>
      </c>
      <c r="P723" s="1">
        <v>2024</v>
      </c>
      <c r="Q723" s="1" t="s">
        <v>74</v>
      </c>
      <c r="R723" s="1" t="s">
        <v>33</v>
      </c>
    </row>
    <row r="724" spans="1:18" x14ac:dyDescent="0.35">
      <c r="A724" s="3" t="s">
        <v>109</v>
      </c>
      <c r="B724" s="3"/>
      <c r="C724" s="1" t="s">
        <v>35</v>
      </c>
      <c r="D724" s="1" t="s">
        <v>58</v>
      </c>
      <c r="E724" s="1" t="s">
        <v>37</v>
      </c>
      <c r="F724" s="1" t="s">
        <v>38</v>
      </c>
      <c r="G724" s="1" t="s">
        <v>31</v>
      </c>
      <c r="H724" s="2">
        <v>45558</v>
      </c>
      <c r="I724" s="2">
        <v>45610</v>
      </c>
      <c r="J724" s="1">
        <v>42287.49</v>
      </c>
      <c r="K724" s="1">
        <v>0.71650000000000003</v>
      </c>
      <c r="L724" s="1">
        <v>30298.99</v>
      </c>
      <c r="M724" s="1">
        <v>541958</v>
      </c>
      <c r="N724" s="1">
        <v>33504</v>
      </c>
      <c r="O724" s="1">
        <v>135423.26</v>
      </c>
      <c r="P724" s="1">
        <v>2024</v>
      </c>
      <c r="Q724" s="1" t="s">
        <v>74</v>
      </c>
      <c r="R724" s="1" t="s">
        <v>33</v>
      </c>
    </row>
    <row r="725" spans="1:18" x14ac:dyDescent="0.35">
      <c r="A725" s="3" t="s">
        <v>27</v>
      </c>
      <c r="B725" s="3"/>
      <c r="C725" s="1" t="s">
        <v>19</v>
      </c>
      <c r="D725" s="1" t="s">
        <v>58</v>
      </c>
      <c r="E725" s="1" t="s">
        <v>43</v>
      </c>
      <c r="F725" s="1" t="s">
        <v>22</v>
      </c>
      <c r="G725" s="1" t="s">
        <v>23</v>
      </c>
      <c r="H725" s="2">
        <v>45558</v>
      </c>
      <c r="I725" s="2">
        <v>45585</v>
      </c>
      <c r="J725" s="1">
        <v>16309.59</v>
      </c>
      <c r="K725" s="1">
        <v>0.98280000000000001</v>
      </c>
      <c r="L725" s="1">
        <v>16029.07</v>
      </c>
      <c r="M725" s="1">
        <v>757528</v>
      </c>
      <c r="N725" s="1">
        <v>49802</v>
      </c>
      <c r="O725" s="1">
        <v>169363.22</v>
      </c>
      <c r="P725" s="1">
        <v>2024</v>
      </c>
      <c r="Q725" s="1" t="s">
        <v>74</v>
      </c>
      <c r="R725" s="1" t="s">
        <v>33</v>
      </c>
    </row>
    <row r="726" spans="1:18" x14ac:dyDescent="0.35">
      <c r="A726" s="3" t="s">
        <v>18</v>
      </c>
      <c r="B726" s="3"/>
      <c r="C726" s="1" t="s">
        <v>48</v>
      </c>
      <c r="D726" s="1" t="s">
        <v>69</v>
      </c>
      <c r="E726" s="1" t="s">
        <v>37</v>
      </c>
      <c r="F726" s="1" t="s">
        <v>22</v>
      </c>
      <c r="G726" s="1" t="s">
        <v>31</v>
      </c>
      <c r="H726" s="2">
        <v>45559</v>
      </c>
      <c r="I726" s="2">
        <v>45575</v>
      </c>
      <c r="J726" s="1">
        <v>40873.17</v>
      </c>
      <c r="K726" s="1">
        <v>0.85009999999999997</v>
      </c>
      <c r="L726" s="1">
        <v>34746.28</v>
      </c>
      <c r="M726" s="1">
        <v>321893</v>
      </c>
      <c r="N726" s="1">
        <v>40370</v>
      </c>
      <c r="O726" s="1">
        <v>149591.25</v>
      </c>
      <c r="P726" s="1">
        <v>2024</v>
      </c>
      <c r="Q726" s="1" t="s">
        <v>74</v>
      </c>
      <c r="R726" s="1" t="s">
        <v>33</v>
      </c>
    </row>
    <row r="727" spans="1:18" x14ac:dyDescent="0.35">
      <c r="A727" s="3" t="s">
        <v>113</v>
      </c>
      <c r="B727" s="3"/>
      <c r="C727" s="1" t="s">
        <v>19</v>
      </c>
      <c r="D727" s="1" t="s">
        <v>20</v>
      </c>
      <c r="E727" s="1" t="s">
        <v>37</v>
      </c>
      <c r="F727" s="1" t="s">
        <v>22</v>
      </c>
      <c r="G727" s="1" t="s">
        <v>44</v>
      </c>
      <c r="H727" s="2">
        <v>45560</v>
      </c>
      <c r="I727" s="2">
        <v>45600</v>
      </c>
      <c r="J727" s="1">
        <v>42817.66</v>
      </c>
      <c r="K727" s="1">
        <v>0.96389999999999998</v>
      </c>
      <c r="L727" s="1">
        <v>41271.94</v>
      </c>
      <c r="M727" s="1">
        <v>470197</v>
      </c>
      <c r="N727" s="1">
        <v>28117</v>
      </c>
      <c r="O727" s="1">
        <v>158240.32000000001</v>
      </c>
      <c r="P727" s="1">
        <v>2024</v>
      </c>
      <c r="Q727" s="1" t="s">
        <v>74</v>
      </c>
      <c r="R727" s="1" t="s">
        <v>33</v>
      </c>
    </row>
    <row r="728" spans="1:18" x14ac:dyDescent="0.35">
      <c r="A728" s="3" t="s">
        <v>81</v>
      </c>
      <c r="B728" s="3"/>
      <c r="C728" s="1" t="s">
        <v>28</v>
      </c>
      <c r="D728" s="1" t="s">
        <v>36</v>
      </c>
      <c r="E728" s="1" t="s">
        <v>37</v>
      </c>
      <c r="F728" s="1" t="s">
        <v>38</v>
      </c>
      <c r="G728" s="1" t="s">
        <v>52</v>
      </c>
      <c r="H728" s="2">
        <v>45562</v>
      </c>
      <c r="I728" s="2">
        <v>45590</v>
      </c>
      <c r="J728" s="1">
        <v>40195.29</v>
      </c>
      <c r="K728" s="1">
        <v>1.135</v>
      </c>
      <c r="L728" s="1">
        <v>45621.65</v>
      </c>
      <c r="M728" s="1">
        <v>858083</v>
      </c>
      <c r="N728" s="1">
        <v>4400</v>
      </c>
      <c r="O728" s="1">
        <v>51146.63</v>
      </c>
      <c r="P728" s="1">
        <v>2024</v>
      </c>
      <c r="Q728" s="1" t="s">
        <v>74</v>
      </c>
      <c r="R728" s="1" t="s">
        <v>33</v>
      </c>
    </row>
    <row r="729" spans="1:18" x14ac:dyDescent="0.35">
      <c r="A729" s="3" t="s">
        <v>78</v>
      </c>
      <c r="B729" s="3"/>
      <c r="C729" s="1" t="s">
        <v>35</v>
      </c>
      <c r="D729" s="1" t="s">
        <v>36</v>
      </c>
      <c r="E729" s="1" t="s">
        <v>21</v>
      </c>
      <c r="F729" s="1" t="s">
        <v>30</v>
      </c>
      <c r="G729" s="1" t="s">
        <v>23</v>
      </c>
      <c r="H729" s="2">
        <v>45565</v>
      </c>
      <c r="I729" s="2">
        <v>45621</v>
      </c>
      <c r="J729" s="1">
        <v>13988.65</v>
      </c>
      <c r="K729" s="1">
        <v>1.1604000000000001</v>
      </c>
      <c r="L729" s="1">
        <v>16232.43</v>
      </c>
      <c r="M729" s="1">
        <v>923671</v>
      </c>
      <c r="N729" s="1">
        <v>12367</v>
      </c>
      <c r="O729" s="1">
        <v>56711.75</v>
      </c>
      <c r="P729" s="1">
        <v>2024</v>
      </c>
      <c r="Q729" s="1" t="s">
        <v>74</v>
      </c>
      <c r="R729" s="1" t="s">
        <v>33</v>
      </c>
    </row>
    <row r="730" spans="1:18" x14ac:dyDescent="0.35">
      <c r="A730" s="3" t="s">
        <v>72</v>
      </c>
      <c r="B730" s="3"/>
      <c r="C730" s="1" t="s">
        <v>48</v>
      </c>
      <c r="D730" s="1" t="s">
        <v>20</v>
      </c>
      <c r="E730" s="1" t="s">
        <v>43</v>
      </c>
      <c r="F730" s="1" t="s">
        <v>30</v>
      </c>
      <c r="G730" s="1" t="s">
        <v>31</v>
      </c>
      <c r="H730" s="2">
        <v>45566</v>
      </c>
      <c r="I730" s="2">
        <v>45616</v>
      </c>
      <c r="J730" s="1">
        <v>15238.4</v>
      </c>
      <c r="K730" s="1">
        <v>0.4209</v>
      </c>
      <c r="L730" s="1">
        <v>6413.84</v>
      </c>
      <c r="M730" s="1">
        <v>715034</v>
      </c>
      <c r="N730" s="1">
        <v>8794</v>
      </c>
      <c r="O730" s="1">
        <v>245427.20000000001</v>
      </c>
      <c r="P730" s="1">
        <v>2024</v>
      </c>
      <c r="Q730" s="1" t="s">
        <v>24</v>
      </c>
      <c r="R730" s="1" t="s">
        <v>25</v>
      </c>
    </row>
    <row r="731" spans="1:18" x14ac:dyDescent="0.35">
      <c r="A731" s="3" t="s">
        <v>50</v>
      </c>
      <c r="B731" s="3"/>
      <c r="C731" s="1" t="s">
        <v>28</v>
      </c>
      <c r="D731" s="1" t="s">
        <v>58</v>
      </c>
      <c r="E731" s="1" t="s">
        <v>59</v>
      </c>
      <c r="F731" s="1" t="s">
        <v>38</v>
      </c>
      <c r="G731" s="1" t="s">
        <v>44</v>
      </c>
      <c r="H731" s="2">
        <v>45567</v>
      </c>
      <c r="I731" s="2">
        <v>45575</v>
      </c>
      <c r="J731" s="1">
        <v>48585.89</v>
      </c>
      <c r="K731" s="1">
        <v>0.98980000000000001</v>
      </c>
      <c r="L731" s="1">
        <v>48090.31</v>
      </c>
      <c r="M731" s="1">
        <v>915115</v>
      </c>
      <c r="N731" s="1">
        <v>47156</v>
      </c>
      <c r="O731" s="1">
        <v>232255.84</v>
      </c>
      <c r="P731" s="1">
        <v>2024</v>
      </c>
      <c r="Q731" s="1" t="s">
        <v>24</v>
      </c>
      <c r="R731" s="1" t="s">
        <v>25</v>
      </c>
    </row>
    <row r="732" spans="1:18" x14ac:dyDescent="0.35">
      <c r="A732" s="3" t="s">
        <v>99</v>
      </c>
      <c r="B732" s="3"/>
      <c r="C732" s="1" t="s">
        <v>35</v>
      </c>
      <c r="D732" s="1" t="s">
        <v>69</v>
      </c>
      <c r="E732" s="1" t="s">
        <v>59</v>
      </c>
      <c r="F732" s="1" t="s">
        <v>22</v>
      </c>
      <c r="G732" s="1" t="s">
        <v>49</v>
      </c>
      <c r="H732" s="2">
        <v>45568</v>
      </c>
      <c r="I732" s="2">
        <v>45613</v>
      </c>
      <c r="J732" s="1">
        <v>5739.58</v>
      </c>
      <c r="K732" s="1">
        <v>0.58120000000000005</v>
      </c>
      <c r="L732" s="1">
        <v>3335.84</v>
      </c>
      <c r="M732" s="1">
        <v>857311</v>
      </c>
      <c r="N732" s="1">
        <v>1674</v>
      </c>
      <c r="O732" s="1">
        <v>150170.04</v>
      </c>
      <c r="P732" s="1">
        <v>2024</v>
      </c>
      <c r="Q732" s="1" t="s">
        <v>24</v>
      </c>
      <c r="R732" s="1" t="s">
        <v>25</v>
      </c>
    </row>
    <row r="733" spans="1:18" x14ac:dyDescent="0.35">
      <c r="A733" s="3" t="s">
        <v>100</v>
      </c>
      <c r="B733" s="3"/>
      <c r="C733" s="1" t="s">
        <v>35</v>
      </c>
      <c r="D733" s="1" t="s">
        <v>36</v>
      </c>
      <c r="E733" s="1" t="s">
        <v>59</v>
      </c>
      <c r="F733" s="1" t="s">
        <v>22</v>
      </c>
      <c r="G733" s="1" t="s">
        <v>49</v>
      </c>
      <c r="H733" s="2">
        <v>45569</v>
      </c>
      <c r="I733" s="2">
        <v>45612</v>
      </c>
      <c r="J733" s="1">
        <v>1661.35</v>
      </c>
      <c r="K733" s="1">
        <v>1.1599999999999999</v>
      </c>
      <c r="L733" s="1">
        <v>1927.17</v>
      </c>
      <c r="M733" s="1">
        <v>840116</v>
      </c>
      <c r="N733" s="1">
        <v>7069</v>
      </c>
      <c r="O733" s="1">
        <v>137880.69</v>
      </c>
      <c r="P733" s="1">
        <v>2024</v>
      </c>
      <c r="Q733" s="1" t="s">
        <v>24</v>
      </c>
      <c r="R733" s="1" t="s">
        <v>25</v>
      </c>
    </row>
    <row r="734" spans="1:18" x14ac:dyDescent="0.35">
      <c r="A734" s="3" t="s">
        <v>79</v>
      </c>
      <c r="B734" s="3"/>
      <c r="C734" s="1" t="s">
        <v>35</v>
      </c>
      <c r="D734" s="1" t="s">
        <v>20</v>
      </c>
      <c r="E734" s="1" t="s">
        <v>21</v>
      </c>
      <c r="F734" s="1" t="s">
        <v>38</v>
      </c>
      <c r="G734" s="1" t="s">
        <v>44</v>
      </c>
      <c r="H734" s="2">
        <v>45570</v>
      </c>
      <c r="I734" s="2">
        <v>45575</v>
      </c>
      <c r="J734" s="1">
        <v>46466.1</v>
      </c>
      <c r="K734" s="1">
        <v>0.33679999999999999</v>
      </c>
      <c r="L734" s="1">
        <v>15649.78</v>
      </c>
      <c r="M734" s="1">
        <v>870623</v>
      </c>
      <c r="N734" s="1">
        <v>28029</v>
      </c>
      <c r="O734" s="1">
        <v>148194.75</v>
      </c>
      <c r="P734" s="1">
        <v>2024</v>
      </c>
      <c r="Q734" s="1" t="s">
        <v>24</v>
      </c>
      <c r="R734" s="1" t="s">
        <v>25</v>
      </c>
    </row>
    <row r="735" spans="1:18" x14ac:dyDescent="0.35">
      <c r="A735" s="3" t="s">
        <v>119</v>
      </c>
      <c r="B735" s="3"/>
      <c r="C735" s="1" t="s">
        <v>28</v>
      </c>
      <c r="D735" s="1" t="s">
        <v>36</v>
      </c>
      <c r="E735" s="1" t="s">
        <v>59</v>
      </c>
      <c r="F735" s="1" t="s">
        <v>30</v>
      </c>
      <c r="G735" s="1" t="s">
        <v>31</v>
      </c>
      <c r="H735" s="2">
        <v>45572</v>
      </c>
      <c r="I735" s="2">
        <v>45584</v>
      </c>
      <c r="J735" s="1">
        <v>43672.6</v>
      </c>
      <c r="K735" s="1">
        <v>1.0941000000000001</v>
      </c>
      <c r="L735" s="1">
        <v>47782.19</v>
      </c>
      <c r="M735" s="1">
        <v>174660</v>
      </c>
      <c r="N735" s="1">
        <v>47833</v>
      </c>
      <c r="O735" s="1">
        <v>76570.13</v>
      </c>
      <c r="P735" s="1">
        <v>2024</v>
      </c>
      <c r="Q735" s="1" t="s">
        <v>24</v>
      </c>
      <c r="R735" s="1" t="s">
        <v>25</v>
      </c>
    </row>
    <row r="736" spans="1:18" x14ac:dyDescent="0.35">
      <c r="A736" s="3" t="s">
        <v>94</v>
      </c>
      <c r="B736" s="3"/>
      <c r="C736" s="1" t="s">
        <v>19</v>
      </c>
      <c r="D736" s="1" t="s">
        <v>58</v>
      </c>
      <c r="E736" s="1" t="s">
        <v>59</v>
      </c>
      <c r="F736" s="1" t="s">
        <v>30</v>
      </c>
      <c r="G736" s="1" t="s">
        <v>31</v>
      </c>
      <c r="H736" s="2">
        <v>45573</v>
      </c>
      <c r="I736" s="2">
        <v>45621</v>
      </c>
      <c r="J736" s="1">
        <v>46125.53</v>
      </c>
      <c r="K736" s="1">
        <v>1.1969000000000001</v>
      </c>
      <c r="L736" s="1">
        <v>55207.65</v>
      </c>
      <c r="M736" s="1">
        <v>793041</v>
      </c>
      <c r="N736" s="1">
        <v>6023</v>
      </c>
      <c r="O736" s="1">
        <v>111323.01</v>
      </c>
      <c r="P736" s="1">
        <v>2024</v>
      </c>
      <c r="Q736" s="1" t="s">
        <v>24</v>
      </c>
      <c r="R736" s="1" t="s">
        <v>25</v>
      </c>
    </row>
    <row r="737" spans="1:18" x14ac:dyDescent="0.35">
      <c r="A737" s="3" t="s">
        <v>72</v>
      </c>
      <c r="B737" s="3"/>
      <c r="C737" s="1" t="s">
        <v>48</v>
      </c>
      <c r="D737" s="1" t="s">
        <v>36</v>
      </c>
      <c r="E737" s="1" t="s">
        <v>43</v>
      </c>
      <c r="F737" s="1" t="s">
        <v>30</v>
      </c>
      <c r="G737" s="1" t="s">
        <v>44</v>
      </c>
      <c r="H737" s="2">
        <v>45574</v>
      </c>
      <c r="I737" s="2">
        <v>45620</v>
      </c>
      <c r="J737" s="1">
        <v>22810.799999999999</v>
      </c>
      <c r="K737" s="1">
        <v>2.3800000000000002E-2</v>
      </c>
      <c r="L737" s="1">
        <v>542.9</v>
      </c>
      <c r="M737" s="1">
        <v>132292</v>
      </c>
      <c r="N737" s="1">
        <v>5515</v>
      </c>
      <c r="O737" s="1">
        <v>34902.629999999997</v>
      </c>
      <c r="P737" s="1">
        <v>2024</v>
      </c>
      <c r="Q737" s="1" t="s">
        <v>24</v>
      </c>
      <c r="R737" s="1" t="s">
        <v>25</v>
      </c>
    </row>
    <row r="738" spans="1:18" x14ac:dyDescent="0.35">
      <c r="A738" s="3" t="s">
        <v>112</v>
      </c>
      <c r="B738" s="3"/>
      <c r="C738" s="1" t="s">
        <v>48</v>
      </c>
      <c r="D738" s="1" t="s">
        <v>20</v>
      </c>
      <c r="E738" s="1" t="s">
        <v>21</v>
      </c>
      <c r="F738" s="1" t="s">
        <v>22</v>
      </c>
      <c r="G738" s="1" t="s">
        <v>23</v>
      </c>
      <c r="H738" s="2">
        <v>45574</v>
      </c>
      <c r="I738" s="2">
        <v>45611</v>
      </c>
      <c r="J738" s="1">
        <v>29177.33</v>
      </c>
      <c r="K738" s="1">
        <v>0.86509999999999998</v>
      </c>
      <c r="L738" s="1">
        <v>25241.31</v>
      </c>
      <c r="M738" s="1">
        <v>315420</v>
      </c>
      <c r="N738" s="1">
        <v>28230</v>
      </c>
      <c r="O738" s="1">
        <v>5383.26</v>
      </c>
      <c r="P738" s="1">
        <v>2024</v>
      </c>
      <c r="Q738" s="1" t="s">
        <v>24</v>
      </c>
      <c r="R738" s="1" t="s">
        <v>25</v>
      </c>
    </row>
    <row r="739" spans="1:18" x14ac:dyDescent="0.35">
      <c r="A739" s="3" t="s">
        <v>62</v>
      </c>
      <c r="B739" s="3"/>
      <c r="C739" s="1" t="s">
        <v>28</v>
      </c>
      <c r="D739" s="1" t="s">
        <v>58</v>
      </c>
      <c r="E739" s="1" t="s">
        <v>51</v>
      </c>
      <c r="F739" s="1" t="s">
        <v>30</v>
      </c>
      <c r="G739" s="1" t="s">
        <v>23</v>
      </c>
      <c r="H739" s="2">
        <v>45575</v>
      </c>
      <c r="I739" s="2">
        <v>45603</v>
      </c>
      <c r="J739" s="1">
        <v>43798.29</v>
      </c>
      <c r="K739" s="1">
        <v>1.1637999999999999</v>
      </c>
      <c r="L739" s="1">
        <v>50972.45</v>
      </c>
      <c r="M739" s="1">
        <v>781555</v>
      </c>
      <c r="N739" s="1">
        <v>21433</v>
      </c>
      <c r="O739" s="1">
        <v>171092.71</v>
      </c>
      <c r="P739" s="1">
        <v>2024</v>
      </c>
      <c r="Q739" s="1" t="s">
        <v>24</v>
      </c>
      <c r="R739" s="1" t="s">
        <v>25</v>
      </c>
    </row>
    <row r="740" spans="1:18" x14ac:dyDescent="0.35">
      <c r="A740" s="3" t="s">
        <v>101</v>
      </c>
      <c r="B740" s="3"/>
      <c r="C740" s="1" t="s">
        <v>48</v>
      </c>
      <c r="D740" s="1" t="s">
        <v>69</v>
      </c>
      <c r="E740" s="1" t="s">
        <v>43</v>
      </c>
      <c r="F740" s="1" t="s">
        <v>30</v>
      </c>
      <c r="G740" s="1" t="s">
        <v>52</v>
      </c>
      <c r="H740" s="2">
        <v>45576</v>
      </c>
      <c r="I740" s="2">
        <v>45630</v>
      </c>
      <c r="J740" s="1">
        <v>31977.49</v>
      </c>
      <c r="K740" s="1">
        <v>7.4399999999999994E-2</v>
      </c>
      <c r="L740" s="1">
        <v>2379.13</v>
      </c>
      <c r="M740" s="1">
        <v>559855</v>
      </c>
      <c r="N740" s="1">
        <v>2798</v>
      </c>
      <c r="O740" s="1">
        <v>83232.55</v>
      </c>
      <c r="P740" s="1">
        <v>2024</v>
      </c>
      <c r="Q740" s="1" t="s">
        <v>24</v>
      </c>
      <c r="R740" s="1" t="s">
        <v>25</v>
      </c>
    </row>
    <row r="741" spans="1:18" x14ac:dyDescent="0.35">
      <c r="A741" s="3" t="s">
        <v>27</v>
      </c>
      <c r="B741" s="3"/>
      <c r="C741" s="1" t="s">
        <v>48</v>
      </c>
      <c r="D741" s="1" t="s">
        <v>58</v>
      </c>
      <c r="E741" s="1" t="s">
        <v>63</v>
      </c>
      <c r="F741" s="1" t="s">
        <v>30</v>
      </c>
      <c r="G741" s="1" t="s">
        <v>23</v>
      </c>
      <c r="H741" s="2">
        <v>45576</v>
      </c>
      <c r="I741" s="2">
        <v>45621</v>
      </c>
      <c r="J741" s="1">
        <v>39101.9</v>
      </c>
      <c r="K741" s="1">
        <v>0.23200000000000001</v>
      </c>
      <c r="L741" s="1">
        <v>9071.64</v>
      </c>
      <c r="M741" s="1">
        <v>694219</v>
      </c>
      <c r="N741" s="1">
        <v>14632</v>
      </c>
      <c r="O741" s="1">
        <v>77746.009999999995</v>
      </c>
      <c r="P741" s="1">
        <v>2024</v>
      </c>
      <c r="Q741" s="1" t="s">
        <v>24</v>
      </c>
      <c r="R741" s="1" t="s">
        <v>25</v>
      </c>
    </row>
    <row r="742" spans="1:18" x14ac:dyDescent="0.35">
      <c r="A742" s="3" t="s">
        <v>68</v>
      </c>
      <c r="B742" s="3"/>
      <c r="C742" s="1" t="s">
        <v>48</v>
      </c>
      <c r="D742" s="1" t="s">
        <v>58</v>
      </c>
      <c r="E742" s="1" t="s">
        <v>63</v>
      </c>
      <c r="F742" s="1" t="s">
        <v>38</v>
      </c>
      <c r="G742" s="1" t="s">
        <v>31</v>
      </c>
      <c r="H742" s="2">
        <v>45577</v>
      </c>
      <c r="I742" s="2">
        <v>45624</v>
      </c>
      <c r="J742" s="1">
        <v>35167.160000000003</v>
      </c>
      <c r="K742" s="1">
        <v>1.0216000000000001</v>
      </c>
      <c r="L742" s="1">
        <v>35926.769999999997</v>
      </c>
      <c r="M742" s="1">
        <v>844328</v>
      </c>
      <c r="N742" s="1">
        <v>35124</v>
      </c>
      <c r="O742" s="1">
        <v>102440.39</v>
      </c>
      <c r="P742" s="1">
        <v>2024</v>
      </c>
      <c r="Q742" s="1" t="s">
        <v>24</v>
      </c>
      <c r="R742" s="1" t="s">
        <v>25</v>
      </c>
    </row>
    <row r="743" spans="1:18" x14ac:dyDescent="0.35">
      <c r="A743" s="3" t="s">
        <v>95</v>
      </c>
      <c r="B743" s="3"/>
      <c r="C743" s="1" t="s">
        <v>48</v>
      </c>
      <c r="D743" s="1" t="s">
        <v>36</v>
      </c>
      <c r="E743" s="1" t="s">
        <v>43</v>
      </c>
      <c r="F743" s="1" t="s">
        <v>22</v>
      </c>
      <c r="G743" s="1" t="s">
        <v>44</v>
      </c>
      <c r="H743" s="2">
        <v>45578</v>
      </c>
      <c r="I743" s="2">
        <v>45605</v>
      </c>
      <c r="J743" s="1">
        <v>3387.03</v>
      </c>
      <c r="K743" s="1">
        <v>0.35709999999999997</v>
      </c>
      <c r="L743" s="1">
        <v>1209.51</v>
      </c>
      <c r="M743" s="1">
        <v>679983</v>
      </c>
      <c r="N743" s="1">
        <v>5134</v>
      </c>
      <c r="O743" s="1">
        <v>130897.29</v>
      </c>
      <c r="P743" s="1">
        <v>2024</v>
      </c>
      <c r="Q743" s="1" t="s">
        <v>24</v>
      </c>
      <c r="R743" s="1" t="s">
        <v>25</v>
      </c>
    </row>
    <row r="744" spans="1:18" x14ac:dyDescent="0.35">
      <c r="A744" s="3" t="s">
        <v>106</v>
      </c>
      <c r="B744" s="3"/>
      <c r="C744" s="1" t="s">
        <v>19</v>
      </c>
      <c r="D744" s="1" t="s">
        <v>36</v>
      </c>
      <c r="E744" s="1" t="s">
        <v>63</v>
      </c>
      <c r="F744" s="1" t="s">
        <v>38</v>
      </c>
      <c r="G744" s="1" t="s">
        <v>23</v>
      </c>
      <c r="H744" s="2">
        <v>45578</v>
      </c>
      <c r="I744" s="2">
        <v>45595</v>
      </c>
      <c r="J744" s="1">
        <v>31423.67</v>
      </c>
      <c r="K744" s="1">
        <v>0.8165</v>
      </c>
      <c r="L744" s="1">
        <v>25657.43</v>
      </c>
      <c r="M744" s="1">
        <v>765948</v>
      </c>
      <c r="N744" s="1">
        <v>43300</v>
      </c>
      <c r="O744" s="1">
        <v>171809.5</v>
      </c>
      <c r="P744" s="1">
        <v>2024</v>
      </c>
      <c r="Q744" s="1" t="s">
        <v>24</v>
      </c>
      <c r="R744" s="1" t="s">
        <v>25</v>
      </c>
    </row>
    <row r="745" spans="1:18" x14ac:dyDescent="0.35">
      <c r="A745" s="3" t="s">
        <v>107</v>
      </c>
      <c r="B745" s="3"/>
      <c r="C745" s="1" t="s">
        <v>35</v>
      </c>
      <c r="D745" s="1" t="s">
        <v>36</v>
      </c>
      <c r="E745" s="1" t="s">
        <v>21</v>
      </c>
      <c r="F745" s="1" t="s">
        <v>22</v>
      </c>
      <c r="G745" s="1" t="s">
        <v>31</v>
      </c>
      <c r="H745" s="2">
        <v>45580</v>
      </c>
      <c r="I745" s="2">
        <v>45639</v>
      </c>
      <c r="J745" s="1">
        <v>28273.81</v>
      </c>
      <c r="K745" s="1">
        <v>0.49619999999999997</v>
      </c>
      <c r="L745" s="1">
        <v>14029.46</v>
      </c>
      <c r="M745" s="1">
        <v>617723</v>
      </c>
      <c r="N745" s="1">
        <v>5313</v>
      </c>
      <c r="O745" s="1">
        <v>72729.19</v>
      </c>
      <c r="P745" s="1">
        <v>2024</v>
      </c>
      <c r="Q745" s="1" t="s">
        <v>24</v>
      </c>
      <c r="R745" s="1" t="s">
        <v>25</v>
      </c>
    </row>
    <row r="746" spans="1:18" x14ac:dyDescent="0.35">
      <c r="A746" s="3" t="s">
        <v>81</v>
      </c>
      <c r="B746" s="3"/>
      <c r="C746" s="1" t="s">
        <v>35</v>
      </c>
      <c r="D746" s="1" t="s">
        <v>58</v>
      </c>
      <c r="E746" s="1" t="s">
        <v>21</v>
      </c>
      <c r="F746" s="1" t="s">
        <v>30</v>
      </c>
      <c r="G746" s="1" t="s">
        <v>49</v>
      </c>
      <c r="H746" s="2">
        <v>45580</v>
      </c>
      <c r="I746" s="2">
        <v>45607</v>
      </c>
      <c r="J746" s="1">
        <v>24727.42</v>
      </c>
      <c r="K746" s="1">
        <v>0.79179999999999995</v>
      </c>
      <c r="L746" s="1">
        <v>19579.169999999998</v>
      </c>
      <c r="M746" s="1">
        <v>198811</v>
      </c>
      <c r="N746" s="1">
        <v>19767</v>
      </c>
      <c r="O746" s="1">
        <v>210969.5</v>
      </c>
      <c r="P746" s="1">
        <v>2024</v>
      </c>
      <c r="Q746" s="1" t="s">
        <v>24</v>
      </c>
      <c r="R746" s="1" t="s">
        <v>25</v>
      </c>
    </row>
    <row r="747" spans="1:18" x14ac:dyDescent="0.35">
      <c r="A747" s="3" t="s">
        <v>114</v>
      </c>
      <c r="B747" s="3"/>
      <c r="C747" s="1" t="s">
        <v>28</v>
      </c>
      <c r="D747" s="1" t="s">
        <v>36</v>
      </c>
      <c r="E747" s="1" t="s">
        <v>37</v>
      </c>
      <c r="F747" s="1" t="s">
        <v>38</v>
      </c>
      <c r="G747" s="1" t="s">
        <v>23</v>
      </c>
      <c r="H747" s="2">
        <v>45581</v>
      </c>
      <c r="I747" s="2">
        <v>45630</v>
      </c>
      <c r="J747" s="1">
        <v>34105.480000000003</v>
      </c>
      <c r="K747" s="1">
        <v>0.55969999999999998</v>
      </c>
      <c r="L747" s="1">
        <v>19088.84</v>
      </c>
      <c r="M747" s="1">
        <v>370351</v>
      </c>
      <c r="N747" s="1">
        <v>48987</v>
      </c>
      <c r="O747" s="1">
        <v>102838.75</v>
      </c>
      <c r="P747" s="1">
        <v>2024</v>
      </c>
      <c r="Q747" s="1" t="s">
        <v>24</v>
      </c>
      <c r="R747" s="1" t="s">
        <v>25</v>
      </c>
    </row>
    <row r="748" spans="1:18" x14ac:dyDescent="0.35">
      <c r="A748" s="3" t="s">
        <v>18</v>
      </c>
      <c r="B748" s="3"/>
      <c r="C748" s="1" t="s">
        <v>19</v>
      </c>
      <c r="D748" s="1" t="s">
        <v>20</v>
      </c>
      <c r="E748" s="1" t="s">
        <v>21</v>
      </c>
      <c r="F748" s="1" t="s">
        <v>22</v>
      </c>
      <c r="G748" s="1" t="s">
        <v>23</v>
      </c>
      <c r="H748" s="2">
        <v>45581</v>
      </c>
      <c r="I748" s="2">
        <v>45593</v>
      </c>
      <c r="J748" s="1">
        <v>2225.5300000000002</v>
      </c>
      <c r="K748" s="1">
        <v>0.33729999999999999</v>
      </c>
      <c r="L748" s="1">
        <v>750.67</v>
      </c>
      <c r="M748" s="1">
        <v>244053</v>
      </c>
      <c r="N748" s="1">
        <v>9244</v>
      </c>
      <c r="O748" s="1">
        <v>185435.45</v>
      </c>
      <c r="P748" s="1">
        <v>2024</v>
      </c>
      <c r="Q748" s="1" t="s">
        <v>24</v>
      </c>
      <c r="R748" s="1" t="s">
        <v>25</v>
      </c>
    </row>
    <row r="749" spans="1:18" x14ac:dyDescent="0.35">
      <c r="A749" s="3" t="s">
        <v>57</v>
      </c>
      <c r="B749" s="3"/>
      <c r="C749" s="1" t="s">
        <v>48</v>
      </c>
      <c r="D749" s="1" t="s">
        <v>36</v>
      </c>
      <c r="E749" s="1" t="s">
        <v>37</v>
      </c>
      <c r="F749" s="1" t="s">
        <v>38</v>
      </c>
      <c r="G749" s="1" t="s">
        <v>49</v>
      </c>
      <c r="H749" s="2">
        <v>45582</v>
      </c>
      <c r="I749" s="2">
        <v>45640</v>
      </c>
      <c r="J749" s="1">
        <v>32191.48</v>
      </c>
      <c r="K749" s="1">
        <v>0.1578</v>
      </c>
      <c r="L749" s="1">
        <v>5079.82</v>
      </c>
      <c r="M749" s="1">
        <v>708260</v>
      </c>
      <c r="N749" s="1">
        <v>18953</v>
      </c>
      <c r="O749" s="1">
        <v>107203.41</v>
      </c>
      <c r="P749" s="1">
        <v>2024</v>
      </c>
      <c r="Q749" s="1" t="s">
        <v>24</v>
      </c>
      <c r="R749" s="1" t="s">
        <v>25</v>
      </c>
    </row>
    <row r="750" spans="1:18" x14ac:dyDescent="0.35">
      <c r="A750" s="3" t="s">
        <v>103</v>
      </c>
      <c r="B750" s="3"/>
      <c r="C750" s="1" t="s">
        <v>19</v>
      </c>
      <c r="D750" s="1" t="s">
        <v>36</v>
      </c>
      <c r="E750" s="1" t="s">
        <v>59</v>
      </c>
      <c r="F750" s="1" t="s">
        <v>38</v>
      </c>
      <c r="G750" s="1" t="s">
        <v>52</v>
      </c>
      <c r="H750" s="2">
        <v>45582</v>
      </c>
      <c r="I750" s="2">
        <v>45638</v>
      </c>
      <c r="J750" s="1">
        <v>46499.77</v>
      </c>
      <c r="K750" s="1">
        <v>0.51200000000000001</v>
      </c>
      <c r="L750" s="1">
        <v>23807.88</v>
      </c>
      <c r="M750" s="1">
        <v>652053</v>
      </c>
      <c r="N750" s="1">
        <v>37562</v>
      </c>
      <c r="O750" s="1">
        <v>104169.32</v>
      </c>
      <c r="P750" s="1">
        <v>2024</v>
      </c>
      <c r="Q750" s="1" t="s">
        <v>24</v>
      </c>
      <c r="R750" s="1" t="s">
        <v>25</v>
      </c>
    </row>
    <row r="751" spans="1:18" x14ac:dyDescent="0.35">
      <c r="A751" s="3" t="s">
        <v>102</v>
      </c>
      <c r="B751" s="3"/>
      <c r="C751" s="1" t="s">
        <v>28</v>
      </c>
      <c r="D751" s="1" t="s">
        <v>69</v>
      </c>
      <c r="E751" s="1" t="s">
        <v>21</v>
      </c>
      <c r="F751" s="1" t="s">
        <v>38</v>
      </c>
      <c r="G751" s="1" t="s">
        <v>44</v>
      </c>
      <c r="H751" s="2">
        <v>45584</v>
      </c>
      <c r="I751" s="2">
        <v>45616</v>
      </c>
      <c r="J751" s="1">
        <v>43916.800000000003</v>
      </c>
      <c r="K751" s="1">
        <v>0.18029999999999999</v>
      </c>
      <c r="L751" s="1">
        <v>7918.2</v>
      </c>
      <c r="M751" s="1">
        <v>352402</v>
      </c>
      <c r="N751" s="1">
        <v>39878</v>
      </c>
      <c r="O751" s="1">
        <v>198100.29</v>
      </c>
      <c r="P751" s="1">
        <v>2024</v>
      </c>
      <c r="Q751" s="1" t="s">
        <v>24</v>
      </c>
      <c r="R751" s="1" t="s">
        <v>25</v>
      </c>
    </row>
    <row r="752" spans="1:18" x14ac:dyDescent="0.35">
      <c r="A752" s="3" t="s">
        <v>108</v>
      </c>
      <c r="B752" s="3"/>
      <c r="C752" s="1" t="s">
        <v>19</v>
      </c>
      <c r="D752" s="1" t="s">
        <v>69</v>
      </c>
      <c r="E752" s="1" t="s">
        <v>43</v>
      </c>
      <c r="F752" s="1" t="s">
        <v>38</v>
      </c>
      <c r="G752" s="1" t="s">
        <v>23</v>
      </c>
      <c r="H752" s="2">
        <v>45586</v>
      </c>
      <c r="I752" s="2">
        <v>45645</v>
      </c>
      <c r="J752" s="1">
        <v>3069.39</v>
      </c>
      <c r="K752" s="1">
        <v>0.86970000000000003</v>
      </c>
      <c r="L752" s="1">
        <v>2669.45</v>
      </c>
      <c r="M752" s="1">
        <v>830231</v>
      </c>
      <c r="N752" s="1">
        <v>1404</v>
      </c>
      <c r="O752" s="1">
        <v>18555.18</v>
      </c>
      <c r="P752" s="1">
        <v>2024</v>
      </c>
      <c r="Q752" s="1" t="s">
        <v>24</v>
      </c>
      <c r="R752" s="1" t="s">
        <v>25</v>
      </c>
    </row>
    <row r="753" spans="1:18" x14ac:dyDescent="0.35">
      <c r="A753" s="3" t="s">
        <v>72</v>
      </c>
      <c r="B753" s="3"/>
      <c r="C753" s="1" t="s">
        <v>28</v>
      </c>
      <c r="D753" s="1" t="s">
        <v>29</v>
      </c>
      <c r="E753" s="1" t="s">
        <v>59</v>
      </c>
      <c r="F753" s="1" t="s">
        <v>38</v>
      </c>
      <c r="G753" s="1" t="s">
        <v>23</v>
      </c>
      <c r="H753" s="2">
        <v>45586</v>
      </c>
      <c r="I753" s="2">
        <v>45612</v>
      </c>
      <c r="J753" s="1">
        <v>19473.509999999998</v>
      </c>
      <c r="K753" s="1">
        <v>0.86380000000000001</v>
      </c>
      <c r="L753" s="1">
        <v>16821.22</v>
      </c>
      <c r="M753" s="1">
        <v>781754</v>
      </c>
      <c r="N753" s="1">
        <v>47615</v>
      </c>
      <c r="O753" s="1">
        <v>98504.37</v>
      </c>
      <c r="P753" s="1">
        <v>2024</v>
      </c>
      <c r="Q753" s="1" t="s">
        <v>24</v>
      </c>
      <c r="R753" s="1" t="s">
        <v>25</v>
      </c>
    </row>
    <row r="754" spans="1:18" x14ac:dyDescent="0.35">
      <c r="A754" s="3" t="s">
        <v>102</v>
      </c>
      <c r="B754" s="3"/>
      <c r="C754" s="1" t="s">
        <v>19</v>
      </c>
      <c r="D754" s="1" t="s">
        <v>36</v>
      </c>
      <c r="E754" s="1" t="s">
        <v>37</v>
      </c>
      <c r="F754" s="1" t="s">
        <v>22</v>
      </c>
      <c r="G754" s="1" t="s">
        <v>52</v>
      </c>
      <c r="H754" s="2">
        <v>45589</v>
      </c>
      <c r="I754" s="2">
        <v>45646</v>
      </c>
      <c r="J754" s="1">
        <v>47047.8</v>
      </c>
      <c r="K754" s="1">
        <v>0.89880000000000004</v>
      </c>
      <c r="L754" s="1">
        <v>42286.559999999998</v>
      </c>
      <c r="M754" s="1">
        <v>171223</v>
      </c>
      <c r="N754" s="1">
        <v>1656</v>
      </c>
      <c r="O754" s="1">
        <v>117510.18</v>
      </c>
      <c r="P754" s="1">
        <v>2024</v>
      </c>
      <c r="Q754" s="1" t="s">
        <v>24</v>
      </c>
      <c r="R754" s="1" t="s">
        <v>25</v>
      </c>
    </row>
    <row r="755" spans="1:18" x14ac:dyDescent="0.35">
      <c r="A755" s="3" t="s">
        <v>34</v>
      </c>
      <c r="B755" s="3"/>
      <c r="C755" s="1" t="s">
        <v>35</v>
      </c>
      <c r="D755" s="1" t="s">
        <v>58</v>
      </c>
      <c r="E755" s="1" t="s">
        <v>37</v>
      </c>
      <c r="F755" s="1" t="s">
        <v>22</v>
      </c>
      <c r="G755" s="1" t="s">
        <v>23</v>
      </c>
      <c r="H755" s="2">
        <v>45589</v>
      </c>
      <c r="I755" s="2">
        <v>45633</v>
      </c>
      <c r="J755" s="1">
        <v>3170.54</v>
      </c>
      <c r="K755" s="1">
        <v>1.1805000000000001</v>
      </c>
      <c r="L755" s="1">
        <v>3742.82</v>
      </c>
      <c r="M755" s="1">
        <v>720380</v>
      </c>
      <c r="N755" s="1">
        <v>42484</v>
      </c>
      <c r="O755" s="1">
        <v>102906.35</v>
      </c>
      <c r="P755" s="1">
        <v>2024</v>
      </c>
      <c r="Q755" s="1" t="s">
        <v>24</v>
      </c>
      <c r="R755" s="1" t="s">
        <v>25</v>
      </c>
    </row>
    <row r="756" spans="1:18" x14ac:dyDescent="0.35">
      <c r="A756" s="3" t="s">
        <v>84</v>
      </c>
      <c r="B756" s="3"/>
      <c r="C756" s="1" t="s">
        <v>48</v>
      </c>
      <c r="D756" s="1" t="s">
        <v>69</v>
      </c>
      <c r="E756" s="1" t="s">
        <v>43</v>
      </c>
      <c r="F756" s="1" t="s">
        <v>38</v>
      </c>
      <c r="G756" s="1" t="s">
        <v>49</v>
      </c>
      <c r="H756" s="2">
        <v>45590</v>
      </c>
      <c r="I756" s="2">
        <v>45601</v>
      </c>
      <c r="J756" s="1">
        <v>34179.83</v>
      </c>
      <c r="K756" s="1">
        <v>0.2056</v>
      </c>
      <c r="L756" s="1">
        <v>7027.37</v>
      </c>
      <c r="M756" s="1">
        <v>786459</v>
      </c>
      <c r="N756" s="1">
        <v>16085</v>
      </c>
      <c r="O756" s="1">
        <v>131418.51</v>
      </c>
      <c r="P756" s="1">
        <v>2024</v>
      </c>
      <c r="Q756" s="1" t="s">
        <v>24</v>
      </c>
      <c r="R756" s="1" t="s">
        <v>25</v>
      </c>
    </row>
    <row r="757" spans="1:18" x14ac:dyDescent="0.35">
      <c r="A757" s="3" t="s">
        <v>88</v>
      </c>
      <c r="B757" s="3"/>
      <c r="C757" s="1" t="s">
        <v>28</v>
      </c>
      <c r="D757" s="1" t="s">
        <v>20</v>
      </c>
      <c r="E757" s="1" t="s">
        <v>37</v>
      </c>
      <c r="F757" s="1" t="s">
        <v>30</v>
      </c>
      <c r="G757" s="1" t="s">
        <v>23</v>
      </c>
      <c r="H757" s="2">
        <v>45592</v>
      </c>
      <c r="I757" s="2">
        <v>45602</v>
      </c>
      <c r="J757" s="1">
        <v>42736.5</v>
      </c>
      <c r="K757" s="1">
        <v>1.0243</v>
      </c>
      <c r="L757" s="1">
        <v>43775</v>
      </c>
      <c r="M757" s="1">
        <v>911085</v>
      </c>
      <c r="N757" s="1">
        <v>35071</v>
      </c>
      <c r="O757" s="1">
        <v>98102.3</v>
      </c>
      <c r="P757" s="1">
        <v>2024</v>
      </c>
      <c r="Q757" s="1" t="s">
        <v>24</v>
      </c>
      <c r="R757" s="1" t="s">
        <v>25</v>
      </c>
    </row>
    <row r="758" spans="1:18" x14ac:dyDescent="0.35">
      <c r="A758" s="3" t="s">
        <v>99</v>
      </c>
      <c r="B758" s="3"/>
      <c r="C758" s="1" t="s">
        <v>35</v>
      </c>
      <c r="D758" s="1" t="s">
        <v>69</v>
      </c>
      <c r="E758" s="1" t="s">
        <v>21</v>
      </c>
      <c r="F758" s="1" t="s">
        <v>22</v>
      </c>
      <c r="G758" s="1" t="s">
        <v>49</v>
      </c>
      <c r="H758" s="2">
        <v>45593</v>
      </c>
      <c r="I758" s="2">
        <v>45611</v>
      </c>
      <c r="J758" s="1">
        <v>38580.99</v>
      </c>
      <c r="K758" s="1">
        <v>0.50570000000000004</v>
      </c>
      <c r="L758" s="1">
        <v>19510.41</v>
      </c>
      <c r="M758" s="1">
        <v>680030</v>
      </c>
      <c r="N758" s="1">
        <v>2084</v>
      </c>
      <c r="O758" s="1">
        <v>127019.32</v>
      </c>
      <c r="P758" s="1">
        <v>2024</v>
      </c>
      <c r="Q758" s="1" t="s">
        <v>24</v>
      </c>
      <c r="R758" s="1" t="s">
        <v>25</v>
      </c>
    </row>
    <row r="759" spans="1:18" x14ac:dyDescent="0.35">
      <c r="A759" s="3" t="s">
        <v>110</v>
      </c>
      <c r="B759" s="3"/>
      <c r="C759" s="1" t="s">
        <v>28</v>
      </c>
      <c r="D759" s="1" t="s">
        <v>29</v>
      </c>
      <c r="E759" s="1" t="s">
        <v>37</v>
      </c>
      <c r="F759" s="1" t="s">
        <v>38</v>
      </c>
      <c r="G759" s="1" t="s">
        <v>49</v>
      </c>
      <c r="H759" s="2">
        <v>45594</v>
      </c>
      <c r="I759" s="2">
        <v>45635</v>
      </c>
      <c r="J759" s="1">
        <v>12378.79</v>
      </c>
      <c r="K759" s="1">
        <v>0.88900000000000001</v>
      </c>
      <c r="L759" s="1">
        <v>11004.74</v>
      </c>
      <c r="M759" s="1">
        <v>901638</v>
      </c>
      <c r="N759" s="1">
        <v>2544</v>
      </c>
      <c r="O759" s="1">
        <v>228741.28</v>
      </c>
      <c r="P759" s="1">
        <v>2024</v>
      </c>
      <c r="Q759" s="1" t="s">
        <v>24</v>
      </c>
      <c r="R759" s="1" t="s">
        <v>25</v>
      </c>
    </row>
    <row r="760" spans="1:18" x14ac:dyDescent="0.35">
      <c r="A760" s="3" t="s">
        <v>34</v>
      </c>
      <c r="B760" s="3"/>
      <c r="C760" s="1" t="s">
        <v>35</v>
      </c>
      <c r="D760" s="1" t="s">
        <v>58</v>
      </c>
      <c r="E760" s="1" t="s">
        <v>37</v>
      </c>
      <c r="F760" s="1" t="s">
        <v>30</v>
      </c>
      <c r="G760" s="1" t="s">
        <v>49</v>
      </c>
      <c r="H760" s="2">
        <v>45598</v>
      </c>
      <c r="I760" s="2">
        <v>45649</v>
      </c>
      <c r="J760" s="1">
        <v>28594.240000000002</v>
      </c>
      <c r="K760" s="1">
        <v>0.55679999999999996</v>
      </c>
      <c r="L760" s="1">
        <v>15921.27</v>
      </c>
      <c r="M760" s="1">
        <v>910374</v>
      </c>
      <c r="N760" s="1">
        <v>9277</v>
      </c>
      <c r="O760" s="1">
        <v>73193.34</v>
      </c>
      <c r="P760" s="1">
        <v>2024</v>
      </c>
      <c r="Q760" s="1" t="s">
        <v>65</v>
      </c>
      <c r="R760" s="1" t="s">
        <v>25</v>
      </c>
    </row>
    <row r="761" spans="1:18" x14ac:dyDescent="0.35">
      <c r="A761" s="3" t="s">
        <v>84</v>
      </c>
      <c r="B761" s="3"/>
      <c r="C761" s="1" t="s">
        <v>28</v>
      </c>
      <c r="D761" s="1" t="s">
        <v>58</v>
      </c>
      <c r="E761" s="1" t="s">
        <v>63</v>
      </c>
      <c r="F761" s="1" t="s">
        <v>30</v>
      </c>
      <c r="G761" s="1" t="s">
        <v>52</v>
      </c>
      <c r="H761" s="2">
        <v>45598</v>
      </c>
      <c r="I761" s="2">
        <v>45644</v>
      </c>
      <c r="J761" s="1">
        <v>39554.39</v>
      </c>
      <c r="K761" s="1">
        <v>0.58850000000000002</v>
      </c>
      <c r="L761" s="1">
        <v>23277.759999999998</v>
      </c>
      <c r="M761" s="1">
        <v>708199</v>
      </c>
      <c r="N761" s="1">
        <v>45769</v>
      </c>
      <c r="O761" s="1">
        <v>134890.73000000001</v>
      </c>
      <c r="P761" s="1">
        <v>2024</v>
      </c>
      <c r="Q761" s="1" t="s">
        <v>65</v>
      </c>
      <c r="R761" s="1" t="s">
        <v>25</v>
      </c>
    </row>
    <row r="762" spans="1:18" x14ac:dyDescent="0.35">
      <c r="A762" s="3" t="s">
        <v>77</v>
      </c>
      <c r="B762" s="3"/>
      <c r="C762" s="1" t="s">
        <v>28</v>
      </c>
      <c r="D762" s="1" t="s">
        <v>36</v>
      </c>
      <c r="E762" s="1" t="s">
        <v>37</v>
      </c>
      <c r="F762" s="1" t="s">
        <v>30</v>
      </c>
      <c r="G762" s="1" t="s">
        <v>44</v>
      </c>
      <c r="H762" s="2">
        <v>45598</v>
      </c>
      <c r="I762" s="2">
        <v>45628</v>
      </c>
      <c r="J762" s="1">
        <v>7428.47</v>
      </c>
      <c r="K762" s="1">
        <v>0.89119999999999999</v>
      </c>
      <c r="L762" s="1">
        <v>6620.25</v>
      </c>
      <c r="M762" s="1">
        <v>293114</v>
      </c>
      <c r="N762" s="1">
        <v>5665</v>
      </c>
      <c r="O762" s="1">
        <v>23749.14</v>
      </c>
      <c r="P762" s="1">
        <v>2024</v>
      </c>
      <c r="Q762" s="1" t="s">
        <v>65</v>
      </c>
      <c r="R762" s="1" t="s">
        <v>25</v>
      </c>
    </row>
    <row r="763" spans="1:18" x14ac:dyDescent="0.35">
      <c r="A763" s="3" t="s">
        <v>34</v>
      </c>
      <c r="B763" s="3"/>
      <c r="C763" s="1" t="s">
        <v>28</v>
      </c>
      <c r="D763" s="1" t="s">
        <v>58</v>
      </c>
      <c r="E763" s="1" t="s">
        <v>37</v>
      </c>
      <c r="F763" s="1" t="s">
        <v>22</v>
      </c>
      <c r="G763" s="1" t="s">
        <v>31</v>
      </c>
      <c r="H763" s="2">
        <v>45600</v>
      </c>
      <c r="I763" s="2">
        <v>45660</v>
      </c>
      <c r="J763" s="1">
        <v>27587.09</v>
      </c>
      <c r="K763" s="1">
        <v>0.50180000000000002</v>
      </c>
      <c r="L763" s="1">
        <v>13843.2</v>
      </c>
      <c r="M763" s="1">
        <v>206694</v>
      </c>
      <c r="N763" s="1">
        <v>34076</v>
      </c>
      <c r="O763" s="1">
        <v>93635.94</v>
      </c>
      <c r="P763" s="1">
        <v>2024</v>
      </c>
      <c r="Q763" s="1" t="s">
        <v>65</v>
      </c>
      <c r="R763" s="1" t="s">
        <v>25</v>
      </c>
    </row>
    <row r="764" spans="1:18" x14ac:dyDescent="0.35">
      <c r="A764" s="3" t="s">
        <v>84</v>
      </c>
      <c r="B764" s="3"/>
      <c r="C764" s="1" t="s">
        <v>35</v>
      </c>
      <c r="D764" s="1" t="s">
        <v>69</v>
      </c>
      <c r="E764" s="1" t="s">
        <v>21</v>
      </c>
      <c r="F764" s="1" t="s">
        <v>30</v>
      </c>
      <c r="G764" s="1" t="s">
        <v>49</v>
      </c>
      <c r="H764" s="2">
        <v>45600</v>
      </c>
      <c r="I764" s="2">
        <v>45615</v>
      </c>
      <c r="J764" s="1">
        <v>27161.119999999999</v>
      </c>
      <c r="K764" s="1">
        <v>0.72389999999999999</v>
      </c>
      <c r="L764" s="1">
        <v>19661.93</v>
      </c>
      <c r="M764" s="1">
        <v>988866</v>
      </c>
      <c r="N764" s="1">
        <v>23189</v>
      </c>
      <c r="O764" s="1">
        <v>226108.82</v>
      </c>
      <c r="P764" s="1">
        <v>2024</v>
      </c>
      <c r="Q764" s="1" t="s">
        <v>65</v>
      </c>
      <c r="R764" s="1" t="s">
        <v>25</v>
      </c>
    </row>
    <row r="765" spans="1:18" x14ac:dyDescent="0.35">
      <c r="A765" s="3" t="s">
        <v>109</v>
      </c>
      <c r="B765" s="3"/>
      <c r="C765" s="1" t="s">
        <v>35</v>
      </c>
      <c r="D765" s="1" t="s">
        <v>29</v>
      </c>
      <c r="E765" s="1" t="s">
        <v>21</v>
      </c>
      <c r="F765" s="1" t="s">
        <v>30</v>
      </c>
      <c r="G765" s="1" t="s">
        <v>31</v>
      </c>
      <c r="H765" s="2">
        <v>45600</v>
      </c>
      <c r="I765" s="2">
        <v>45612</v>
      </c>
      <c r="J765" s="1">
        <v>33172.92</v>
      </c>
      <c r="K765" s="1">
        <v>0.1009</v>
      </c>
      <c r="L765" s="1">
        <v>3347.15</v>
      </c>
      <c r="M765" s="1">
        <v>993952</v>
      </c>
      <c r="N765" s="1">
        <v>35728</v>
      </c>
      <c r="O765" s="1">
        <v>55435.94</v>
      </c>
      <c r="P765" s="1">
        <v>2024</v>
      </c>
      <c r="Q765" s="1" t="s">
        <v>65</v>
      </c>
      <c r="R765" s="1" t="s">
        <v>25</v>
      </c>
    </row>
    <row r="766" spans="1:18" x14ac:dyDescent="0.35">
      <c r="A766" s="3" t="s">
        <v>115</v>
      </c>
      <c r="B766" s="3"/>
      <c r="C766" s="1" t="s">
        <v>35</v>
      </c>
      <c r="D766" s="1" t="s">
        <v>20</v>
      </c>
      <c r="E766" s="1" t="s">
        <v>63</v>
      </c>
      <c r="F766" s="1" t="s">
        <v>22</v>
      </c>
      <c r="G766" s="1" t="s">
        <v>44</v>
      </c>
      <c r="H766" s="2">
        <v>45602</v>
      </c>
      <c r="I766" s="2">
        <v>45638</v>
      </c>
      <c r="J766" s="1">
        <v>1770.86</v>
      </c>
      <c r="K766" s="1">
        <v>0.64329999999999998</v>
      </c>
      <c r="L766" s="1">
        <v>1139.19</v>
      </c>
      <c r="M766" s="1">
        <v>441319</v>
      </c>
      <c r="N766" s="1">
        <v>876</v>
      </c>
      <c r="O766" s="1">
        <v>9097.91</v>
      </c>
      <c r="P766" s="1">
        <v>2024</v>
      </c>
      <c r="Q766" s="1" t="s">
        <v>65</v>
      </c>
      <c r="R766" s="1" t="s">
        <v>25</v>
      </c>
    </row>
    <row r="767" spans="1:18" x14ac:dyDescent="0.35">
      <c r="A767" s="3" t="s">
        <v>34</v>
      </c>
      <c r="B767" s="3"/>
      <c r="C767" s="1" t="s">
        <v>35</v>
      </c>
      <c r="D767" s="1" t="s">
        <v>69</v>
      </c>
      <c r="E767" s="1" t="s">
        <v>43</v>
      </c>
      <c r="F767" s="1" t="s">
        <v>22</v>
      </c>
      <c r="G767" s="1" t="s">
        <v>23</v>
      </c>
      <c r="H767" s="2">
        <v>45603</v>
      </c>
      <c r="I767" s="2">
        <v>45627</v>
      </c>
      <c r="J767" s="1">
        <v>2534</v>
      </c>
      <c r="K767" s="1">
        <v>0.91800000000000004</v>
      </c>
      <c r="L767" s="1">
        <v>2326.21</v>
      </c>
      <c r="M767" s="1">
        <v>992750</v>
      </c>
      <c r="N767" s="1">
        <v>1803</v>
      </c>
      <c r="O767" s="1">
        <v>227963.23</v>
      </c>
      <c r="P767" s="1">
        <v>2024</v>
      </c>
      <c r="Q767" s="1" t="s">
        <v>65</v>
      </c>
      <c r="R767" s="1" t="s">
        <v>25</v>
      </c>
    </row>
    <row r="768" spans="1:18" x14ac:dyDescent="0.35">
      <c r="A768" s="3" t="s">
        <v>110</v>
      </c>
      <c r="B768" s="3"/>
      <c r="C768" s="1" t="s">
        <v>48</v>
      </c>
      <c r="D768" s="1" t="s">
        <v>58</v>
      </c>
      <c r="E768" s="1" t="s">
        <v>37</v>
      </c>
      <c r="F768" s="1" t="s">
        <v>38</v>
      </c>
      <c r="G768" s="1" t="s">
        <v>31</v>
      </c>
      <c r="H768" s="2">
        <v>45604</v>
      </c>
      <c r="I768" s="2">
        <v>45630</v>
      </c>
      <c r="J768" s="1">
        <v>43943.25</v>
      </c>
      <c r="K768" s="1">
        <v>0.74550000000000005</v>
      </c>
      <c r="L768" s="1">
        <v>32759.69</v>
      </c>
      <c r="M768" s="1">
        <v>636258</v>
      </c>
      <c r="N768" s="1">
        <v>24788</v>
      </c>
      <c r="O768" s="1">
        <v>42791.93</v>
      </c>
      <c r="P768" s="1">
        <v>2024</v>
      </c>
      <c r="Q768" s="1" t="s">
        <v>65</v>
      </c>
      <c r="R768" s="1" t="s">
        <v>25</v>
      </c>
    </row>
    <row r="769" spans="1:18" x14ac:dyDescent="0.35">
      <c r="A769" s="3" t="s">
        <v>98</v>
      </c>
      <c r="B769" s="3"/>
      <c r="C769" s="1" t="s">
        <v>35</v>
      </c>
      <c r="D769" s="1" t="s">
        <v>36</v>
      </c>
      <c r="E769" s="1" t="s">
        <v>63</v>
      </c>
      <c r="F769" s="1" t="s">
        <v>22</v>
      </c>
      <c r="G769" s="1" t="s">
        <v>23</v>
      </c>
      <c r="H769" s="2">
        <v>45604</v>
      </c>
      <c r="I769" s="2">
        <v>45624</v>
      </c>
      <c r="J769" s="1">
        <v>13133.08</v>
      </c>
      <c r="K769" s="1">
        <v>0.78120000000000001</v>
      </c>
      <c r="L769" s="1">
        <v>10259.56</v>
      </c>
      <c r="M769" s="1">
        <v>631314</v>
      </c>
      <c r="N769" s="1">
        <v>5666</v>
      </c>
      <c r="O769" s="1">
        <v>228045.31</v>
      </c>
      <c r="P769" s="1">
        <v>2024</v>
      </c>
      <c r="Q769" s="1" t="s">
        <v>65</v>
      </c>
      <c r="R769" s="1" t="s">
        <v>25</v>
      </c>
    </row>
    <row r="770" spans="1:18" x14ac:dyDescent="0.35">
      <c r="A770" s="3" t="s">
        <v>66</v>
      </c>
      <c r="B770" s="3"/>
      <c r="C770" s="1" t="s">
        <v>35</v>
      </c>
      <c r="D770" s="1" t="s">
        <v>29</v>
      </c>
      <c r="E770" s="1" t="s">
        <v>59</v>
      </c>
      <c r="F770" s="1" t="s">
        <v>22</v>
      </c>
      <c r="G770" s="1" t="s">
        <v>23</v>
      </c>
      <c r="H770" s="2">
        <v>45605</v>
      </c>
      <c r="I770" s="2">
        <v>45621</v>
      </c>
      <c r="J770" s="1">
        <v>24268.7</v>
      </c>
      <c r="K770" s="1">
        <v>0.23400000000000001</v>
      </c>
      <c r="L770" s="1">
        <v>5678.88</v>
      </c>
      <c r="M770" s="1">
        <v>413277</v>
      </c>
      <c r="N770" s="1">
        <v>23711</v>
      </c>
      <c r="O770" s="1">
        <v>210790.86</v>
      </c>
      <c r="P770" s="1">
        <v>2024</v>
      </c>
      <c r="Q770" s="1" t="s">
        <v>65</v>
      </c>
      <c r="R770" s="1" t="s">
        <v>25</v>
      </c>
    </row>
    <row r="771" spans="1:18" x14ac:dyDescent="0.35">
      <c r="A771" s="3" t="s">
        <v>88</v>
      </c>
      <c r="B771" s="3"/>
      <c r="C771" s="1" t="s">
        <v>28</v>
      </c>
      <c r="D771" s="1" t="s">
        <v>69</v>
      </c>
      <c r="E771" s="1" t="s">
        <v>43</v>
      </c>
      <c r="F771" s="1" t="s">
        <v>22</v>
      </c>
      <c r="G771" s="1" t="s">
        <v>52</v>
      </c>
      <c r="H771" s="2">
        <v>45606</v>
      </c>
      <c r="I771" s="2">
        <v>45665</v>
      </c>
      <c r="J771" s="1">
        <v>7106.64</v>
      </c>
      <c r="K771" s="1">
        <v>1.0810999999999999</v>
      </c>
      <c r="L771" s="1">
        <v>7682.99</v>
      </c>
      <c r="M771" s="1">
        <v>541756</v>
      </c>
      <c r="N771" s="1">
        <v>20369</v>
      </c>
      <c r="O771" s="1">
        <v>168388.76</v>
      </c>
      <c r="P771" s="1">
        <v>2024</v>
      </c>
      <c r="Q771" s="1" t="s">
        <v>65</v>
      </c>
      <c r="R771" s="1" t="s">
        <v>25</v>
      </c>
    </row>
    <row r="772" spans="1:18" x14ac:dyDescent="0.35">
      <c r="A772" s="3" t="s">
        <v>84</v>
      </c>
      <c r="B772" s="3"/>
      <c r="C772" s="1" t="s">
        <v>19</v>
      </c>
      <c r="D772" s="1" t="s">
        <v>69</v>
      </c>
      <c r="E772" s="1" t="s">
        <v>63</v>
      </c>
      <c r="F772" s="1" t="s">
        <v>22</v>
      </c>
      <c r="G772" s="1" t="s">
        <v>49</v>
      </c>
      <c r="H772" s="2">
        <v>45607</v>
      </c>
      <c r="I772" s="2">
        <v>45636</v>
      </c>
      <c r="J772" s="1">
        <v>34188.58</v>
      </c>
      <c r="K772" s="1">
        <v>1.0843</v>
      </c>
      <c r="L772" s="1">
        <v>37070.68</v>
      </c>
      <c r="M772" s="1">
        <v>655414</v>
      </c>
      <c r="N772" s="1">
        <v>37396</v>
      </c>
      <c r="O772" s="1">
        <v>78732.72</v>
      </c>
      <c r="P772" s="1">
        <v>2024</v>
      </c>
      <c r="Q772" s="1" t="s">
        <v>65</v>
      </c>
      <c r="R772" s="1" t="s">
        <v>25</v>
      </c>
    </row>
    <row r="773" spans="1:18" x14ac:dyDescent="0.35">
      <c r="A773" s="3" t="s">
        <v>77</v>
      </c>
      <c r="B773" s="3"/>
      <c r="C773" s="1" t="s">
        <v>48</v>
      </c>
      <c r="D773" s="1" t="s">
        <v>29</v>
      </c>
      <c r="E773" s="1" t="s">
        <v>43</v>
      </c>
      <c r="F773" s="1" t="s">
        <v>30</v>
      </c>
      <c r="G773" s="1" t="s">
        <v>52</v>
      </c>
      <c r="H773" s="2">
        <v>45609</v>
      </c>
      <c r="I773" s="2">
        <v>45666</v>
      </c>
      <c r="J773" s="1">
        <v>22028.79</v>
      </c>
      <c r="K773" s="1">
        <v>0.57389999999999997</v>
      </c>
      <c r="L773" s="1">
        <v>12642.32</v>
      </c>
      <c r="M773" s="1">
        <v>830738</v>
      </c>
      <c r="N773" s="1">
        <v>6854</v>
      </c>
      <c r="O773" s="1">
        <v>176780.51</v>
      </c>
      <c r="P773" s="1">
        <v>2024</v>
      </c>
      <c r="Q773" s="1" t="s">
        <v>65</v>
      </c>
      <c r="R773" s="1" t="s">
        <v>25</v>
      </c>
    </row>
    <row r="774" spans="1:18" x14ac:dyDescent="0.35">
      <c r="A774" s="3" t="s">
        <v>86</v>
      </c>
      <c r="B774" s="3"/>
      <c r="C774" s="1" t="s">
        <v>19</v>
      </c>
      <c r="D774" s="1" t="s">
        <v>20</v>
      </c>
      <c r="E774" s="1" t="s">
        <v>43</v>
      </c>
      <c r="F774" s="1" t="s">
        <v>22</v>
      </c>
      <c r="G774" s="1" t="s">
        <v>23</v>
      </c>
      <c r="H774" s="2">
        <v>45609</v>
      </c>
      <c r="I774" s="2">
        <v>45631</v>
      </c>
      <c r="J774" s="1">
        <v>7909.15</v>
      </c>
      <c r="K774" s="1">
        <v>0.25609999999999999</v>
      </c>
      <c r="L774" s="1">
        <v>2025.53</v>
      </c>
      <c r="M774" s="1">
        <v>889535</v>
      </c>
      <c r="N774" s="1">
        <v>33438</v>
      </c>
      <c r="O774" s="1">
        <v>189941.86</v>
      </c>
      <c r="P774" s="1">
        <v>2024</v>
      </c>
      <c r="Q774" s="1" t="s">
        <v>65</v>
      </c>
      <c r="R774" s="1" t="s">
        <v>25</v>
      </c>
    </row>
    <row r="775" spans="1:18" x14ac:dyDescent="0.35">
      <c r="A775" s="3" t="s">
        <v>84</v>
      </c>
      <c r="B775" s="3"/>
      <c r="C775" s="1" t="s">
        <v>28</v>
      </c>
      <c r="D775" s="1" t="s">
        <v>29</v>
      </c>
      <c r="E775" s="1" t="s">
        <v>63</v>
      </c>
      <c r="F775" s="1" t="s">
        <v>38</v>
      </c>
      <c r="G775" s="1" t="s">
        <v>44</v>
      </c>
      <c r="H775" s="2">
        <v>45609</v>
      </c>
      <c r="I775" s="2">
        <v>45626</v>
      </c>
      <c r="J775" s="1">
        <v>47470.42</v>
      </c>
      <c r="K775" s="1">
        <v>1.1519999999999999</v>
      </c>
      <c r="L775" s="1">
        <v>54685.919999999998</v>
      </c>
      <c r="M775" s="1">
        <v>288711</v>
      </c>
      <c r="N775" s="1">
        <v>7885</v>
      </c>
      <c r="O775" s="1">
        <v>108168.35</v>
      </c>
      <c r="P775" s="1">
        <v>2024</v>
      </c>
      <c r="Q775" s="1" t="s">
        <v>65</v>
      </c>
      <c r="R775" s="1" t="s">
        <v>25</v>
      </c>
    </row>
    <row r="776" spans="1:18" x14ac:dyDescent="0.35">
      <c r="A776" s="3" t="s">
        <v>98</v>
      </c>
      <c r="B776" s="3"/>
      <c r="C776" s="1" t="s">
        <v>28</v>
      </c>
      <c r="D776" s="1" t="s">
        <v>69</v>
      </c>
      <c r="E776" s="1" t="s">
        <v>43</v>
      </c>
      <c r="F776" s="1" t="s">
        <v>38</v>
      </c>
      <c r="G776" s="1" t="s">
        <v>49</v>
      </c>
      <c r="H776" s="2">
        <v>45609</v>
      </c>
      <c r="I776" s="2">
        <v>45614</v>
      </c>
      <c r="J776" s="1">
        <v>45046.52</v>
      </c>
      <c r="K776" s="1">
        <v>0.56369999999999998</v>
      </c>
      <c r="L776" s="1">
        <v>25392.720000000001</v>
      </c>
      <c r="M776" s="1">
        <v>311603</v>
      </c>
      <c r="N776" s="1">
        <v>44507</v>
      </c>
      <c r="O776" s="1">
        <v>138916.54</v>
      </c>
      <c r="P776" s="1">
        <v>2024</v>
      </c>
      <c r="Q776" s="1" t="s">
        <v>65</v>
      </c>
      <c r="R776" s="1" t="s">
        <v>25</v>
      </c>
    </row>
    <row r="777" spans="1:18" x14ac:dyDescent="0.35">
      <c r="A777" s="3" t="s">
        <v>96</v>
      </c>
      <c r="B777" s="3"/>
      <c r="C777" s="1" t="s">
        <v>28</v>
      </c>
      <c r="D777" s="1" t="s">
        <v>69</v>
      </c>
      <c r="E777" s="1" t="s">
        <v>59</v>
      </c>
      <c r="F777" s="1" t="s">
        <v>22</v>
      </c>
      <c r="G777" s="1" t="s">
        <v>44</v>
      </c>
      <c r="H777" s="2">
        <v>45610</v>
      </c>
      <c r="I777" s="2">
        <v>45645</v>
      </c>
      <c r="J777" s="1">
        <v>7325.73</v>
      </c>
      <c r="K777" s="1">
        <v>0.24740000000000001</v>
      </c>
      <c r="L777" s="1">
        <v>1812.39</v>
      </c>
      <c r="M777" s="1">
        <v>645173</v>
      </c>
      <c r="N777" s="1">
        <v>32355</v>
      </c>
      <c r="O777" s="1">
        <v>29721.41</v>
      </c>
      <c r="P777" s="1">
        <v>2024</v>
      </c>
      <c r="Q777" s="1" t="s">
        <v>65</v>
      </c>
      <c r="R777" s="1" t="s">
        <v>25</v>
      </c>
    </row>
    <row r="778" spans="1:18" x14ac:dyDescent="0.35">
      <c r="A778" s="3" t="s">
        <v>105</v>
      </c>
      <c r="B778" s="3"/>
      <c r="C778" s="1" t="s">
        <v>48</v>
      </c>
      <c r="D778" s="1" t="s">
        <v>58</v>
      </c>
      <c r="E778" s="1" t="s">
        <v>63</v>
      </c>
      <c r="F778" s="1" t="s">
        <v>38</v>
      </c>
      <c r="G778" s="1" t="s">
        <v>31</v>
      </c>
      <c r="H778" s="2">
        <v>45612</v>
      </c>
      <c r="I778" s="2">
        <v>45623</v>
      </c>
      <c r="J778" s="1">
        <v>10054.280000000001</v>
      </c>
      <c r="K778" s="1">
        <v>0.17730000000000001</v>
      </c>
      <c r="L778" s="1">
        <v>1782.62</v>
      </c>
      <c r="M778" s="1">
        <v>349320</v>
      </c>
      <c r="N778" s="1">
        <v>16356</v>
      </c>
      <c r="O778" s="1">
        <v>6673.38</v>
      </c>
      <c r="P778" s="1">
        <v>2024</v>
      </c>
      <c r="Q778" s="1" t="s">
        <v>65</v>
      </c>
      <c r="R778" s="1" t="s">
        <v>25</v>
      </c>
    </row>
    <row r="779" spans="1:18" x14ac:dyDescent="0.35">
      <c r="A779" s="3" t="s">
        <v>82</v>
      </c>
      <c r="B779" s="3"/>
      <c r="C779" s="1" t="s">
        <v>28</v>
      </c>
      <c r="D779" s="1" t="s">
        <v>20</v>
      </c>
      <c r="E779" s="1" t="s">
        <v>63</v>
      </c>
      <c r="F779" s="1" t="s">
        <v>22</v>
      </c>
      <c r="G779" s="1" t="s">
        <v>31</v>
      </c>
      <c r="H779" s="2">
        <v>45613</v>
      </c>
      <c r="I779" s="2">
        <v>45662</v>
      </c>
      <c r="J779" s="1">
        <v>41618.99</v>
      </c>
      <c r="K779" s="1">
        <v>0.8891</v>
      </c>
      <c r="L779" s="1">
        <v>37003.440000000002</v>
      </c>
      <c r="M779" s="1">
        <v>728709</v>
      </c>
      <c r="N779" s="1">
        <v>34597</v>
      </c>
      <c r="O779" s="1">
        <v>27895.98</v>
      </c>
      <c r="P779" s="1">
        <v>2024</v>
      </c>
      <c r="Q779" s="1" t="s">
        <v>65</v>
      </c>
      <c r="R779" s="1" t="s">
        <v>25</v>
      </c>
    </row>
    <row r="780" spans="1:18" x14ac:dyDescent="0.35">
      <c r="A780" s="3" t="s">
        <v>100</v>
      </c>
      <c r="B780" s="3"/>
      <c r="C780" s="1" t="s">
        <v>35</v>
      </c>
      <c r="D780" s="1" t="s">
        <v>69</v>
      </c>
      <c r="E780" s="1" t="s">
        <v>51</v>
      </c>
      <c r="F780" s="1" t="s">
        <v>38</v>
      </c>
      <c r="G780" s="1" t="s">
        <v>52</v>
      </c>
      <c r="H780" s="2">
        <v>45613</v>
      </c>
      <c r="I780" s="2">
        <v>45631</v>
      </c>
      <c r="J780" s="1">
        <v>23939.37</v>
      </c>
      <c r="K780" s="1">
        <v>0.46820000000000001</v>
      </c>
      <c r="L780" s="1">
        <v>11208.41</v>
      </c>
      <c r="M780" s="1">
        <v>521333</v>
      </c>
      <c r="N780" s="1">
        <v>6950</v>
      </c>
      <c r="O780" s="1">
        <v>88410.28</v>
      </c>
      <c r="P780" s="1">
        <v>2024</v>
      </c>
      <c r="Q780" s="1" t="s">
        <v>65</v>
      </c>
      <c r="R780" s="1" t="s">
        <v>25</v>
      </c>
    </row>
    <row r="781" spans="1:18" x14ac:dyDescent="0.35">
      <c r="A781" s="3" t="s">
        <v>110</v>
      </c>
      <c r="B781" s="3"/>
      <c r="C781" s="1" t="s">
        <v>28</v>
      </c>
      <c r="D781" s="1" t="s">
        <v>20</v>
      </c>
      <c r="E781" s="1" t="s">
        <v>63</v>
      </c>
      <c r="F781" s="1" t="s">
        <v>22</v>
      </c>
      <c r="G781" s="1" t="s">
        <v>23</v>
      </c>
      <c r="H781" s="2">
        <v>45615</v>
      </c>
      <c r="I781" s="2">
        <v>45638</v>
      </c>
      <c r="J781" s="1">
        <v>30943.4</v>
      </c>
      <c r="K781" s="1">
        <v>0.83289999999999997</v>
      </c>
      <c r="L781" s="1">
        <v>25772.76</v>
      </c>
      <c r="M781" s="1">
        <v>633870</v>
      </c>
      <c r="N781" s="1">
        <v>37605</v>
      </c>
      <c r="O781" s="1">
        <v>197890.36</v>
      </c>
      <c r="P781" s="1">
        <v>2024</v>
      </c>
      <c r="Q781" s="1" t="s">
        <v>65</v>
      </c>
      <c r="R781" s="1" t="s">
        <v>25</v>
      </c>
    </row>
    <row r="782" spans="1:18" x14ac:dyDescent="0.35">
      <c r="A782" s="3" t="s">
        <v>27</v>
      </c>
      <c r="B782" s="3"/>
      <c r="C782" s="1" t="s">
        <v>19</v>
      </c>
      <c r="D782" s="1" t="s">
        <v>36</v>
      </c>
      <c r="E782" s="1" t="s">
        <v>43</v>
      </c>
      <c r="F782" s="1" t="s">
        <v>22</v>
      </c>
      <c r="G782" s="1" t="s">
        <v>49</v>
      </c>
      <c r="H782" s="2">
        <v>45615</v>
      </c>
      <c r="I782" s="2">
        <v>45631</v>
      </c>
      <c r="J782" s="1">
        <v>21244.99</v>
      </c>
      <c r="K782" s="1">
        <v>1.0753999999999999</v>
      </c>
      <c r="L782" s="1">
        <v>22846.86</v>
      </c>
      <c r="M782" s="1">
        <v>747463</v>
      </c>
      <c r="N782" s="1">
        <v>32145</v>
      </c>
      <c r="O782" s="1">
        <v>191803.98</v>
      </c>
      <c r="P782" s="1">
        <v>2024</v>
      </c>
      <c r="Q782" s="1" t="s">
        <v>65</v>
      </c>
      <c r="R782" s="1" t="s">
        <v>25</v>
      </c>
    </row>
    <row r="783" spans="1:18" x14ac:dyDescent="0.35">
      <c r="A783" s="3" t="s">
        <v>68</v>
      </c>
      <c r="B783" s="3"/>
      <c r="C783" s="1" t="s">
        <v>28</v>
      </c>
      <c r="D783" s="1" t="s">
        <v>36</v>
      </c>
      <c r="E783" s="1" t="s">
        <v>21</v>
      </c>
      <c r="F783" s="1" t="s">
        <v>30</v>
      </c>
      <c r="G783" s="1" t="s">
        <v>49</v>
      </c>
      <c r="H783" s="2">
        <v>45616</v>
      </c>
      <c r="I783" s="2">
        <v>45652</v>
      </c>
      <c r="J783" s="1">
        <v>7819.78</v>
      </c>
      <c r="K783" s="1">
        <v>0.37040000000000001</v>
      </c>
      <c r="L783" s="1">
        <v>2896.45</v>
      </c>
      <c r="M783" s="1">
        <v>274955</v>
      </c>
      <c r="N783" s="1">
        <v>43266</v>
      </c>
      <c r="O783" s="1">
        <v>42765.09</v>
      </c>
      <c r="P783" s="1">
        <v>2024</v>
      </c>
      <c r="Q783" s="1" t="s">
        <v>65</v>
      </c>
      <c r="R783" s="1" t="s">
        <v>25</v>
      </c>
    </row>
    <row r="784" spans="1:18" x14ac:dyDescent="0.35">
      <c r="A784" s="3" t="s">
        <v>97</v>
      </c>
      <c r="B784" s="3"/>
      <c r="C784" s="1" t="s">
        <v>48</v>
      </c>
      <c r="D784" s="1" t="s">
        <v>29</v>
      </c>
      <c r="E784" s="1" t="s">
        <v>51</v>
      </c>
      <c r="F784" s="1" t="s">
        <v>22</v>
      </c>
      <c r="G784" s="1" t="s">
        <v>44</v>
      </c>
      <c r="H784" s="2">
        <v>45616</v>
      </c>
      <c r="I784" s="2">
        <v>45633</v>
      </c>
      <c r="J784" s="1">
        <v>13999.02</v>
      </c>
      <c r="K784" s="1">
        <v>0.19020000000000001</v>
      </c>
      <c r="L784" s="1">
        <v>2662.61</v>
      </c>
      <c r="M784" s="1">
        <v>863403</v>
      </c>
      <c r="N784" s="1">
        <v>12362</v>
      </c>
      <c r="O784" s="1">
        <v>184722.37</v>
      </c>
      <c r="P784" s="1">
        <v>2024</v>
      </c>
      <c r="Q784" s="1" t="s">
        <v>65</v>
      </c>
      <c r="R784" s="1" t="s">
        <v>25</v>
      </c>
    </row>
    <row r="785" spans="1:18" x14ac:dyDescent="0.35">
      <c r="A785" s="3" t="s">
        <v>101</v>
      </c>
      <c r="B785" s="3"/>
      <c r="C785" s="1" t="s">
        <v>19</v>
      </c>
      <c r="D785" s="1" t="s">
        <v>29</v>
      </c>
      <c r="E785" s="1" t="s">
        <v>21</v>
      </c>
      <c r="F785" s="1" t="s">
        <v>30</v>
      </c>
      <c r="G785" s="1" t="s">
        <v>49</v>
      </c>
      <c r="H785" s="2">
        <v>45617</v>
      </c>
      <c r="I785" s="2">
        <v>45675</v>
      </c>
      <c r="J785" s="1">
        <v>43165.33</v>
      </c>
      <c r="K785" s="1">
        <v>0.7087</v>
      </c>
      <c r="L785" s="1">
        <v>30591.27</v>
      </c>
      <c r="M785" s="1">
        <v>31753</v>
      </c>
      <c r="N785" s="1">
        <v>44158</v>
      </c>
      <c r="O785" s="1">
        <v>206248.21</v>
      </c>
      <c r="P785" s="1">
        <v>2024</v>
      </c>
      <c r="Q785" s="1" t="s">
        <v>65</v>
      </c>
      <c r="R785" s="1" t="s">
        <v>25</v>
      </c>
    </row>
    <row r="786" spans="1:18" x14ac:dyDescent="0.35">
      <c r="A786" s="3" t="s">
        <v>107</v>
      </c>
      <c r="B786" s="3"/>
      <c r="C786" s="1" t="s">
        <v>48</v>
      </c>
      <c r="D786" s="1" t="s">
        <v>36</v>
      </c>
      <c r="E786" s="1" t="s">
        <v>51</v>
      </c>
      <c r="F786" s="1" t="s">
        <v>38</v>
      </c>
      <c r="G786" s="1" t="s">
        <v>31</v>
      </c>
      <c r="H786" s="2">
        <v>45618</v>
      </c>
      <c r="I786" s="2">
        <v>45637</v>
      </c>
      <c r="J786" s="1">
        <v>24102.37</v>
      </c>
      <c r="K786" s="1">
        <v>0.74729999999999996</v>
      </c>
      <c r="L786" s="1">
        <v>18011.7</v>
      </c>
      <c r="M786" s="1">
        <v>998984</v>
      </c>
      <c r="N786" s="1">
        <v>36892</v>
      </c>
      <c r="O786" s="1">
        <v>85361.54</v>
      </c>
      <c r="P786" s="1">
        <v>2024</v>
      </c>
      <c r="Q786" s="1" t="s">
        <v>65</v>
      </c>
      <c r="R786" s="1" t="s">
        <v>25</v>
      </c>
    </row>
    <row r="787" spans="1:18" x14ac:dyDescent="0.35">
      <c r="A787" s="3" t="s">
        <v>70</v>
      </c>
      <c r="B787" s="3"/>
      <c r="C787" s="1" t="s">
        <v>48</v>
      </c>
      <c r="D787" s="1" t="s">
        <v>58</v>
      </c>
      <c r="E787" s="1" t="s">
        <v>51</v>
      </c>
      <c r="F787" s="1" t="s">
        <v>22</v>
      </c>
      <c r="G787" s="1" t="s">
        <v>49</v>
      </c>
      <c r="H787" s="2">
        <v>45621</v>
      </c>
      <c r="I787" s="2">
        <v>45681</v>
      </c>
      <c r="J787" s="1">
        <v>43838.51</v>
      </c>
      <c r="K787" s="1">
        <v>0.18729999999999999</v>
      </c>
      <c r="L787" s="1">
        <v>8210.9500000000007</v>
      </c>
      <c r="M787" s="1">
        <v>617488</v>
      </c>
      <c r="N787" s="1">
        <v>15368</v>
      </c>
      <c r="O787" s="1">
        <v>231579.87</v>
      </c>
      <c r="P787" s="1">
        <v>2024</v>
      </c>
      <c r="Q787" s="1" t="s">
        <v>65</v>
      </c>
      <c r="R787" s="1" t="s">
        <v>25</v>
      </c>
    </row>
    <row r="788" spans="1:18" x14ac:dyDescent="0.35">
      <c r="A788" s="3" t="s">
        <v>47</v>
      </c>
      <c r="B788" s="3"/>
      <c r="C788" s="1" t="s">
        <v>28</v>
      </c>
      <c r="D788" s="1" t="s">
        <v>36</v>
      </c>
      <c r="E788" s="1" t="s">
        <v>63</v>
      </c>
      <c r="F788" s="1" t="s">
        <v>22</v>
      </c>
      <c r="G788" s="1" t="s">
        <v>44</v>
      </c>
      <c r="H788" s="2">
        <v>45621</v>
      </c>
      <c r="I788" s="2">
        <v>45675</v>
      </c>
      <c r="J788" s="1">
        <v>34992.32</v>
      </c>
      <c r="K788" s="1">
        <v>0.40510000000000002</v>
      </c>
      <c r="L788" s="1">
        <v>14175.39</v>
      </c>
      <c r="M788" s="1">
        <v>676216</v>
      </c>
      <c r="N788" s="1">
        <v>45164</v>
      </c>
      <c r="O788" s="1">
        <v>82901.91</v>
      </c>
      <c r="P788" s="1">
        <v>2024</v>
      </c>
      <c r="Q788" s="1" t="s">
        <v>65</v>
      </c>
      <c r="R788" s="1" t="s">
        <v>25</v>
      </c>
    </row>
    <row r="789" spans="1:18" x14ac:dyDescent="0.35">
      <c r="A789" s="3" t="s">
        <v>104</v>
      </c>
      <c r="B789" s="3"/>
      <c r="C789" s="1" t="s">
        <v>35</v>
      </c>
      <c r="D789" s="1" t="s">
        <v>58</v>
      </c>
      <c r="E789" s="1" t="s">
        <v>63</v>
      </c>
      <c r="F789" s="1" t="s">
        <v>30</v>
      </c>
      <c r="G789" s="1" t="s">
        <v>31</v>
      </c>
      <c r="H789" s="2">
        <v>45622</v>
      </c>
      <c r="I789" s="2">
        <v>45655</v>
      </c>
      <c r="J789" s="1">
        <v>47492.35</v>
      </c>
      <c r="K789" s="1">
        <v>0.45269999999999999</v>
      </c>
      <c r="L789" s="1">
        <v>21499.79</v>
      </c>
      <c r="M789" s="1">
        <v>810152</v>
      </c>
      <c r="N789" s="1">
        <v>5138</v>
      </c>
      <c r="O789" s="1">
        <v>145610.84</v>
      </c>
      <c r="P789" s="1">
        <v>2024</v>
      </c>
      <c r="Q789" s="1" t="s">
        <v>65</v>
      </c>
      <c r="R789" s="1" t="s">
        <v>25</v>
      </c>
    </row>
    <row r="790" spans="1:18" x14ac:dyDescent="0.35">
      <c r="A790" s="3" t="s">
        <v>109</v>
      </c>
      <c r="B790" s="3"/>
      <c r="C790" s="1" t="s">
        <v>48</v>
      </c>
      <c r="D790" s="1" t="s">
        <v>58</v>
      </c>
      <c r="E790" s="1" t="s">
        <v>59</v>
      </c>
      <c r="F790" s="1" t="s">
        <v>38</v>
      </c>
      <c r="G790" s="1" t="s">
        <v>23</v>
      </c>
      <c r="H790" s="2">
        <v>45623</v>
      </c>
      <c r="I790" s="2">
        <v>45657</v>
      </c>
      <c r="J790" s="1">
        <v>28153.64</v>
      </c>
      <c r="K790" s="1">
        <v>0.99709999999999999</v>
      </c>
      <c r="L790" s="1">
        <v>28071.99</v>
      </c>
      <c r="M790" s="1">
        <v>973798</v>
      </c>
      <c r="N790" s="1">
        <v>37590</v>
      </c>
      <c r="O790" s="1">
        <v>127958.75</v>
      </c>
      <c r="P790" s="1">
        <v>2024</v>
      </c>
      <c r="Q790" s="1" t="s">
        <v>65</v>
      </c>
      <c r="R790" s="1" t="s">
        <v>25</v>
      </c>
    </row>
    <row r="791" spans="1:18" x14ac:dyDescent="0.35">
      <c r="A791" s="3" t="s">
        <v>64</v>
      </c>
      <c r="B791" s="3"/>
      <c r="C791" s="1" t="s">
        <v>28</v>
      </c>
      <c r="D791" s="1" t="s">
        <v>36</v>
      </c>
      <c r="E791" s="1" t="s">
        <v>51</v>
      </c>
      <c r="F791" s="1" t="s">
        <v>30</v>
      </c>
      <c r="G791" s="1" t="s">
        <v>31</v>
      </c>
      <c r="H791" s="2">
        <v>45625</v>
      </c>
      <c r="I791" s="2">
        <v>45664</v>
      </c>
      <c r="J791" s="1">
        <v>37793.01</v>
      </c>
      <c r="K791" s="1">
        <v>0.92459999999999998</v>
      </c>
      <c r="L791" s="1">
        <v>34943.42</v>
      </c>
      <c r="M791" s="1">
        <v>366699</v>
      </c>
      <c r="N791" s="1">
        <v>7410</v>
      </c>
      <c r="O791" s="1">
        <v>76907.53</v>
      </c>
      <c r="P791" s="1">
        <v>2024</v>
      </c>
      <c r="Q791" s="1" t="s">
        <v>65</v>
      </c>
      <c r="R791" s="1" t="s">
        <v>25</v>
      </c>
    </row>
    <row r="792" spans="1:18" x14ac:dyDescent="0.35">
      <c r="A792" s="3" t="s">
        <v>109</v>
      </c>
      <c r="B792" s="3"/>
      <c r="C792" s="1" t="s">
        <v>35</v>
      </c>
      <c r="D792" s="1" t="s">
        <v>69</v>
      </c>
      <c r="E792" s="1" t="s">
        <v>37</v>
      </c>
      <c r="F792" s="1" t="s">
        <v>30</v>
      </c>
      <c r="G792" s="1" t="s">
        <v>44</v>
      </c>
      <c r="H792" s="2">
        <v>45626</v>
      </c>
      <c r="I792" s="2">
        <v>45646</v>
      </c>
      <c r="J792" s="1">
        <v>48202.45</v>
      </c>
      <c r="K792" s="1">
        <v>1.0565</v>
      </c>
      <c r="L792" s="1">
        <v>50925.89</v>
      </c>
      <c r="M792" s="1">
        <v>992486</v>
      </c>
      <c r="N792" s="1">
        <v>9596</v>
      </c>
      <c r="O792" s="1">
        <v>93934.51</v>
      </c>
      <c r="P792" s="1">
        <v>2024</v>
      </c>
      <c r="Q792" s="1" t="s">
        <v>65</v>
      </c>
      <c r="R792" s="1" t="s">
        <v>25</v>
      </c>
    </row>
    <row r="793" spans="1:18" x14ac:dyDescent="0.35">
      <c r="A793" s="3" t="s">
        <v>92</v>
      </c>
      <c r="B793" s="3"/>
      <c r="C793" s="1" t="s">
        <v>35</v>
      </c>
      <c r="D793" s="1" t="s">
        <v>69</v>
      </c>
      <c r="E793" s="1" t="s">
        <v>37</v>
      </c>
      <c r="F793" s="1" t="s">
        <v>30</v>
      </c>
      <c r="G793" s="1" t="s">
        <v>31</v>
      </c>
      <c r="H793" s="2">
        <v>45627</v>
      </c>
      <c r="I793" s="2">
        <v>45664</v>
      </c>
      <c r="J793" s="1">
        <v>43167.94</v>
      </c>
      <c r="K793" s="1">
        <v>0.70009999999999994</v>
      </c>
      <c r="L793" s="1">
        <v>30221.87</v>
      </c>
      <c r="M793" s="1">
        <v>53993</v>
      </c>
      <c r="N793" s="1">
        <v>36368</v>
      </c>
      <c r="O793" s="1">
        <v>180752.64000000001</v>
      </c>
      <c r="P793" s="1">
        <v>2024</v>
      </c>
      <c r="Q793" s="1" t="s">
        <v>73</v>
      </c>
      <c r="R793" s="1" t="s">
        <v>25</v>
      </c>
    </row>
    <row r="794" spans="1:18" x14ac:dyDescent="0.35">
      <c r="A794" s="3" t="s">
        <v>88</v>
      </c>
      <c r="B794" s="3"/>
      <c r="C794" s="1" t="s">
        <v>35</v>
      </c>
      <c r="D794" s="1" t="s">
        <v>20</v>
      </c>
      <c r="E794" s="1" t="s">
        <v>51</v>
      </c>
      <c r="F794" s="1" t="s">
        <v>22</v>
      </c>
      <c r="G794" s="1" t="s">
        <v>31</v>
      </c>
      <c r="H794" s="2">
        <v>45628</v>
      </c>
      <c r="I794" s="2">
        <v>45669</v>
      </c>
      <c r="J794" s="1">
        <v>5390.14</v>
      </c>
      <c r="K794" s="1">
        <v>0.80940000000000001</v>
      </c>
      <c r="L794" s="1">
        <v>4362.78</v>
      </c>
      <c r="M794" s="1">
        <v>454114</v>
      </c>
      <c r="N794" s="1">
        <v>24038</v>
      </c>
      <c r="O794" s="1">
        <v>90335.42</v>
      </c>
      <c r="P794" s="1">
        <v>2024</v>
      </c>
      <c r="Q794" s="1" t="s">
        <v>73</v>
      </c>
      <c r="R794" s="1" t="s">
        <v>25</v>
      </c>
    </row>
    <row r="795" spans="1:18" x14ac:dyDescent="0.35">
      <c r="A795" s="3" t="s">
        <v>107</v>
      </c>
      <c r="B795" s="3"/>
      <c r="C795" s="1" t="s">
        <v>19</v>
      </c>
      <c r="D795" s="1" t="s">
        <v>36</v>
      </c>
      <c r="E795" s="1" t="s">
        <v>43</v>
      </c>
      <c r="F795" s="1" t="s">
        <v>30</v>
      </c>
      <c r="G795" s="1" t="s">
        <v>52</v>
      </c>
      <c r="H795" s="2">
        <v>45628</v>
      </c>
      <c r="I795" s="2">
        <v>45661</v>
      </c>
      <c r="J795" s="1">
        <v>18224.3</v>
      </c>
      <c r="K795" s="1">
        <v>0.873</v>
      </c>
      <c r="L795" s="1">
        <v>15909.81</v>
      </c>
      <c r="M795" s="1">
        <v>274132</v>
      </c>
      <c r="N795" s="1">
        <v>12753</v>
      </c>
      <c r="O795" s="1">
        <v>13340.23</v>
      </c>
      <c r="P795" s="1">
        <v>2024</v>
      </c>
      <c r="Q795" s="1" t="s">
        <v>73</v>
      </c>
      <c r="R795" s="1" t="s">
        <v>25</v>
      </c>
    </row>
    <row r="796" spans="1:18" x14ac:dyDescent="0.35">
      <c r="A796" s="3" t="s">
        <v>64</v>
      </c>
      <c r="B796" s="3"/>
      <c r="C796" s="1" t="s">
        <v>28</v>
      </c>
      <c r="D796" s="1" t="s">
        <v>69</v>
      </c>
      <c r="E796" s="1" t="s">
        <v>21</v>
      </c>
      <c r="F796" s="1" t="s">
        <v>38</v>
      </c>
      <c r="G796" s="1" t="s">
        <v>49</v>
      </c>
      <c r="H796" s="2">
        <v>45628</v>
      </c>
      <c r="I796" s="2">
        <v>45657</v>
      </c>
      <c r="J796" s="1">
        <v>9305.59</v>
      </c>
      <c r="K796" s="1">
        <v>0.33</v>
      </c>
      <c r="L796" s="1">
        <v>3070.84</v>
      </c>
      <c r="M796" s="1">
        <v>291444</v>
      </c>
      <c r="N796" s="1">
        <v>32417</v>
      </c>
      <c r="O796" s="1">
        <v>40754.03</v>
      </c>
      <c r="P796" s="1">
        <v>2024</v>
      </c>
      <c r="Q796" s="1" t="s">
        <v>73</v>
      </c>
      <c r="R796" s="1" t="s">
        <v>25</v>
      </c>
    </row>
    <row r="797" spans="1:18" x14ac:dyDescent="0.35">
      <c r="A797" s="3" t="s">
        <v>94</v>
      </c>
      <c r="B797" s="3"/>
      <c r="C797" s="1" t="s">
        <v>19</v>
      </c>
      <c r="D797" s="1" t="s">
        <v>29</v>
      </c>
      <c r="E797" s="1" t="s">
        <v>37</v>
      </c>
      <c r="F797" s="1" t="s">
        <v>38</v>
      </c>
      <c r="G797" s="1" t="s">
        <v>52</v>
      </c>
      <c r="H797" s="2">
        <v>45629</v>
      </c>
      <c r="I797" s="2">
        <v>45653</v>
      </c>
      <c r="J797" s="1">
        <v>47623.24</v>
      </c>
      <c r="K797" s="1">
        <v>0.69689999999999996</v>
      </c>
      <c r="L797" s="1">
        <v>33188.639999999999</v>
      </c>
      <c r="M797" s="1">
        <v>117022</v>
      </c>
      <c r="N797" s="1">
        <v>9752</v>
      </c>
      <c r="O797" s="1">
        <v>117933.75999999999</v>
      </c>
      <c r="P797" s="1">
        <v>2024</v>
      </c>
      <c r="Q797" s="1" t="s">
        <v>73</v>
      </c>
      <c r="R797" s="1" t="s">
        <v>25</v>
      </c>
    </row>
    <row r="798" spans="1:18" x14ac:dyDescent="0.35">
      <c r="A798" s="3" t="s">
        <v>85</v>
      </c>
      <c r="B798" s="3"/>
      <c r="C798" s="1" t="s">
        <v>19</v>
      </c>
      <c r="D798" s="1" t="s">
        <v>69</v>
      </c>
      <c r="E798" s="1" t="s">
        <v>51</v>
      </c>
      <c r="F798" s="1" t="s">
        <v>22</v>
      </c>
      <c r="G798" s="1" t="s">
        <v>44</v>
      </c>
      <c r="H798" s="2">
        <v>45630</v>
      </c>
      <c r="I798" s="2">
        <v>45667</v>
      </c>
      <c r="J798" s="1">
        <v>35947.910000000003</v>
      </c>
      <c r="K798" s="1">
        <v>0.79249999999999998</v>
      </c>
      <c r="L798" s="1">
        <v>28488.720000000001</v>
      </c>
      <c r="M798" s="1">
        <v>159600</v>
      </c>
      <c r="N798" s="1">
        <v>24925</v>
      </c>
      <c r="O798" s="1">
        <v>144052.39000000001</v>
      </c>
      <c r="P798" s="1">
        <v>2024</v>
      </c>
      <c r="Q798" s="1" t="s">
        <v>73</v>
      </c>
      <c r="R798" s="1" t="s">
        <v>25</v>
      </c>
    </row>
    <row r="799" spans="1:18" x14ac:dyDescent="0.35">
      <c r="A799" s="3" t="s">
        <v>110</v>
      </c>
      <c r="B799" s="3"/>
      <c r="C799" s="1" t="s">
        <v>35</v>
      </c>
      <c r="D799" s="1" t="s">
        <v>36</v>
      </c>
      <c r="E799" s="1" t="s">
        <v>59</v>
      </c>
      <c r="F799" s="1" t="s">
        <v>30</v>
      </c>
      <c r="G799" s="1" t="s">
        <v>44</v>
      </c>
      <c r="H799" s="2">
        <v>45630</v>
      </c>
      <c r="I799" s="2">
        <v>45661</v>
      </c>
      <c r="J799" s="1">
        <v>19387.46</v>
      </c>
      <c r="K799" s="1">
        <v>0.38319999999999999</v>
      </c>
      <c r="L799" s="1">
        <v>7429.27</v>
      </c>
      <c r="M799" s="1">
        <v>962424</v>
      </c>
      <c r="N799" s="1">
        <v>29648</v>
      </c>
      <c r="O799" s="1">
        <v>203094.52</v>
      </c>
      <c r="P799" s="1">
        <v>2024</v>
      </c>
      <c r="Q799" s="1" t="s">
        <v>73</v>
      </c>
      <c r="R799" s="1" t="s">
        <v>25</v>
      </c>
    </row>
    <row r="800" spans="1:18" x14ac:dyDescent="0.35">
      <c r="A800" s="3" t="s">
        <v>79</v>
      </c>
      <c r="B800" s="3"/>
      <c r="C800" s="1" t="s">
        <v>19</v>
      </c>
      <c r="D800" s="1" t="s">
        <v>69</v>
      </c>
      <c r="E800" s="1" t="s">
        <v>63</v>
      </c>
      <c r="F800" s="1" t="s">
        <v>30</v>
      </c>
      <c r="G800" s="1" t="s">
        <v>44</v>
      </c>
      <c r="H800" s="2">
        <v>45631</v>
      </c>
      <c r="I800" s="2">
        <v>45691</v>
      </c>
      <c r="J800" s="1">
        <v>3572.06</v>
      </c>
      <c r="K800" s="1">
        <v>1.0611999999999999</v>
      </c>
      <c r="L800" s="1">
        <v>3790.67</v>
      </c>
      <c r="M800" s="1">
        <v>55168</v>
      </c>
      <c r="N800" s="1">
        <v>7361</v>
      </c>
      <c r="O800" s="1">
        <v>16760.830000000002</v>
      </c>
      <c r="P800" s="1">
        <v>2024</v>
      </c>
      <c r="Q800" s="1" t="s">
        <v>73</v>
      </c>
      <c r="R800" s="1" t="s">
        <v>25</v>
      </c>
    </row>
    <row r="801" spans="1:18" x14ac:dyDescent="0.35">
      <c r="A801" s="3" t="s">
        <v>50</v>
      </c>
      <c r="B801" s="3"/>
      <c r="C801" s="1" t="s">
        <v>28</v>
      </c>
      <c r="D801" s="1" t="s">
        <v>69</v>
      </c>
      <c r="E801" s="1" t="s">
        <v>21</v>
      </c>
      <c r="F801" s="1" t="s">
        <v>30</v>
      </c>
      <c r="G801" s="1" t="s">
        <v>44</v>
      </c>
      <c r="H801" s="2">
        <v>45631</v>
      </c>
      <c r="I801" s="2">
        <v>45656</v>
      </c>
      <c r="J801" s="1">
        <v>43471.97</v>
      </c>
      <c r="K801" s="1">
        <v>1.0662</v>
      </c>
      <c r="L801" s="1">
        <v>46349.81</v>
      </c>
      <c r="M801" s="1">
        <v>458324</v>
      </c>
      <c r="N801" s="1">
        <v>26633</v>
      </c>
      <c r="O801" s="1">
        <v>195172.61</v>
      </c>
      <c r="P801" s="1">
        <v>2024</v>
      </c>
      <c r="Q801" s="1" t="s">
        <v>73</v>
      </c>
      <c r="R801" s="1" t="s">
        <v>25</v>
      </c>
    </row>
    <row r="802" spans="1:18" x14ac:dyDescent="0.35">
      <c r="A802" s="3" t="s">
        <v>42</v>
      </c>
      <c r="B802" s="3"/>
      <c r="C802" s="1" t="s">
        <v>48</v>
      </c>
      <c r="D802" s="1" t="s">
        <v>69</v>
      </c>
      <c r="E802" s="1" t="s">
        <v>59</v>
      </c>
      <c r="F802" s="1" t="s">
        <v>22</v>
      </c>
      <c r="G802" s="1" t="s">
        <v>23</v>
      </c>
      <c r="H802" s="2">
        <v>45633</v>
      </c>
      <c r="I802" s="2">
        <v>45657</v>
      </c>
      <c r="J802" s="1">
        <v>22755.35</v>
      </c>
      <c r="K802" s="1">
        <v>0.72189999999999999</v>
      </c>
      <c r="L802" s="1">
        <v>16427.09</v>
      </c>
      <c r="M802" s="1">
        <v>61028</v>
      </c>
      <c r="N802" s="1">
        <v>24832</v>
      </c>
      <c r="O802" s="1">
        <v>192942.99</v>
      </c>
      <c r="P802" s="1">
        <v>2024</v>
      </c>
      <c r="Q802" s="1" t="s">
        <v>73</v>
      </c>
      <c r="R802" s="1" t="s">
        <v>25</v>
      </c>
    </row>
    <row r="803" spans="1:18" x14ac:dyDescent="0.35">
      <c r="A803" s="3" t="s">
        <v>109</v>
      </c>
      <c r="B803" s="3"/>
      <c r="C803" s="1" t="s">
        <v>19</v>
      </c>
      <c r="D803" s="1" t="s">
        <v>29</v>
      </c>
      <c r="E803" s="1" t="s">
        <v>43</v>
      </c>
      <c r="F803" s="1" t="s">
        <v>22</v>
      </c>
      <c r="G803" s="1" t="s">
        <v>44</v>
      </c>
      <c r="H803" s="2">
        <v>45634</v>
      </c>
      <c r="I803" s="2">
        <v>45660</v>
      </c>
      <c r="J803" s="1">
        <v>43351.39</v>
      </c>
      <c r="K803" s="1">
        <v>0.1545</v>
      </c>
      <c r="L803" s="1">
        <v>6697.79</v>
      </c>
      <c r="M803" s="1">
        <v>623015</v>
      </c>
      <c r="N803" s="1">
        <v>44298</v>
      </c>
      <c r="O803" s="1">
        <v>130151.11</v>
      </c>
      <c r="P803" s="1">
        <v>2024</v>
      </c>
      <c r="Q803" s="1" t="s">
        <v>73</v>
      </c>
      <c r="R803" s="1" t="s">
        <v>25</v>
      </c>
    </row>
    <row r="804" spans="1:18" x14ac:dyDescent="0.35">
      <c r="A804" s="3" t="s">
        <v>84</v>
      </c>
      <c r="B804" s="3"/>
      <c r="C804" s="1" t="s">
        <v>19</v>
      </c>
      <c r="D804" s="1" t="s">
        <v>36</v>
      </c>
      <c r="E804" s="1" t="s">
        <v>51</v>
      </c>
      <c r="F804" s="1" t="s">
        <v>38</v>
      </c>
      <c r="G804" s="1" t="s">
        <v>52</v>
      </c>
      <c r="H804" s="2">
        <v>45636</v>
      </c>
      <c r="I804" s="2">
        <v>45683</v>
      </c>
      <c r="J804" s="1">
        <v>3302.01</v>
      </c>
      <c r="K804" s="1">
        <v>0.46410000000000001</v>
      </c>
      <c r="L804" s="1">
        <v>1532.46</v>
      </c>
      <c r="M804" s="1">
        <v>446801</v>
      </c>
      <c r="N804" s="1">
        <v>45001</v>
      </c>
      <c r="O804" s="1">
        <v>81600.23</v>
      </c>
      <c r="P804" s="1">
        <v>2024</v>
      </c>
      <c r="Q804" s="1" t="s">
        <v>73</v>
      </c>
      <c r="R804" s="1" t="s">
        <v>25</v>
      </c>
    </row>
    <row r="805" spans="1:18" x14ac:dyDescent="0.35">
      <c r="A805" s="3" t="s">
        <v>100</v>
      </c>
      <c r="B805" s="3"/>
      <c r="C805" s="1" t="s">
        <v>35</v>
      </c>
      <c r="D805" s="1" t="s">
        <v>58</v>
      </c>
      <c r="E805" s="1" t="s">
        <v>59</v>
      </c>
      <c r="F805" s="1" t="s">
        <v>38</v>
      </c>
      <c r="G805" s="1" t="s">
        <v>52</v>
      </c>
      <c r="H805" s="2">
        <v>45636</v>
      </c>
      <c r="I805" s="2">
        <v>45655</v>
      </c>
      <c r="J805" s="1">
        <v>23860.3</v>
      </c>
      <c r="K805" s="1">
        <v>0.2636</v>
      </c>
      <c r="L805" s="1">
        <v>6289.58</v>
      </c>
      <c r="M805" s="1">
        <v>514098</v>
      </c>
      <c r="N805" s="1">
        <v>48241</v>
      </c>
      <c r="O805" s="1">
        <v>193245.36</v>
      </c>
      <c r="P805" s="1">
        <v>2024</v>
      </c>
      <c r="Q805" s="1" t="s">
        <v>73</v>
      </c>
      <c r="R805" s="1" t="s">
        <v>25</v>
      </c>
    </row>
    <row r="806" spans="1:18" x14ac:dyDescent="0.35">
      <c r="A806" s="3" t="s">
        <v>98</v>
      </c>
      <c r="B806" s="3"/>
      <c r="C806" s="1" t="s">
        <v>19</v>
      </c>
      <c r="D806" s="1" t="s">
        <v>69</v>
      </c>
      <c r="E806" s="1" t="s">
        <v>63</v>
      </c>
      <c r="F806" s="1" t="s">
        <v>38</v>
      </c>
      <c r="G806" s="1" t="s">
        <v>44</v>
      </c>
      <c r="H806" s="2">
        <v>45637</v>
      </c>
      <c r="I806" s="2">
        <v>45664</v>
      </c>
      <c r="J806" s="1">
        <v>16292.52</v>
      </c>
      <c r="K806" s="1">
        <v>0.13220000000000001</v>
      </c>
      <c r="L806" s="1">
        <v>2153.87</v>
      </c>
      <c r="M806" s="1">
        <v>537786</v>
      </c>
      <c r="N806" s="1">
        <v>38679</v>
      </c>
      <c r="O806" s="1">
        <v>79998.2</v>
      </c>
      <c r="P806" s="1">
        <v>2024</v>
      </c>
      <c r="Q806" s="1" t="s">
        <v>73</v>
      </c>
      <c r="R806" s="1" t="s">
        <v>25</v>
      </c>
    </row>
    <row r="807" spans="1:18" x14ac:dyDescent="0.35">
      <c r="A807" s="3" t="s">
        <v>64</v>
      </c>
      <c r="B807" s="3"/>
      <c r="C807" s="1" t="s">
        <v>19</v>
      </c>
      <c r="D807" s="1" t="s">
        <v>69</v>
      </c>
      <c r="E807" s="1" t="s">
        <v>51</v>
      </c>
      <c r="F807" s="1" t="s">
        <v>30</v>
      </c>
      <c r="G807" s="1" t="s">
        <v>52</v>
      </c>
      <c r="H807" s="2">
        <v>45637</v>
      </c>
      <c r="I807" s="2">
        <v>45648</v>
      </c>
      <c r="J807" s="1">
        <v>27348.84</v>
      </c>
      <c r="K807" s="1">
        <v>0.40389999999999998</v>
      </c>
      <c r="L807" s="1">
        <v>11046.2</v>
      </c>
      <c r="M807" s="1">
        <v>74076</v>
      </c>
      <c r="N807" s="1">
        <v>41058</v>
      </c>
      <c r="O807" s="1">
        <v>119830.06</v>
      </c>
      <c r="P807" s="1">
        <v>2024</v>
      </c>
      <c r="Q807" s="1" t="s">
        <v>73</v>
      </c>
      <c r="R807" s="1" t="s">
        <v>25</v>
      </c>
    </row>
    <row r="808" spans="1:18" x14ac:dyDescent="0.35">
      <c r="A808" s="3" t="s">
        <v>78</v>
      </c>
      <c r="B808" s="3"/>
      <c r="C808" s="1" t="s">
        <v>19</v>
      </c>
      <c r="D808" s="1" t="s">
        <v>69</v>
      </c>
      <c r="E808" s="1" t="s">
        <v>59</v>
      </c>
      <c r="F808" s="1" t="s">
        <v>22</v>
      </c>
      <c r="G808" s="1" t="s">
        <v>44</v>
      </c>
      <c r="H808" s="2">
        <v>45639</v>
      </c>
      <c r="I808" s="2">
        <v>45697</v>
      </c>
      <c r="J808" s="1">
        <v>7800.84</v>
      </c>
      <c r="K808" s="1">
        <v>0.84960000000000002</v>
      </c>
      <c r="L808" s="1">
        <v>6627.59</v>
      </c>
      <c r="M808" s="1">
        <v>480392</v>
      </c>
      <c r="N808" s="1">
        <v>40427</v>
      </c>
      <c r="O808" s="1">
        <v>6286.54</v>
      </c>
      <c r="P808" s="1">
        <v>2024</v>
      </c>
      <c r="Q808" s="1" t="s">
        <v>73</v>
      </c>
      <c r="R808" s="1" t="s">
        <v>25</v>
      </c>
    </row>
    <row r="809" spans="1:18" x14ac:dyDescent="0.35">
      <c r="A809" s="3" t="s">
        <v>108</v>
      </c>
      <c r="B809" s="3"/>
      <c r="C809" s="1" t="s">
        <v>35</v>
      </c>
      <c r="D809" s="1" t="s">
        <v>69</v>
      </c>
      <c r="E809" s="1" t="s">
        <v>59</v>
      </c>
      <c r="F809" s="1" t="s">
        <v>38</v>
      </c>
      <c r="G809" s="1" t="s">
        <v>49</v>
      </c>
      <c r="H809" s="2">
        <v>45639</v>
      </c>
      <c r="I809" s="2">
        <v>45652</v>
      </c>
      <c r="J809" s="1">
        <v>22056.21</v>
      </c>
      <c r="K809" s="1">
        <v>0.51790000000000003</v>
      </c>
      <c r="L809" s="1">
        <v>11422.91</v>
      </c>
      <c r="M809" s="1">
        <v>154462</v>
      </c>
      <c r="N809" s="1">
        <v>7674</v>
      </c>
      <c r="O809" s="1">
        <v>112298.45</v>
      </c>
      <c r="P809" s="1">
        <v>2024</v>
      </c>
      <c r="Q809" s="1" t="s">
        <v>73</v>
      </c>
      <c r="R809" s="1" t="s">
        <v>25</v>
      </c>
    </row>
    <row r="810" spans="1:18" x14ac:dyDescent="0.35">
      <c r="A810" s="3" t="s">
        <v>105</v>
      </c>
      <c r="B810" s="3"/>
      <c r="C810" s="1" t="s">
        <v>28</v>
      </c>
      <c r="D810" s="1" t="s">
        <v>29</v>
      </c>
      <c r="E810" s="1" t="s">
        <v>43</v>
      </c>
      <c r="F810" s="1" t="s">
        <v>22</v>
      </c>
      <c r="G810" s="1" t="s">
        <v>49</v>
      </c>
      <c r="H810" s="2">
        <v>45641</v>
      </c>
      <c r="I810" s="2">
        <v>45683</v>
      </c>
      <c r="J810" s="1">
        <v>10071.16</v>
      </c>
      <c r="K810" s="1">
        <v>0.8115</v>
      </c>
      <c r="L810" s="1">
        <v>8172.75</v>
      </c>
      <c r="M810" s="1">
        <v>122537</v>
      </c>
      <c r="N810" s="1">
        <v>11952</v>
      </c>
      <c r="O810" s="1">
        <v>209511.83</v>
      </c>
      <c r="P810" s="1">
        <v>2024</v>
      </c>
      <c r="Q810" s="1" t="s">
        <v>73</v>
      </c>
      <c r="R810" s="1" t="s">
        <v>25</v>
      </c>
    </row>
    <row r="811" spans="1:18" x14ac:dyDescent="0.35">
      <c r="A811" s="3" t="s">
        <v>117</v>
      </c>
      <c r="B811" s="3"/>
      <c r="C811" s="1" t="s">
        <v>28</v>
      </c>
      <c r="D811" s="1" t="s">
        <v>29</v>
      </c>
      <c r="E811" s="1" t="s">
        <v>37</v>
      </c>
      <c r="F811" s="1" t="s">
        <v>30</v>
      </c>
      <c r="G811" s="1" t="s">
        <v>31</v>
      </c>
      <c r="H811" s="2">
        <v>45643</v>
      </c>
      <c r="I811" s="2">
        <v>45696</v>
      </c>
      <c r="J811" s="1">
        <v>40937.54</v>
      </c>
      <c r="K811" s="1">
        <v>0.44840000000000002</v>
      </c>
      <c r="L811" s="1">
        <v>18356.39</v>
      </c>
      <c r="M811" s="1">
        <v>658388</v>
      </c>
      <c r="N811" s="1">
        <v>45069</v>
      </c>
      <c r="O811" s="1">
        <v>166424.65</v>
      </c>
      <c r="P811" s="1">
        <v>2024</v>
      </c>
      <c r="Q811" s="1" t="s">
        <v>73</v>
      </c>
      <c r="R811" s="1" t="s">
        <v>25</v>
      </c>
    </row>
    <row r="812" spans="1:18" x14ac:dyDescent="0.35">
      <c r="A812" s="3" t="s">
        <v>98</v>
      </c>
      <c r="B812" s="3"/>
      <c r="C812" s="1" t="s">
        <v>28</v>
      </c>
      <c r="D812" s="1" t="s">
        <v>36</v>
      </c>
      <c r="E812" s="1" t="s">
        <v>63</v>
      </c>
      <c r="F812" s="1" t="s">
        <v>38</v>
      </c>
      <c r="G812" s="1" t="s">
        <v>49</v>
      </c>
      <c r="H812" s="2">
        <v>45643</v>
      </c>
      <c r="I812" s="2">
        <v>45690</v>
      </c>
      <c r="J812" s="1">
        <v>17186.07</v>
      </c>
      <c r="K812" s="1">
        <v>1.0343</v>
      </c>
      <c r="L812" s="1">
        <v>17775.55</v>
      </c>
      <c r="M812" s="1">
        <v>350536</v>
      </c>
      <c r="N812" s="1">
        <v>29806</v>
      </c>
      <c r="O812" s="1">
        <v>124439.15</v>
      </c>
      <c r="P812" s="1">
        <v>2024</v>
      </c>
      <c r="Q812" s="1" t="s">
        <v>73</v>
      </c>
      <c r="R812" s="1" t="s">
        <v>25</v>
      </c>
    </row>
    <row r="813" spans="1:18" x14ac:dyDescent="0.35">
      <c r="A813" s="3" t="s">
        <v>68</v>
      </c>
      <c r="B813" s="3"/>
      <c r="C813" s="1" t="s">
        <v>19</v>
      </c>
      <c r="D813" s="1" t="s">
        <v>69</v>
      </c>
      <c r="E813" s="1" t="s">
        <v>37</v>
      </c>
      <c r="F813" s="1" t="s">
        <v>38</v>
      </c>
      <c r="G813" s="1" t="s">
        <v>31</v>
      </c>
      <c r="H813" s="2">
        <v>45643</v>
      </c>
      <c r="I813" s="2">
        <v>45688</v>
      </c>
      <c r="J813" s="1">
        <v>49026.09</v>
      </c>
      <c r="K813" s="1">
        <v>0.27389999999999998</v>
      </c>
      <c r="L813" s="1">
        <v>13428.25</v>
      </c>
      <c r="M813" s="1">
        <v>456772</v>
      </c>
      <c r="N813" s="1">
        <v>31504</v>
      </c>
      <c r="O813" s="1">
        <v>20030.68</v>
      </c>
      <c r="P813" s="1">
        <v>2024</v>
      </c>
      <c r="Q813" s="1" t="s">
        <v>73</v>
      </c>
      <c r="R813" s="1" t="s">
        <v>25</v>
      </c>
    </row>
    <row r="814" spans="1:18" x14ac:dyDescent="0.35">
      <c r="A814" s="3" t="s">
        <v>27</v>
      </c>
      <c r="B814" s="3"/>
      <c r="C814" s="1" t="s">
        <v>28</v>
      </c>
      <c r="D814" s="1" t="s">
        <v>20</v>
      </c>
      <c r="E814" s="1" t="s">
        <v>63</v>
      </c>
      <c r="F814" s="1" t="s">
        <v>22</v>
      </c>
      <c r="G814" s="1" t="s">
        <v>52</v>
      </c>
      <c r="H814" s="2">
        <v>45643</v>
      </c>
      <c r="I814" s="2">
        <v>45679</v>
      </c>
      <c r="J814" s="1">
        <v>32796.67</v>
      </c>
      <c r="K814" s="1">
        <v>0.55259999999999998</v>
      </c>
      <c r="L814" s="1">
        <v>18123.439999999999</v>
      </c>
      <c r="M814" s="1">
        <v>440321</v>
      </c>
      <c r="N814" s="1">
        <v>23150</v>
      </c>
      <c r="O814" s="1">
        <v>91291.75</v>
      </c>
      <c r="P814" s="1">
        <v>2024</v>
      </c>
      <c r="Q814" s="1" t="s">
        <v>73</v>
      </c>
      <c r="R814" s="1" t="s">
        <v>25</v>
      </c>
    </row>
    <row r="815" spans="1:18" x14ac:dyDescent="0.35">
      <c r="A815" s="3" t="s">
        <v>72</v>
      </c>
      <c r="B815" s="3"/>
      <c r="C815" s="1" t="s">
        <v>28</v>
      </c>
      <c r="D815" s="1" t="s">
        <v>69</v>
      </c>
      <c r="E815" s="1" t="s">
        <v>51</v>
      </c>
      <c r="F815" s="1" t="s">
        <v>38</v>
      </c>
      <c r="G815" s="1" t="s">
        <v>52</v>
      </c>
      <c r="H815" s="2">
        <v>45644</v>
      </c>
      <c r="I815" s="2">
        <v>45674</v>
      </c>
      <c r="J815" s="1">
        <v>22863.26</v>
      </c>
      <c r="K815" s="1">
        <v>0.25409999999999999</v>
      </c>
      <c r="L815" s="1">
        <v>5809.55</v>
      </c>
      <c r="M815" s="1">
        <v>580871</v>
      </c>
      <c r="N815" s="1">
        <v>41018</v>
      </c>
      <c r="O815" s="1">
        <v>198143.69</v>
      </c>
      <c r="P815" s="1">
        <v>2024</v>
      </c>
      <c r="Q815" s="1" t="s">
        <v>73</v>
      </c>
      <c r="R815" s="1" t="s">
        <v>25</v>
      </c>
    </row>
    <row r="816" spans="1:18" x14ac:dyDescent="0.35">
      <c r="A816" s="3" t="s">
        <v>94</v>
      </c>
      <c r="B816" s="3"/>
      <c r="C816" s="1" t="s">
        <v>35</v>
      </c>
      <c r="D816" s="1" t="s">
        <v>20</v>
      </c>
      <c r="E816" s="1" t="s">
        <v>43</v>
      </c>
      <c r="F816" s="1" t="s">
        <v>30</v>
      </c>
      <c r="G816" s="1" t="s">
        <v>52</v>
      </c>
      <c r="H816" s="2">
        <v>45645</v>
      </c>
      <c r="I816" s="2">
        <v>45659</v>
      </c>
      <c r="J816" s="1">
        <v>11069.25</v>
      </c>
      <c r="K816" s="1">
        <v>0.82599999999999996</v>
      </c>
      <c r="L816" s="1">
        <v>9143.2000000000007</v>
      </c>
      <c r="M816" s="1">
        <v>19756</v>
      </c>
      <c r="N816" s="1">
        <v>19833</v>
      </c>
      <c r="O816" s="1">
        <v>108113.51</v>
      </c>
      <c r="P816" s="1">
        <v>2024</v>
      </c>
      <c r="Q816" s="1" t="s">
        <v>73</v>
      </c>
      <c r="R816" s="1" t="s">
        <v>25</v>
      </c>
    </row>
    <row r="817" spans="1:18" x14ac:dyDescent="0.35">
      <c r="A817" s="3" t="s">
        <v>99</v>
      </c>
      <c r="B817" s="3"/>
      <c r="C817" s="1" t="s">
        <v>48</v>
      </c>
      <c r="D817" s="1" t="s">
        <v>58</v>
      </c>
      <c r="E817" s="1" t="s">
        <v>37</v>
      </c>
      <c r="F817" s="1" t="s">
        <v>30</v>
      </c>
      <c r="G817" s="1" t="s">
        <v>52</v>
      </c>
      <c r="H817" s="2">
        <v>45646</v>
      </c>
      <c r="I817" s="2">
        <v>45706</v>
      </c>
      <c r="J817" s="1">
        <v>23247.53</v>
      </c>
      <c r="K817" s="1">
        <v>0.82799999999999996</v>
      </c>
      <c r="L817" s="1">
        <v>19248.95</v>
      </c>
      <c r="M817" s="1">
        <v>978790</v>
      </c>
      <c r="N817" s="1">
        <v>17437</v>
      </c>
      <c r="O817" s="1">
        <v>198017.87</v>
      </c>
      <c r="P817" s="1">
        <v>2024</v>
      </c>
      <c r="Q817" s="1" t="s">
        <v>73</v>
      </c>
      <c r="R817" s="1" t="s">
        <v>25</v>
      </c>
    </row>
    <row r="818" spans="1:18" x14ac:dyDescent="0.35">
      <c r="A818" s="3" t="s">
        <v>118</v>
      </c>
      <c r="B818" s="3"/>
      <c r="C818" s="1" t="s">
        <v>48</v>
      </c>
      <c r="D818" s="1" t="s">
        <v>69</v>
      </c>
      <c r="E818" s="1" t="s">
        <v>63</v>
      </c>
      <c r="F818" s="1" t="s">
        <v>22</v>
      </c>
      <c r="G818" s="1" t="s">
        <v>49</v>
      </c>
      <c r="H818" s="2">
        <v>45648</v>
      </c>
      <c r="I818" s="2">
        <v>45666</v>
      </c>
      <c r="J818" s="1">
        <v>11083.44</v>
      </c>
      <c r="K818" s="1">
        <v>0.90529999999999999</v>
      </c>
      <c r="L818" s="1">
        <v>10033.84</v>
      </c>
      <c r="M818" s="1">
        <v>858014</v>
      </c>
      <c r="N818" s="1">
        <v>4200</v>
      </c>
      <c r="O818" s="1">
        <v>146450.23999999999</v>
      </c>
      <c r="P818" s="1">
        <v>2024</v>
      </c>
      <c r="Q818" s="1" t="s">
        <v>73</v>
      </c>
      <c r="R818" s="1" t="s">
        <v>25</v>
      </c>
    </row>
    <row r="819" spans="1:18" x14ac:dyDescent="0.35">
      <c r="A819" s="3" t="s">
        <v>57</v>
      </c>
      <c r="B819" s="3"/>
      <c r="C819" s="1" t="s">
        <v>19</v>
      </c>
      <c r="D819" s="1" t="s">
        <v>29</v>
      </c>
      <c r="E819" s="1" t="s">
        <v>43</v>
      </c>
      <c r="F819" s="1" t="s">
        <v>30</v>
      </c>
      <c r="G819" s="1" t="s">
        <v>31</v>
      </c>
      <c r="H819" s="2">
        <v>45649</v>
      </c>
      <c r="I819" s="2">
        <v>45705</v>
      </c>
      <c r="J819" s="1">
        <v>19680.330000000002</v>
      </c>
      <c r="K819" s="1">
        <v>1.1861999999999999</v>
      </c>
      <c r="L819" s="1">
        <v>23344.81</v>
      </c>
      <c r="M819" s="1">
        <v>840884</v>
      </c>
      <c r="N819" s="1">
        <v>42830</v>
      </c>
      <c r="O819" s="1">
        <v>245300.44</v>
      </c>
      <c r="P819" s="1">
        <v>2024</v>
      </c>
      <c r="Q819" s="1" t="s">
        <v>73</v>
      </c>
      <c r="R819" s="1" t="s">
        <v>25</v>
      </c>
    </row>
    <row r="820" spans="1:18" x14ac:dyDescent="0.35">
      <c r="A820" s="3" t="s">
        <v>85</v>
      </c>
      <c r="B820" s="3"/>
      <c r="C820" s="1" t="s">
        <v>28</v>
      </c>
      <c r="D820" s="1" t="s">
        <v>20</v>
      </c>
      <c r="E820" s="1" t="s">
        <v>51</v>
      </c>
      <c r="F820" s="1" t="s">
        <v>22</v>
      </c>
      <c r="G820" s="1" t="s">
        <v>31</v>
      </c>
      <c r="H820" s="2">
        <v>45650</v>
      </c>
      <c r="I820" s="2">
        <v>45684</v>
      </c>
      <c r="J820" s="1">
        <v>9972.1200000000008</v>
      </c>
      <c r="K820" s="1">
        <v>1.1836</v>
      </c>
      <c r="L820" s="1">
        <v>11803</v>
      </c>
      <c r="M820" s="1">
        <v>847255</v>
      </c>
      <c r="N820" s="1">
        <v>30814</v>
      </c>
      <c r="O820" s="1">
        <v>128046.17</v>
      </c>
      <c r="P820" s="1">
        <v>2024</v>
      </c>
      <c r="Q820" s="1" t="s">
        <v>73</v>
      </c>
      <c r="R820" s="1" t="s">
        <v>25</v>
      </c>
    </row>
    <row r="821" spans="1:18" x14ac:dyDescent="0.35">
      <c r="A821" s="3" t="s">
        <v>94</v>
      </c>
      <c r="B821" s="3"/>
      <c r="C821" s="1" t="s">
        <v>19</v>
      </c>
      <c r="D821" s="1" t="s">
        <v>20</v>
      </c>
      <c r="E821" s="1" t="s">
        <v>37</v>
      </c>
      <c r="F821" s="1" t="s">
        <v>30</v>
      </c>
      <c r="G821" s="1" t="s">
        <v>23</v>
      </c>
      <c r="H821" s="2">
        <v>45650</v>
      </c>
      <c r="I821" s="2">
        <v>45658</v>
      </c>
      <c r="J821" s="1">
        <v>46404.97</v>
      </c>
      <c r="K821" s="1">
        <v>0.53100000000000003</v>
      </c>
      <c r="L821" s="1">
        <v>24641.040000000001</v>
      </c>
      <c r="M821" s="1">
        <v>489341</v>
      </c>
      <c r="N821" s="1">
        <v>49629</v>
      </c>
      <c r="O821" s="1">
        <v>32178.06</v>
      </c>
      <c r="P821" s="1">
        <v>2024</v>
      </c>
      <c r="Q821" s="1" t="s">
        <v>73</v>
      </c>
      <c r="R821" s="1" t="s">
        <v>25</v>
      </c>
    </row>
    <row r="822" spans="1:18" x14ac:dyDescent="0.35">
      <c r="A822" s="3" t="s">
        <v>87</v>
      </c>
      <c r="B822" s="3"/>
      <c r="C822" s="1" t="s">
        <v>48</v>
      </c>
      <c r="D822" s="1" t="s">
        <v>69</v>
      </c>
      <c r="E822" s="1" t="s">
        <v>21</v>
      </c>
      <c r="F822" s="1" t="s">
        <v>22</v>
      </c>
      <c r="G822" s="1" t="s">
        <v>31</v>
      </c>
      <c r="H822" s="2">
        <v>45652</v>
      </c>
      <c r="I822" s="2">
        <v>45684</v>
      </c>
      <c r="J822" s="1">
        <v>1082.8699999999999</v>
      </c>
      <c r="K822" s="1">
        <v>1.1113999999999999</v>
      </c>
      <c r="L822" s="1">
        <v>1203.5</v>
      </c>
      <c r="M822" s="1">
        <v>574607</v>
      </c>
      <c r="N822" s="1">
        <v>45113</v>
      </c>
      <c r="O822" s="1">
        <v>181260.35</v>
      </c>
      <c r="P822" s="1">
        <v>2024</v>
      </c>
      <c r="Q822" s="1" t="s">
        <v>73</v>
      </c>
      <c r="R822" s="1" t="s">
        <v>25</v>
      </c>
    </row>
    <row r="823" spans="1:18" x14ac:dyDescent="0.35">
      <c r="A823" s="3" t="s">
        <v>72</v>
      </c>
      <c r="B823" s="3"/>
      <c r="C823" s="1" t="s">
        <v>48</v>
      </c>
      <c r="D823" s="1" t="s">
        <v>36</v>
      </c>
      <c r="E823" s="1" t="s">
        <v>51</v>
      </c>
      <c r="F823" s="1" t="s">
        <v>22</v>
      </c>
      <c r="G823" s="1" t="s">
        <v>31</v>
      </c>
      <c r="H823" s="2">
        <v>45652</v>
      </c>
      <c r="I823" s="2">
        <v>45664</v>
      </c>
      <c r="J823" s="1">
        <v>5232.93</v>
      </c>
      <c r="K823" s="1">
        <v>0.72960000000000003</v>
      </c>
      <c r="L823" s="1">
        <v>3817.95</v>
      </c>
      <c r="M823" s="1">
        <v>404220</v>
      </c>
      <c r="N823" s="1">
        <v>43117</v>
      </c>
      <c r="O823" s="1">
        <v>192145.15</v>
      </c>
      <c r="P823" s="1">
        <v>2024</v>
      </c>
      <c r="Q823" s="1" t="s">
        <v>73</v>
      </c>
      <c r="R823" s="1" t="s">
        <v>25</v>
      </c>
    </row>
    <row r="824" spans="1:18" x14ac:dyDescent="0.35">
      <c r="A824" s="3" t="s">
        <v>66</v>
      </c>
      <c r="B824" s="3"/>
      <c r="C824" s="1" t="s">
        <v>28</v>
      </c>
      <c r="D824" s="1" t="s">
        <v>36</v>
      </c>
      <c r="E824" s="1" t="s">
        <v>37</v>
      </c>
      <c r="F824" s="1" t="s">
        <v>22</v>
      </c>
      <c r="G824" s="1" t="s">
        <v>31</v>
      </c>
      <c r="H824" s="2">
        <v>45656</v>
      </c>
      <c r="I824" s="2">
        <v>45710</v>
      </c>
      <c r="J824" s="1">
        <v>34460.800000000003</v>
      </c>
      <c r="K824" s="1">
        <v>0.29449999999999998</v>
      </c>
      <c r="L824" s="1">
        <v>10148.709999999999</v>
      </c>
      <c r="M824" s="1">
        <v>650037</v>
      </c>
      <c r="N824" s="1">
        <v>39872</v>
      </c>
      <c r="O824" s="1">
        <v>23374.58</v>
      </c>
      <c r="P824" s="1">
        <v>2024</v>
      </c>
      <c r="Q824" s="1" t="s">
        <v>73</v>
      </c>
      <c r="R824" s="1" t="s">
        <v>25</v>
      </c>
    </row>
    <row r="825" spans="1:18" x14ac:dyDescent="0.35">
      <c r="A825" s="3" t="s">
        <v>57</v>
      </c>
      <c r="B825" s="3"/>
      <c r="C825" s="1" t="s">
        <v>28</v>
      </c>
      <c r="D825" s="1" t="s">
        <v>29</v>
      </c>
      <c r="E825" s="1" t="s">
        <v>21</v>
      </c>
      <c r="F825" s="1" t="s">
        <v>22</v>
      </c>
      <c r="G825" s="1" t="s">
        <v>44</v>
      </c>
      <c r="H825" s="2">
        <v>45657</v>
      </c>
      <c r="I825" s="2">
        <v>45675</v>
      </c>
      <c r="J825" s="1">
        <v>10336.66</v>
      </c>
      <c r="K825" s="1">
        <v>1.0357000000000001</v>
      </c>
      <c r="L825" s="1">
        <v>10705.68</v>
      </c>
      <c r="M825" s="1">
        <v>830114</v>
      </c>
      <c r="N825" s="1">
        <v>17545</v>
      </c>
      <c r="O825" s="1">
        <v>75550.679999999993</v>
      </c>
      <c r="P825" s="1">
        <v>2024</v>
      </c>
      <c r="Q825" s="1" t="s">
        <v>73</v>
      </c>
      <c r="R825" s="1" t="s">
        <v>25</v>
      </c>
    </row>
    <row r="826" spans="1:18" x14ac:dyDescent="0.35">
      <c r="A826" s="3" t="s">
        <v>83</v>
      </c>
      <c r="B826" s="3"/>
      <c r="C826" s="1" t="s">
        <v>28</v>
      </c>
      <c r="D826" s="1" t="s">
        <v>36</v>
      </c>
      <c r="E826" s="1" t="s">
        <v>37</v>
      </c>
      <c r="F826" s="1" t="s">
        <v>22</v>
      </c>
      <c r="G826" s="1" t="s">
        <v>52</v>
      </c>
      <c r="H826" s="2">
        <v>45657</v>
      </c>
      <c r="I826" s="2">
        <v>45665</v>
      </c>
      <c r="J826" s="1">
        <v>15603.19</v>
      </c>
      <c r="K826" s="1">
        <v>0.1275</v>
      </c>
      <c r="L826" s="1">
        <v>1989.41</v>
      </c>
      <c r="M826" s="1">
        <v>159380</v>
      </c>
      <c r="N826" s="1">
        <v>27154</v>
      </c>
      <c r="O826" s="1">
        <v>223787.7</v>
      </c>
      <c r="P826" s="1">
        <v>2024</v>
      </c>
      <c r="Q826" s="1" t="s">
        <v>73</v>
      </c>
      <c r="R826" s="1" t="s">
        <v>25</v>
      </c>
    </row>
    <row r="827" spans="1:18" x14ac:dyDescent="0.35">
      <c r="A827" s="3" t="s">
        <v>100</v>
      </c>
      <c r="B827" s="3"/>
      <c r="C827" s="1" t="s">
        <v>35</v>
      </c>
      <c r="D827" s="1" t="s">
        <v>58</v>
      </c>
      <c r="E827" s="1" t="s">
        <v>37</v>
      </c>
      <c r="F827" s="1" t="s">
        <v>22</v>
      </c>
      <c r="G827" s="1" t="s">
        <v>49</v>
      </c>
      <c r="H827" s="2">
        <v>45658</v>
      </c>
      <c r="I827" s="2">
        <v>45687</v>
      </c>
      <c r="J827" s="1">
        <v>26463.67</v>
      </c>
      <c r="K827" s="1">
        <v>0.30470000000000003</v>
      </c>
      <c r="L827" s="1">
        <v>8063.48</v>
      </c>
      <c r="M827" s="1">
        <v>353772</v>
      </c>
      <c r="N827" s="1">
        <v>33946</v>
      </c>
      <c r="O827" s="1">
        <v>147680.42000000001</v>
      </c>
      <c r="P827" s="1">
        <v>2025</v>
      </c>
      <c r="Q827" s="1" t="s">
        <v>56</v>
      </c>
      <c r="R827" s="1" t="s">
        <v>40</v>
      </c>
    </row>
    <row r="828" spans="1:18" x14ac:dyDescent="0.35">
      <c r="A828" s="3" t="s">
        <v>18</v>
      </c>
      <c r="B828" s="3"/>
      <c r="C828" s="1" t="s">
        <v>28</v>
      </c>
      <c r="D828" s="1" t="s">
        <v>58</v>
      </c>
      <c r="E828" s="1" t="s">
        <v>43</v>
      </c>
      <c r="F828" s="1" t="s">
        <v>22</v>
      </c>
      <c r="G828" s="1" t="s">
        <v>44</v>
      </c>
      <c r="H828" s="2">
        <v>45659</v>
      </c>
      <c r="I828" s="2">
        <v>45688</v>
      </c>
      <c r="J828" s="1">
        <v>24885.29</v>
      </c>
      <c r="K828" s="1">
        <v>0.14019999999999999</v>
      </c>
      <c r="L828" s="1">
        <v>3488.92</v>
      </c>
      <c r="M828" s="1">
        <v>717814</v>
      </c>
      <c r="N828" s="1">
        <v>32248</v>
      </c>
      <c r="O828" s="1">
        <v>166719.25</v>
      </c>
      <c r="P828" s="1">
        <v>2025</v>
      </c>
      <c r="Q828" s="1" t="s">
        <v>56</v>
      </c>
      <c r="R828" s="1" t="s">
        <v>40</v>
      </c>
    </row>
    <row r="829" spans="1:18" x14ac:dyDescent="0.35">
      <c r="A829" s="3" t="s">
        <v>95</v>
      </c>
      <c r="B829" s="3"/>
      <c r="C829" s="1" t="s">
        <v>35</v>
      </c>
      <c r="D829" s="1" t="s">
        <v>20</v>
      </c>
      <c r="E829" s="1" t="s">
        <v>37</v>
      </c>
      <c r="F829" s="1" t="s">
        <v>30</v>
      </c>
      <c r="G829" s="1" t="s">
        <v>23</v>
      </c>
      <c r="H829" s="2">
        <v>45659</v>
      </c>
      <c r="I829" s="2">
        <v>45676</v>
      </c>
      <c r="J829" s="1">
        <v>4723.83</v>
      </c>
      <c r="K829" s="1">
        <v>0.83179999999999998</v>
      </c>
      <c r="L829" s="1">
        <v>3929.28</v>
      </c>
      <c r="M829" s="1">
        <v>667711</v>
      </c>
      <c r="N829" s="1">
        <v>16015</v>
      </c>
      <c r="O829" s="1">
        <v>29965.82</v>
      </c>
      <c r="P829" s="1">
        <v>2025</v>
      </c>
      <c r="Q829" s="1" t="s">
        <v>56</v>
      </c>
      <c r="R829" s="1" t="s">
        <v>40</v>
      </c>
    </row>
    <row r="830" spans="1:18" x14ac:dyDescent="0.35">
      <c r="A830" s="3" t="s">
        <v>72</v>
      </c>
      <c r="B830" s="3"/>
      <c r="C830" s="1" t="s">
        <v>28</v>
      </c>
      <c r="D830" s="1" t="s">
        <v>58</v>
      </c>
      <c r="E830" s="1" t="s">
        <v>63</v>
      </c>
      <c r="F830" s="1" t="s">
        <v>38</v>
      </c>
      <c r="G830" s="1" t="s">
        <v>52</v>
      </c>
      <c r="H830" s="2">
        <v>45660</v>
      </c>
      <c r="I830" s="2">
        <v>45703</v>
      </c>
      <c r="J830" s="1">
        <v>47367.28</v>
      </c>
      <c r="K830" s="1">
        <v>0.9708</v>
      </c>
      <c r="L830" s="1">
        <v>45984.160000000003</v>
      </c>
      <c r="M830" s="1">
        <v>713956</v>
      </c>
      <c r="N830" s="1">
        <v>5003</v>
      </c>
      <c r="O830" s="1">
        <v>145617.35999999999</v>
      </c>
      <c r="P830" s="1">
        <v>2025</v>
      </c>
      <c r="Q830" s="1" t="s">
        <v>56</v>
      </c>
      <c r="R830" s="1" t="s">
        <v>40</v>
      </c>
    </row>
    <row r="831" spans="1:18" x14ac:dyDescent="0.35">
      <c r="A831" s="3" t="s">
        <v>104</v>
      </c>
      <c r="B831" s="3"/>
      <c r="C831" s="1" t="s">
        <v>28</v>
      </c>
      <c r="D831" s="1" t="s">
        <v>58</v>
      </c>
      <c r="E831" s="1" t="s">
        <v>59</v>
      </c>
      <c r="F831" s="1" t="s">
        <v>38</v>
      </c>
      <c r="G831" s="1" t="s">
        <v>23</v>
      </c>
      <c r="H831" s="2">
        <v>45661</v>
      </c>
      <c r="I831" s="2">
        <v>45720</v>
      </c>
      <c r="J831" s="1">
        <v>29331.47</v>
      </c>
      <c r="K831" s="1">
        <v>0.71430000000000005</v>
      </c>
      <c r="L831" s="1">
        <v>20951.47</v>
      </c>
      <c r="M831" s="1">
        <v>296643</v>
      </c>
      <c r="N831" s="1">
        <v>4508</v>
      </c>
      <c r="O831" s="1">
        <v>143774.93</v>
      </c>
      <c r="P831" s="1">
        <v>2025</v>
      </c>
      <c r="Q831" s="1" t="s">
        <v>56</v>
      </c>
      <c r="R831" s="1" t="s">
        <v>40</v>
      </c>
    </row>
    <row r="832" spans="1:18" x14ac:dyDescent="0.35">
      <c r="A832" s="3" t="s">
        <v>77</v>
      </c>
      <c r="B832" s="3"/>
      <c r="C832" s="1" t="s">
        <v>19</v>
      </c>
      <c r="D832" s="1" t="s">
        <v>69</v>
      </c>
      <c r="E832" s="1" t="s">
        <v>21</v>
      </c>
      <c r="F832" s="1" t="s">
        <v>30</v>
      </c>
      <c r="G832" s="1" t="s">
        <v>44</v>
      </c>
      <c r="H832" s="2">
        <v>45661</v>
      </c>
      <c r="I832" s="2">
        <v>45693</v>
      </c>
      <c r="J832" s="1">
        <v>43961.3</v>
      </c>
      <c r="K832" s="1">
        <v>0.98609999999999998</v>
      </c>
      <c r="L832" s="1">
        <v>43350.239999999998</v>
      </c>
      <c r="M832" s="1">
        <v>874446</v>
      </c>
      <c r="N832" s="1">
        <v>10608</v>
      </c>
      <c r="O832" s="1">
        <v>176128.14</v>
      </c>
      <c r="P832" s="1">
        <v>2025</v>
      </c>
      <c r="Q832" s="1" t="s">
        <v>56</v>
      </c>
      <c r="R832" s="1" t="s">
        <v>40</v>
      </c>
    </row>
    <row r="833" spans="1:18" x14ac:dyDescent="0.35">
      <c r="A833" s="3" t="s">
        <v>42</v>
      </c>
      <c r="B833" s="3"/>
      <c r="C833" s="1" t="s">
        <v>28</v>
      </c>
      <c r="D833" s="1" t="s">
        <v>36</v>
      </c>
      <c r="E833" s="1" t="s">
        <v>51</v>
      </c>
      <c r="F833" s="1" t="s">
        <v>38</v>
      </c>
      <c r="G833" s="1" t="s">
        <v>52</v>
      </c>
      <c r="H833" s="2">
        <v>45663</v>
      </c>
      <c r="I833" s="2">
        <v>45684</v>
      </c>
      <c r="J833" s="1">
        <v>33630.699999999997</v>
      </c>
      <c r="K833" s="1">
        <v>1.1423000000000001</v>
      </c>
      <c r="L833" s="1">
        <v>38416.35</v>
      </c>
      <c r="M833" s="1">
        <v>713176</v>
      </c>
      <c r="N833" s="1">
        <v>8167</v>
      </c>
      <c r="O833" s="1">
        <v>168041.71</v>
      </c>
      <c r="P833" s="1">
        <v>2025</v>
      </c>
      <c r="Q833" s="1" t="s">
        <v>56</v>
      </c>
      <c r="R833" s="1" t="s">
        <v>40</v>
      </c>
    </row>
    <row r="834" spans="1:18" x14ac:dyDescent="0.35">
      <c r="A834" s="3" t="s">
        <v>34</v>
      </c>
      <c r="B834" s="3"/>
      <c r="C834" s="1" t="s">
        <v>19</v>
      </c>
      <c r="D834" s="1" t="s">
        <v>36</v>
      </c>
      <c r="E834" s="1" t="s">
        <v>63</v>
      </c>
      <c r="F834" s="1" t="s">
        <v>38</v>
      </c>
      <c r="G834" s="1" t="s">
        <v>49</v>
      </c>
      <c r="H834" s="2">
        <v>45665</v>
      </c>
      <c r="I834" s="2">
        <v>45690</v>
      </c>
      <c r="J834" s="1">
        <v>39064.949999999997</v>
      </c>
      <c r="K834" s="1">
        <v>0.68540000000000001</v>
      </c>
      <c r="L834" s="1">
        <v>26775.119999999999</v>
      </c>
      <c r="M834" s="1">
        <v>99083</v>
      </c>
      <c r="N834" s="1">
        <v>3547</v>
      </c>
      <c r="O834" s="1">
        <v>43117.08</v>
      </c>
      <c r="P834" s="1">
        <v>2025</v>
      </c>
      <c r="Q834" s="1" t="s">
        <v>56</v>
      </c>
      <c r="R834" s="1" t="s">
        <v>40</v>
      </c>
    </row>
    <row r="835" spans="1:18" x14ac:dyDescent="0.35">
      <c r="A835" s="3" t="s">
        <v>55</v>
      </c>
      <c r="B835" s="3"/>
      <c r="C835" s="1" t="s">
        <v>28</v>
      </c>
      <c r="D835" s="1" t="s">
        <v>29</v>
      </c>
      <c r="E835" s="1" t="s">
        <v>51</v>
      </c>
      <c r="F835" s="1" t="s">
        <v>22</v>
      </c>
      <c r="G835" s="1" t="s">
        <v>23</v>
      </c>
      <c r="H835" s="2">
        <v>45665</v>
      </c>
      <c r="I835" s="2">
        <v>45673</v>
      </c>
      <c r="J835" s="1">
        <v>29592.639999999999</v>
      </c>
      <c r="K835" s="1">
        <v>0.21290000000000001</v>
      </c>
      <c r="L835" s="1">
        <v>6300.27</v>
      </c>
      <c r="M835" s="1">
        <v>669580</v>
      </c>
      <c r="N835" s="1">
        <v>47363</v>
      </c>
      <c r="O835" s="1">
        <v>156835.26999999999</v>
      </c>
      <c r="P835" s="1">
        <v>2025</v>
      </c>
      <c r="Q835" s="1" t="s">
        <v>56</v>
      </c>
      <c r="R835" s="1" t="s">
        <v>40</v>
      </c>
    </row>
    <row r="836" spans="1:18" x14ac:dyDescent="0.35">
      <c r="A836" s="3" t="s">
        <v>120</v>
      </c>
      <c r="B836" s="3"/>
      <c r="C836" s="1" t="s">
        <v>35</v>
      </c>
      <c r="D836" s="1" t="s">
        <v>29</v>
      </c>
      <c r="E836" s="1" t="s">
        <v>51</v>
      </c>
      <c r="F836" s="1" t="s">
        <v>38</v>
      </c>
      <c r="G836" s="1" t="s">
        <v>52</v>
      </c>
      <c r="H836" s="2">
        <v>45666</v>
      </c>
      <c r="I836" s="2">
        <v>45679</v>
      </c>
      <c r="J836" s="1">
        <v>21008.799999999999</v>
      </c>
      <c r="K836" s="1">
        <v>0.73770000000000002</v>
      </c>
      <c r="L836" s="1">
        <v>15498.19</v>
      </c>
      <c r="M836" s="1">
        <v>350404</v>
      </c>
      <c r="N836" s="1">
        <v>3852</v>
      </c>
      <c r="O836" s="1">
        <v>158359.04999999999</v>
      </c>
      <c r="P836" s="1">
        <v>2025</v>
      </c>
      <c r="Q836" s="1" t="s">
        <v>56</v>
      </c>
      <c r="R836" s="1" t="s">
        <v>40</v>
      </c>
    </row>
    <row r="837" spans="1:18" x14ac:dyDescent="0.35">
      <c r="A837" s="3" t="s">
        <v>120</v>
      </c>
      <c r="B837" s="3"/>
      <c r="C837" s="1" t="s">
        <v>35</v>
      </c>
      <c r="D837" s="1" t="s">
        <v>58</v>
      </c>
      <c r="E837" s="1" t="s">
        <v>21</v>
      </c>
      <c r="F837" s="1" t="s">
        <v>38</v>
      </c>
      <c r="G837" s="1" t="s">
        <v>49</v>
      </c>
      <c r="H837" s="2">
        <v>45668</v>
      </c>
      <c r="I837" s="2">
        <v>45722</v>
      </c>
      <c r="J837" s="1">
        <v>29888.35</v>
      </c>
      <c r="K837" s="1">
        <v>0.9859</v>
      </c>
      <c r="L837" s="1">
        <v>29466.92</v>
      </c>
      <c r="M837" s="1">
        <v>544117</v>
      </c>
      <c r="N837" s="1">
        <v>5591</v>
      </c>
      <c r="O837" s="1">
        <v>42302.82</v>
      </c>
      <c r="P837" s="1">
        <v>2025</v>
      </c>
      <c r="Q837" s="1" t="s">
        <v>56</v>
      </c>
      <c r="R837" s="1" t="s">
        <v>40</v>
      </c>
    </row>
    <row r="838" spans="1:18" x14ac:dyDescent="0.35">
      <c r="A838" s="3" t="s">
        <v>105</v>
      </c>
      <c r="B838" s="3"/>
      <c r="C838" s="1" t="s">
        <v>48</v>
      </c>
      <c r="D838" s="1" t="s">
        <v>36</v>
      </c>
      <c r="E838" s="1" t="s">
        <v>37</v>
      </c>
      <c r="F838" s="1" t="s">
        <v>22</v>
      </c>
      <c r="G838" s="1" t="s">
        <v>44</v>
      </c>
      <c r="H838" s="2">
        <v>45668</v>
      </c>
      <c r="I838" s="2">
        <v>45716</v>
      </c>
      <c r="J838" s="1">
        <v>17790.89</v>
      </c>
      <c r="K838" s="1">
        <v>0.54959999999999998</v>
      </c>
      <c r="L838" s="1">
        <v>9777.8700000000008</v>
      </c>
      <c r="M838" s="1">
        <v>629284</v>
      </c>
      <c r="N838" s="1">
        <v>4611</v>
      </c>
      <c r="O838" s="1">
        <v>61304.38</v>
      </c>
      <c r="P838" s="1">
        <v>2025</v>
      </c>
      <c r="Q838" s="1" t="s">
        <v>56</v>
      </c>
      <c r="R838" s="1" t="s">
        <v>40</v>
      </c>
    </row>
    <row r="839" spans="1:18" x14ac:dyDescent="0.35">
      <c r="A839" s="3" t="s">
        <v>97</v>
      </c>
      <c r="B839" s="3"/>
      <c r="C839" s="1" t="s">
        <v>48</v>
      </c>
      <c r="D839" s="1" t="s">
        <v>69</v>
      </c>
      <c r="E839" s="1" t="s">
        <v>59</v>
      </c>
      <c r="F839" s="1" t="s">
        <v>38</v>
      </c>
      <c r="G839" s="1" t="s">
        <v>23</v>
      </c>
      <c r="H839" s="2">
        <v>45668</v>
      </c>
      <c r="I839" s="2">
        <v>45710</v>
      </c>
      <c r="J839" s="1">
        <v>48853.74</v>
      </c>
      <c r="K839" s="1">
        <v>0.63429999999999997</v>
      </c>
      <c r="L839" s="1">
        <v>30987.93</v>
      </c>
      <c r="M839" s="1">
        <v>306745</v>
      </c>
      <c r="N839" s="1">
        <v>6688</v>
      </c>
      <c r="O839" s="1">
        <v>208993.95</v>
      </c>
      <c r="P839" s="1">
        <v>2025</v>
      </c>
      <c r="Q839" s="1" t="s">
        <v>56</v>
      </c>
      <c r="R839" s="1" t="s">
        <v>40</v>
      </c>
    </row>
    <row r="840" spans="1:18" x14ac:dyDescent="0.35">
      <c r="A840" s="3" t="s">
        <v>118</v>
      </c>
      <c r="B840" s="3"/>
      <c r="C840" s="1" t="s">
        <v>35</v>
      </c>
      <c r="D840" s="1" t="s">
        <v>69</v>
      </c>
      <c r="E840" s="1" t="s">
        <v>51</v>
      </c>
      <c r="F840" s="1" t="s">
        <v>38</v>
      </c>
      <c r="G840" s="1" t="s">
        <v>49</v>
      </c>
      <c r="H840" s="2">
        <v>45669</v>
      </c>
      <c r="I840" s="2">
        <v>45709</v>
      </c>
      <c r="J840" s="1">
        <v>49942.239999999998</v>
      </c>
      <c r="K840" s="1">
        <v>1.0551999999999999</v>
      </c>
      <c r="L840" s="1">
        <v>52699.05</v>
      </c>
      <c r="M840" s="1">
        <v>231092</v>
      </c>
      <c r="N840" s="1">
        <v>40106</v>
      </c>
      <c r="O840" s="1">
        <v>128680.96000000001</v>
      </c>
      <c r="P840" s="1">
        <v>2025</v>
      </c>
      <c r="Q840" s="1" t="s">
        <v>56</v>
      </c>
      <c r="R840" s="1" t="s">
        <v>40</v>
      </c>
    </row>
    <row r="841" spans="1:18" x14ac:dyDescent="0.35">
      <c r="A841" s="3" t="s">
        <v>114</v>
      </c>
      <c r="B841" s="3"/>
      <c r="C841" s="1" t="s">
        <v>28</v>
      </c>
      <c r="D841" s="1" t="s">
        <v>20</v>
      </c>
      <c r="E841" s="1" t="s">
        <v>51</v>
      </c>
      <c r="F841" s="1" t="s">
        <v>38</v>
      </c>
      <c r="G841" s="1" t="s">
        <v>44</v>
      </c>
      <c r="H841" s="2">
        <v>45669</v>
      </c>
      <c r="I841" s="2">
        <v>45704</v>
      </c>
      <c r="J841" s="1">
        <v>49492.59</v>
      </c>
      <c r="K841" s="1">
        <v>0.25040000000000001</v>
      </c>
      <c r="L841" s="1">
        <v>12392.94</v>
      </c>
      <c r="M841" s="1">
        <v>765781</v>
      </c>
      <c r="N841" s="1">
        <v>10171</v>
      </c>
      <c r="O841" s="1">
        <v>15733.72</v>
      </c>
      <c r="P841" s="1">
        <v>2025</v>
      </c>
      <c r="Q841" s="1" t="s">
        <v>56</v>
      </c>
      <c r="R841" s="1" t="s">
        <v>40</v>
      </c>
    </row>
    <row r="842" spans="1:18" x14ac:dyDescent="0.35">
      <c r="A842" s="3" t="s">
        <v>99</v>
      </c>
      <c r="B842" s="3"/>
      <c r="C842" s="1" t="s">
        <v>48</v>
      </c>
      <c r="D842" s="1" t="s">
        <v>20</v>
      </c>
      <c r="E842" s="1" t="s">
        <v>51</v>
      </c>
      <c r="F842" s="1" t="s">
        <v>30</v>
      </c>
      <c r="G842" s="1" t="s">
        <v>49</v>
      </c>
      <c r="H842" s="2">
        <v>45669</v>
      </c>
      <c r="I842" s="2">
        <v>45688</v>
      </c>
      <c r="J842" s="1">
        <v>27051.39</v>
      </c>
      <c r="K842" s="1">
        <v>0.23549999999999999</v>
      </c>
      <c r="L842" s="1">
        <v>6370.6</v>
      </c>
      <c r="M842" s="1">
        <v>561752</v>
      </c>
      <c r="N842" s="1">
        <v>43149</v>
      </c>
      <c r="O842" s="1">
        <v>65946.94</v>
      </c>
      <c r="P842" s="1">
        <v>2025</v>
      </c>
      <c r="Q842" s="1" t="s">
        <v>56</v>
      </c>
      <c r="R842" s="1" t="s">
        <v>40</v>
      </c>
    </row>
    <row r="843" spans="1:18" x14ac:dyDescent="0.35">
      <c r="A843" s="3" t="s">
        <v>34</v>
      </c>
      <c r="B843" s="3"/>
      <c r="C843" s="1" t="s">
        <v>19</v>
      </c>
      <c r="D843" s="1" t="s">
        <v>36</v>
      </c>
      <c r="E843" s="1" t="s">
        <v>43</v>
      </c>
      <c r="F843" s="1" t="s">
        <v>38</v>
      </c>
      <c r="G843" s="1" t="s">
        <v>31</v>
      </c>
      <c r="H843" s="2">
        <v>45670</v>
      </c>
      <c r="I843" s="2">
        <v>45728</v>
      </c>
      <c r="J843" s="1">
        <v>31455</v>
      </c>
      <c r="K843" s="1">
        <v>1.0402</v>
      </c>
      <c r="L843" s="1">
        <v>32719.49</v>
      </c>
      <c r="M843" s="1">
        <v>830628</v>
      </c>
      <c r="N843" s="1">
        <v>47890</v>
      </c>
      <c r="O843" s="1">
        <v>232498.79</v>
      </c>
      <c r="P843" s="1">
        <v>2025</v>
      </c>
      <c r="Q843" s="1" t="s">
        <v>56</v>
      </c>
      <c r="R843" s="1" t="s">
        <v>40</v>
      </c>
    </row>
    <row r="844" spans="1:18" x14ac:dyDescent="0.35">
      <c r="A844" s="3" t="s">
        <v>83</v>
      </c>
      <c r="B844" s="3"/>
      <c r="C844" s="1" t="s">
        <v>19</v>
      </c>
      <c r="D844" s="1" t="s">
        <v>36</v>
      </c>
      <c r="E844" s="1" t="s">
        <v>59</v>
      </c>
      <c r="F844" s="1" t="s">
        <v>38</v>
      </c>
      <c r="G844" s="1" t="s">
        <v>49</v>
      </c>
      <c r="H844" s="2">
        <v>45670</v>
      </c>
      <c r="I844" s="2">
        <v>45715</v>
      </c>
      <c r="J844" s="1">
        <v>9196.8799999999992</v>
      </c>
      <c r="K844" s="1">
        <v>0.69750000000000001</v>
      </c>
      <c r="L844" s="1">
        <v>6414.82</v>
      </c>
      <c r="M844" s="1">
        <v>892725</v>
      </c>
      <c r="N844" s="1">
        <v>22714</v>
      </c>
      <c r="O844" s="1">
        <v>18309.82</v>
      </c>
      <c r="P844" s="1">
        <v>2025</v>
      </c>
      <c r="Q844" s="1" t="s">
        <v>56</v>
      </c>
      <c r="R844" s="1" t="s">
        <v>40</v>
      </c>
    </row>
    <row r="845" spans="1:18" x14ac:dyDescent="0.35">
      <c r="A845" s="3" t="s">
        <v>87</v>
      </c>
      <c r="B845" s="3"/>
      <c r="C845" s="1" t="s">
        <v>19</v>
      </c>
      <c r="D845" s="1" t="s">
        <v>20</v>
      </c>
      <c r="E845" s="1" t="s">
        <v>59</v>
      </c>
      <c r="F845" s="1" t="s">
        <v>22</v>
      </c>
      <c r="G845" s="1" t="s">
        <v>44</v>
      </c>
      <c r="H845" s="2">
        <v>45670</v>
      </c>
      <c r="I845" s="2">
        <v>45697</v>
      </c>
      <c r="J845" s="1">
        <v>48718.69</v>
      </c>
      <c r="K845" s="1">
        <v>0.84619999999999995</v>
      </c>
      <c r="L845" s="1">
        <v>41225.760000000002</v>
      </c>
      <c r="M845" s="1">
        <v>112110</v>
      </c>
      <c r="N845" s="1">
        <v>21813</v>
      </c>
      <c r="O845" s="1">
        <v>104785.21</v>
      </c>
      <c r="P845" s="1">
        <v>2025</v>
      </c>
      <c r="Q845" s="1" t="s">
        <v>56</v>
      </c>
      <c r="R845" s="1" t="s">
        <v>40</v>
      </c>
    </row>
    <row r="846" spans="1:18" x14ac:dyDescent="0.35">
      <c r="A846" s="3" t="s">
        <v>110</v>
      </c>
      <c r="B846" s="3"/>
      <c r="C846" s="1" t="s">
        <v>48</v>
      </c>
      <c r="D846" s="1" t="s">
        <v>36</v>
      </c>
      <c r="E846" s="1" t="s">
        <v>59</v>
      </c>
      <c r="F846" s="1" t="s">
        <v>30</v>
      </c>
      <c r="G846" s="1" t="s">
        <v>49</v>
      </c>
      <c r="H846" s="2">
        <v>45671</v>
      </c>
      <c r="I846" s="2">
        <v>45728</v>
      </c>
      <c r="J846" s="1">
        <v>32626.71</v>
      </c>
      <c r="K846" s="1">
        <v>0.18579999999999999</v>
      </c>
      <c r="L846" s="1">
        <v>6062.04</v>
      </c>
      <c r="M846" s="1">
        <v>117798</v>
      </c>
      <c r="N846" s="1">
        <v>9697</v>
      </c>
      <c r="O846" s="1">
        <v>67712.210000000006</v>
      </c>
      <c r="P846" s="1">
        <v>2025</v>
      </c>
      <c r="Q846" s="1" t="s">
        <v>56</v>
      </c>
      <c r="R846" s="1" t="s">
        <v>40</v>
      </c>
    </row>
    <row r="847" spans="1:18" x14ac:dyDescent="0.35">
      <c r="A847" s="3" t="s">
        <v>117</v>
      </c>
      <c r="B847" s="3"/>
      <c r="C847" s="1" t="s">
        <v>35</v>
      </c>
      <c r="D847" s="1" t="s">
        <v>36</v>
      </c>
      <c r="E847" s="1" t="s">
        <v>43</v>
      </c>
      <c r="F847" s="1" t="s">
        <v>38</v>
      </c>
      <c r="G847" s="1" t="s">
        <v>23</v>
      </c>
      <c r="H847" s="2">
        <v>45673</v>
      </c>
      <c r="I847" s="2">
        <v>45704</v>
      </c>
      <c r="J847" s="1">
        <v>7838.82</v>
      </c>
      <c r="K847" s="1">
        <v>0.7087</v>
      </c>
      <c r="L847" s="1">
        <v>5555.37</v>
      </c>
      <c r="M847" s="1">
        <v>100259</v>
      </c>
      <c r="N847" s="1">
        <v>9513</v>
      </c>
      <c r="O847" s="1">
        <v>55907.03</v>
      </c>
      <c r="P847" s="1">
        <v>2025</v>
      </c>
      <c r="Q847" s="1" t="s">
        <v>56</v>
      </c>
      <c r="R847" s="1" t="s">
        <v>40</v>
      </c>
    </row>
    <row r="848" spans="1:18" x14ac:dyDescent="0.35">
      <c r="A848" s="3" t="s">
        <v>78</v>
      </c>
      <c r="B848" s="3"/>
      <c r="C848" s="1" t="s">
        <v>19</v>
      </c>
      <c r="D848" s="1" t="s">
        <v>29</v>
      </c>
      <c r="E848" s="1" t="s">
        <v>21</v>
      </c>
      <c r="F848" s="1" t="s">
        <v>30</v>
      </c>
      <c r="G848" s="1" t="s">
        <v>23</v>
      </c>
      <c r="H848" s="2">
        <v>45674</v>
      </c>
      <c r="I848" s="2">
        <v>45725</v>
      </c>
      <c r="J848" s="1">
        <v>26793.99</v>
      </c>
      <c r="K848" s="1">
        <v>1.0326</v>
      </c>
      <c r="L848" s="1">
        <v>27667.47</v>
      </c>
      <c r="M848" s="1">
        <v>797042</v>
      </c>
      <c r="N848" s="1">
        <v>18412</v>
      </c>
      <c r="O848" s="1">
        <v>118909.4</v>
      </c>
      <c r="P848" s="1">
        <v>2025</v>
      </c>
      <c r="Q848" s="1" t="s">
        <v>56</v>
      </c>
      <c r="R848" s="1" t="s">
        <v>40</v>
      </c>
    </row>
    <row r="849" spans="1:18" x14ac:dyDescent="0.35">
      <c r="A849" s="3" t="s">
        <v>106</v>
      </c>
      <c r="B849" s="3"/>
      <c r="C849" s="1" t="s">
        <v>35</v>
      </c>
      <c r="D849" s="1" t="s">
        <v>20</v>
      </c>
      <c r="E849" s="1" t="s">
        <v>43</v>
      </c>
      <c r="F849" s="1" t="s">
        <v>38</v>
      </c>
      <c r="G849" s="1" t="s">
        <v>52</v>
      </c>
      <c r="H849" s="2">
        <v>45676</v>
      </c>
      <c r="I849" s="2">
        <v>45689</v>
      </c>
      <c r="J849" s="1">
        <v>5416.54</v>
      </c>
      <c r="K849" s="1">
        <v>0.36120000000000002</v>
      </c>
      <c r="L849" s="1">
        <v>1956.45</v>
      </c>
      <c r="M849" s="1">
        <v>793790</v>
      </c>
      <c r="N849" s="1">
        <v>27330</v>
      </c>
      <c r="O849" s="1">
        <v>48031.82</v>
      </c>
      <c r="P849" s="1">
        <v>2025</v>
      </c>
      <c r="Q849" s="1" t="s">
        <v>56</v>
      </c>
      <c r="R849" s="1" t="s">
        <v>40</v>
      </c>
    </row>
    <row r="850" spans="1:18" x14ac:dyDescent="0.35">
      <c r="A850" s="3" t="s">
        <v>100</v>
      </c>
      <c r="B850" s="3"/>
      <c r="C850" s="1" t="s">
        <v>28</v>
      </c>
      <c r="D850" s="1" t="s">
        <v>20</v>
      </c>
      <c r="E850" s="1" t="s">
        <v>59</v>
      </c>
      <c r="F850" s="1" t="s">
        <v>22</v>
      </c>
      <c r="G850" s="1" t="s">
        <v>44</v>
      </c>
      <c r="H850" s="2">
        <v>45678</v>
      </c>
      <c r="I850" s="2">
        <v>45723</v>
      </c>
      <c r="J850" s="1">
        <v>4746.66</v>
      </c>
      <c r="K850" s="1">
        <v>9.9699999999999997E-2</v>
      </c>
      <c r="L850" s="1">
        <v>473.24</v>
      </c>
      <c r="M850" s="1">
        <v>29535</v>
      </c>
      <c r="N850" s="1">
        <v>33338</v>
      </c>
      <c r="O850" s="1">
        <v>159748.49</v>
      </c>
      <c r="P850" s="1">
        <v>2025</v>
      </c>
      <c r="Q850" s="1" t="s">
        <v>56</v>
      </c>
      <c r="R850" s="1" t="s">
        <v>40</v>
      </c>
    </row>
    <row r="851" spans="1:18" x14ac:dyDescent="0.35">
      <c r="A851" s="3" t="s">
        <v>94</v>
      </c>
      <c r="B851" s="3"/>
      <c r="C851" s="1" t="s">
        <v>35</v>
      </c>
      <c r="D851" s="1" t="s">
        <v>20</v>
      </c>
      <c r="E851" s="1" t="s">
        <v>59</v>
      </c>
      <c r="F851" s="1" t="s">
        <v>38</v>
      </c>
      <c r="G851" s="1" t="s">
        <v>49</v>
      </c>
      <c r="H851" s="2">
        <v>45680</v>
      </c>
      <c r="I851" s="2">
        <v>45736</v>
      </c>
      <c r="J851" s="1">
        <v>46163.29</v>
      </c>
      <c r="K851" s="1">
        <v>1.0853999999999999</v>
      </c>
      <c r="L851" s="1">
        <v>50105.63</v>
      </c>
      <c r="M851" s="1">
        <v>642829</v>
      </c>
      <c r="N851" s="1">
        <v>8704</v>
      </c>
      <c r="O851" s="1">
        <v>92965.84</v>
      </c>
      <c r="P851" s="1">
        <v>2025</v>
      </c>
      <c r="Q851" s="1" t="s">
        <v>56</v>
      </c>
      <c r="R851" s="1" t="s">
        <v>40</v>
      </c>
    </row>
    <row r="852" spans="1:18" x14ac:dyDescent="0.35">
      <c r="A852" s="3" t="s">
        <v>83</v>
      </c>
      <c r="B852" s="3"/>
      <c r="C852" s="1" t="s">
        <v>35</v>
      </c>
      <c r="D852" s="1" t="s">
        <v>29</v>
      </c>
      <c r="E852" s="1" t="s">
        <v>37</v>
      </c>
      <c r="F852" s="1" t="s">
        <v>30</v>
      </c>
      <c r="G852" s="1" t="s">
        <v>52</v>
      </c>
      <c r="H852" s="2">
        <v>45680</v>
      </c>
      <c r="I852" s="2">
        <v>45731</v>
      </c>
      <c r="J852" s="1">
        <v>24691.67</v>
      </c>
      <c r="K852" s="1">
        <v>0.437</v>
      </c>
      <c r="L852" s="1">
        <v>10790.26</v>
      </c>
      <c r="M852" s="1">
        <v>239448</v>
      </c>
      <c r="N852" s="1">
        <v>32058</v>
      </c>
      <c r="O852" s="1">
        <v>61778.73</v>
      </c>
      <c r="P852" s="1">
        <v>2025</v>
      </c>
      <c r="Q852" s="1" t="s">
        <v>56</v>
      </c>
      <c r="R852" s="1" t="s">
        <v>40</v>
      </c>
    </row>
    <row r="853" spans="1:18" x14ac:dyDescent="0.35">
      <c r="A853" s="3" t="s">
        <v>85</v>
      </c>
      <c r="B853" s="3"/>
      <c r="C853" s="1" t="s">
        <v>48</v>
      </c>
      <c r="D853" s="1" t="s">
        <v>36</v>
      </c>
      <c r="E853" s="1" t="s">
        <v>21</v>
      </c>
      <c r="F853" s="1" t="s">
        <v>22</v>
      </c>
      <c r="G853" s="1" t="s">
        <v>49</v>
      </c>
      <c r="H853" s="2">
        <v>45681</v>
      </c>
      <c r="I853" s="2">
        <v>45707</v>
      </c>
      <c r="J853" s="1">
        <v>39336.94</v>
      </c>
      <c r="K853" s="1">
        <v>0.49990000000000001</v>
      </c>
      <c r="L853" s="1">
        <v>19664.54</v>
      </c>
      <c r="M853" s="1">
        <v>712448</v>
      </c>
      <c r="N853" s="1">
        <v>48272</v>
      </c>
      <c r="O853" s="1">
        <v>203633.58</v>
      </c>
      <c r="P853" s="1">
        <v>2025</v>
      </c>
      <c r="Q853" s="1" t="s">
        <v>56</v>
      </c>
      <c r="R853" s="1" t="s">
        <v>40</v>
      </c>
    </row>
    <row r="854" spans="1:18" x14ac:dyDescent="0.35">
      <c r="A854" s="3" t="s">
        <v>109</v>
      </c>
      <c r="B854" s="3"/>
      <c r="C854" s="1" t="s">
        <v>35</v>
      </c>
      <c r="D854" s="1" t="s">
        <v>58</v>
      </c>
      <c r="E854" s="1" t="s">
        <v>43</v>
      </c>
      <c r="F854" s="1" t="s">
        <v>22</v>
      </c>
      <c r="G854" s="1" t="s">
        <v>49</v>
      </c>
      <c r="H854" s="2">
        <v>45681</v>
      </c>
      <c r="I854" s="2">
        <v>45691</v>
      </c>
      <c r="J854" s="1">
        <v>15107.68</v>
      </c>
      <c r="K854" s="1">
        <v>1.0584</v>
      </c>
      <c r="L854" s="1">
        <v>15989.97</v>
      </c>
      <c r="M854" s="1">
        <v>488472</v>
      </c>
      <c r="N854" s="1">
        <v>22826</v>
      </c>
      <c r="O854" s="1">
        <v>176577.55</v>
      </c>
      <c r="P854" s="1">
        <v>2025</v>
      </c>
      <c r="Q854" s="1" t="s">
        <v>56</v>
      </c>
      <c r="R854" s="1" t="s">
        <v>40</v>
      </c>
    </row>
    <row r="855" spans="1:18" x14ac:dyDescent="0.35">
      <c r="A855" s="3" t="s">
        <v>71</v>
      </c>
      <c r="B855" s="3"/>
      <c r="C855" s="1" t="s">
        <v>28</v>
      </c>
      <c r="D855" s="1" t="s">
        <v>69</v>
      </c>
      <c r="E855" s="1" t="s">
        <v>37</v>
      </c>
      <c r="F855" s="1" t="s">
        <v>22</v>
      </c>
      <c r="G855" s="1" t="s">
        <v>31</v>
      </c>
      <c r="H855" s="2">
        <v>45683</v>
      </c>
      <c r="I855" s="2">
        <v>45709</v>
      </c>
      <c r="J855" s="1">
        <v>7579.08</v>
      </c>
      <c r="K855" s="1">
        <v>0.38790000000000002</v>
      </c>
      <c r="L855" s="1">
        <v>2939.93</v>
      </c>
      <c r="M855" s="1">
        <v>835198</v>
      </c>
      <c r="N855" s="1">
        <v>49939</v>
      </c>
      <c r="O855" s="1">
        <v>14703.83</v>
      </c>
      <c r="P855" s="1">
        <v>2025</v>
      </c>
      <c r="Q855" s="1" t="s">
        <v>56</v>
      </c>
      <c r="R855" s="1" t="s">
        <v>40</v>
      </c>
    </row>
    <row r="856" spans="1:18" x14ac:dyDescent="0.35">
      <c r="A856" s="3" t="s">
        <v>64</v>
      </c>
      <c r="B856" s="3"/>
      <c r="C856" s="1" t="s">
        <v>48</v>
      </c>
      <c r="D856" s="1" t="s">
        <v>69</v>
      </c>
      <c r="E856" s="1" t="s">
        <v>21</v>
      </c>
      <c r="F856" s="1" t="s">
        <v>22</v>
      </c>
      <c r="G856" s="1" t="s">
        <v>23</v>
      </c>
      <c r="H856" s="2">
        <v>45683</v>
      </c>
      <c r="I856" s="2">
        <v>45707</v>
      </c>
      <c r="J856" s="1">
        <v>42775.63</v>
      </c>
      <c r="K856" s="1">
        <v>0.8286</v>
      </c>
      <c r="L856" s="1">
        <v>35443.89</v>
      </c>
      <c r="M856" s="1">
        <v>188501</v>
      </c>
      <c r="N856" s="1">
        <v>20751</v>
      </c>
      <c r="O856" s="1">
        <v>171953.41</v>
      </c>
      <c r="P856" s="1">
        <v>2025</v>
      </c>
      <c r="Q856" s="1" t="s">
        <v>56</v>
      </c>
      <c r="R856" s="1" t="s">
        <v>40</v>
      </c>
    </row>
    <row r="857" spans="1:18" x14ac:dyDescent="0.35">
      <c r="A857" s="3" t="s">
        <v>90</v>
      </c>
      <c r="B857" s="3"/>
      <c r="C857" s="1" t="s">
        <v>28</v>
      </c>
      <c r="D857" s="1" t="s">
        <v>36</v>
      </c>
      <c r="E857" s="1" t="s">
        <v>37</v>
      </c>
      <c r="F857" s="1" t="s">
        <v>22</v>
      </c>
      <c r="G857" s="1" t="s">
        <v>44</v>
      </c>
      <c r="H857" s="2">
        <v>45687</v>
      </c>
      <c r="I857" s="2">
        <v>45741</v>
      </c>
      <c r="J857" s="1">
        <v>29856.639999999999</v>
      </c>
      <c r="K857" s="1">
        <v>0.72960000000000003</v>
      </c>
      <c r="L857" s="1">
        <v>21783.4</v>
      </c>
      <c r="M857" s="1">
        <v>259825</v>
      </c>
      <c r="N857" s="1">
        <v>42714</v>
      </c>
      <c r="O857" s="1">
        <v>72607</v>
      </c>
      <c r="P857" s="1">
        <v>2025</v>
      </c>
      <c r="Q857" s="1" t="s">
        <v>56</v>
      </c>
      <c r="R857" s="1" t="s">
        <v>40</v>
      </c>
    </row>
    <row r="858" spans="1:18" x14ac:dyDescent="0.35">
      <c r="A858" s="3" t="s">
        <v>98</v>
      </c>
      <c r="B858" s="3"/>
      <c r="C858" s="1" t="s">
        <v>48</v>
      </c>
      <c r="D858" s="1" t="s">
        <v>20</v>
      </c>
      <c r="E858" s="1" t="s">
        <v>43</v>
      </c>
      <c r="F858" s="1" t="s">
        <v>38</v>
      </c>
      <c r="G858" s="1" t="s">
        <v>49</v>
      </c>
      <c r="H858" s="2">
        <v>45687</v>
      </c>
      <c r="I858" s="2">
        <v>45698</v>
      </c>
      <c r="J858" s="1">
        <v>7193.5</v>
      </c>
      <c r="K858" s="1">
        <v>5.0599999999999999E-2</v>
      </c>
      <c r="L858" s="1">
        <v>363.99</v>
      </c>
      <c r="M858" s="1">
        <v>462376</v>
      </c>
      <c r="N858" s="1">
        <v>1668</v>
      </c>
      <c r="O858" s="1">
        <v>174061.41</v>
      </c>
      <c r="P858" s="1">
        <v>2025</v>
      </c>
      <c r="Q858" s="1" t="s">
        <v>56</v>
      </c>
      <c r="R858" s="1" t="s">
        <v>40</v>
      </c>
    </row>
    <row r="859" spans="1:18" x14ac:dyDescent="0.35">
      <c r="A859" s="3" t="s">
        <v>62</v>
      </c>
      <c r="B859" s="3"/>
      <c r="C859" s="1" t="s">
        <v>48</v>
      </c>
      <c r="D859" s="1" t="s">
        <v>20</v>
      </c>
      <c r="E859" s="1" t="s">
        <v>21</v>
      </c>
      <c r="F859" s="1" t="s">
        <v>22</v>
      </c>
      <c r="G859" s="1" t="s">
        <v>23</v>
      </c>
      <c r="H859" s="2">
        <v>45689</v>
      </c>
      <c r="I859" s="2">
        <v>45729</v>
      </c>
      <c r="J859" s="1">
        <v>27409.89</v>
      </c>
      <c r="K859" s="1">
        <v>0.89890000000000003</v>
      </c>
      <c r="L859" s="1">
        <v>24638.75</v>
      </c>
      <c r="M859" s="1">
        <v>459245</v>
      </c>
      <c r="N859" s="1">
        <v>38342</v>
      </c>
      <c r="O859" s="1">
        <v>102853.12</v>
      </c>
      <c r="P859" s="1">
        <v>2025</v>
      </c>
      <c r="Q859" s="1" t="s">
        <v>39</v>
      </c>
      <c r="R859" s="1" t="s">
        <v>40</v>
      </c>
    </row>
    <row r="860" spans="1:18" x14ac:dyDescent="0.35">
      <c r="A860" s="3" t="s">
        <v>96</v>
      </c>
      <c r="B860" s="3"/>
      <c r="C860" s="1" t="s">
        <v>19</v>
      </c>
      <c r="D860" s="1" t="s">
        <v>69</v>
      </c>
      <c r="E860" s="1" t="s">
        <v>51</v>
      </c>
      <c r="F860" s="1" t="s">
        <v>30</v>
      </c>
      <c r="G860" s="1" t="s">
        <v>52</v>
      </c>
      <c r="H860" s="2">
        <v>45689</v>
      </c>
      <c r="I860" s="2">
        <v>45715</v>
      </c>
      <c r="J860" s="1">
        <v>13728.69</v>
      </c>
      <c r="K860" s="1">
        <v>0.43880000000000002</v>
      </c>
      <c r="L860" s="1">
        <v>6024.15</v>
      </c>
      <c r="M860" s="1">
        <v>594572</v>
      </c>
      <c r="N860" s="1">
        <v>16989</v>
      </c>
      <c r="O860" s="1">
        <v>89314.37</v>
      </c>
      <c r="P860" s="1">
        <v>2025</v>
      </c>
      <c r="Q860" s="1" t="s">
        <v>39</v>
      </c>
      <c r="R860" s="1" t="s">
        <v>40</v>
      </c>
    </row>
    <row r="861" spans="1:18" x14ac:dyDescent="0.35">
      <c r="A861" s="3" t="s">
        <v>106</v>
      </c>
      <c r="B861" s="3"/>
      <c r="C861" s="1" t="s">
        <v>35</v>
      </c>
      <c r="D861" s="1" t="s">
        <v>36</v>
      </c>
      <c r="E861" s="1" t="s">
        <v>63</v>
      </c>
      <c r="F861" s="1" t="s">
        <v>38</v>
      </c>
      <c r="G861" s="1" t="s">
        <v>31</v>
      </c>
      <c r="H861" s="2">
        <v>45690</v>
      </c>
      <c r="I861" s="2">
        <v>45747</v>
      </c>
      <c r="J861" s="1">
        <v>38655.660000000003</v>
      </c>
      <c r="K861" s="1">
        <v>1.0161</v>
      </c>
      <c r="L861" s="1">
        <v>39278.019999999997</v>
      </c>
      <c r="M861" s="1">
        <v>209903</v>
      </c>
      <c r="N861" s="1">
        <v>46344</v>
      </c>
      <c r="O861" s="1">
        <v>152988.34</v>
      </c>
      <c r="P861" s="1">
        <v>2025</v>
      </c>
      <c r="Q861" s="1" t="s">
        <v>39</v>
      </c>
      <c r="R861" s="1" t="s">
        <v>40</v>
      </c>
    </row>
    <row r="862" spans="1:18" x14ac:dyDescent="0.35">
      <c r="A862" s="3" t="s">
        <v>93</v>
      </c>
      <c r="B862" s="3"/>
      <c r="C862" s="1" t="s">
        <v>48</v>
      </c>
      <c r="D862" s="1" t="s">
        <v>58</v>
      </c>
      <c r="E862" s="1" t="s">
        <v>51</v>
      </c>
      <c r="F862" s="1" t="s">
        <v>30</v>
      </c>
      <c r="G862" s="1" t="s">
        <v>23</v>
      </c>
      <c r="H862" s="2">
        <v>45692</v>
      </c>
      <c r="I862" s="2">
        <v>45722</v>
      </c>
      <c r="J862" s="1">
        <v>15481.56</v>
      </c>
      <c r="K862" s="1">
        <v>7.4899999999999994E-2</v>
      </c>
      <c r="L862" s="1">
        <v>1159.57</v>
      </c>
      <c r="M862" s="1">
        <v>951529</v>
      </c>
      <c r="N862" s="1">
        <v>15785</v>
      </c>
      <c r="O862" s="1">
        <v>126247.49</v>
      </c>
      <c r="P862" s="1">
        <v>2025</v>
      </c>
      <c r="Q862" s="1" t="s">
        <v>39</v>
      </c>
      <c r="R862" s="1" t="s">
        <v>40</v>
      </c>
    </row>
    <row r="863" spans="1:18" x14ac:dyDescent="0.35">
      <c r="A863" s="3" t="s">
        <v>77</v>
      </c>
      <c r="B863" s="3"/>
      <c r="C863" s="1" t="s">
        <v>19</v>
      </c>
      <c r="D863" s="1" t="s">
        <v>29</v>
      </c>
      <c r="E863" s="1" t="s">
        <v>37</v>
      </c>
      <c r="F863" s="1" t="s">
        <v>30</v>
      </c>
      <c r="G863" s="1" t="s">
        <v>23</v>
      </c>
      <c r="H863" s="2">
        <v>45692</v>
      </c>
      <c r="I863" s="2">
        <v>45717</v>
      </c>
      <c r="J863" s="1">
        <v>3801.1</v>
      </c>
      <c r="K863" s="1">
        <v>0.70520000000000005</v>
      </c>
      <c r="L863" s="1">
        <v>2680.54</v>
      </c>
      <c r="M863" s="1">
        <v>537276</v>
      </c>
      <c r="N863" s="1">
        <v>34907</v>
      </c>
      <c r="O863" s="1">
        <v>43571.02</v>
      </c>
      <c r="P863" s="1">
        <v>2025</v>
      </c>
      <c r="Q863" s="1" t="s">
        <v>39</v>
      </c>
      <c r="R863" s="1" t="s">
        <v>40</v>
      </c>
    </row>
    <row r="864" spans="1:18" x14ac:dyDescent="0.35">
      <c r="A864" s="3" t="s">
        <v>101</v>
      </c>
      <c r="B864" s="3"/>
      <c r="C864" s="1" t="s">
        <v>19</v>
      </c>
      <c r="D864" s="1" t="s">
        <v>58</v>
      </c>
      <c r="E864" s="1" t="s">
        <v>51</v>
      </c>
      <c r="F864" s="1" t="s">
        <v>22</v>
      </c>
      <c r="G864" s="1" t="s">
        <v>52</v>
      </c>
      <c r="H864" s="2">
        <v>45692</v>
      </c>
      <c r="I864" s="2">
        <v>45702</v>
      </c>
      <c r="J864" s="1">
        <v>29457.759999999998</v>
      </c>
      <c r="K864" s="1">
        <v>0.61150000000000004</v>
      </c>
      <c r="L864" s="1">
        <v>18013.419999999998</v>
      </c>
      <c r="M864" s="1">
        <v>678169</v>
      </c>
      <c r="N864" s="1">
        <v>25944</v>
      </c>
      <c r="O864" s="1">
        <v>23333.47</v>
      </c>
      <c r="P864" s="1">
        <v>2025</v>
      </c>
      <c r="Q864" s="1" t="s">
        <v>39</v>
      </c>
      <c r="R864" s="1" t="s">
        <v>40</v>
      </c>
    </row>
    <row r="865" spans="1:18" x14ac:dyDescent="0.35">
      <c r="A865" s="3" t="s">
        <v>94</v>
      </c>
      <c r="B865" s="3"/>
      <c r="C865" s="1" t="s">
        <v>35</v>
      </c>
      <c r="D865" s="1" t="s">
        <v>29</v>
      </c>
      <c r="E865" s="1" t="s">
        <v>37</v>
      </c>
      <c r="F865" s="1" t="s">
        <v>38</v>
      </c>
      <c r="G865" s="1" t="s">
        <v>44</v>
      </c>
      <c r="H865" s="2">
        <v>45692</v>
      </c>
      <c r="I865" s="2">
        <v>45698</v>
      </c>
      <c r="J865" s="1">
        <v>18497.599999999999</v>
      </c>
      <c r="K865" s="1">
        <v>9.0399999999999994E-2</v>
      </c>
      <c r="L865" s="1">
        <v>1672.18</v>
      </c>
      <c r="M865" s="1">
        <v>262838</v>
      </c>
      <c r="N865" s="1">
        <v>48134</v>
      </c>
      <c r="O865" s="1">
        <v>165990.57999999999</v>
      </c>
      <c r="P865" s="1">
        <v>2025</v>
      </c>
      <c r="Q865" s="1" t="s">
        <v>39</v>
      </c>
      <c r="R865" s="1" t="s">
        <v>40</v>
      </c>
    </row>
    <row r="866" spans="1:18" x14ac:dyDescent="0.35">
      <c r="A866" s="3" t="s">
        <v>94</v>
      </c>
      <c r="B866" s="3"/>
      <c r="C866" s="1" t="s">
        <v>35</v>
      </c>
      <c r="D866" s="1" t="s">
        <v>69</v>
      </c>
      <c r="E866" s="1" t="s">
        <v>21</v>
      </c>
      <c r="F866" s="1" t="s">
        <v>30</v>
      </c>
      <c r="G866" s="1" t="s">
        <v>44</v>
      </c>
      <c r="H866" s="2">
        <v>45693</v>
      </c>
      <c r="I866" s="2">
        <v>45753</v>
      </c>
      <c r="J866" s="1">
        <v>46375.95</v>
      </c>
      <c r="K866" s="1">
        <v>1.0532999999999999</v>
      </c>
      <c r="L866" s="1">
        <v>48847.79</v>
      </c>
      <c r="M866" s="1">
        <v>19717</v>
      </c>
      <c r="N866" s="1">
        <v>19655</v>
      </c>
      <c r="O866" s="1">
        <v>144150.66</v>
      </c>
      <c r="P866" s="1">
        <v>2025</v>
      </c>
      <c r="Q866" s="1" t="s">
        <v>39</v>
      </c>
      <c r="R866" s="1" t="s">
        <v>40</v>
      </c>
    </row>
    <row r="867" spans="1:18" x14ac:dyDescent="0.35">
      <c r="A867" s="3" t="s">
        <v>120</v>
      </c>
      <c r="B867" s="3"/>
      <c r="C867" s="1" t="s">
        <v>48</v>
      </c>
      <c r="D867" s="1" t="s">
        <v>58</v>
      </c>
      <c r="E867" s="1" t="s">
        <v>37</v>
      </c>
      <c r="F867" s="1" t="s">
        <v>22</v>
      </c>
      <c r="G867" s="1" t="s">
        <v>49</v>
      </c>
      <c r="H867" s="2">
        <v>45694</v>
      </c>
      <c r="I867" s="2">
        <v>45731</v>
      </c>
      <c r="J867" s="1">
        <v>41306.019999999997</v>
      </c>
      <c r="K867" s="1">
        <v>0.68030000000000002</v>
      </c>
      <c r="L867" s="1">
        <v>28100.49</v>
      </c>
      <c r="M867" s="1">
        <v>705350</v>
      </c>
      <c r="N867" s="1">
        <v>38482</v>
      </c>
      <c r="O867" s="1">
        <v>57037.06</v>
      </c>
      <c r="P867" s="1">
        <v>2025</v>
      </c>
      <c r="Q867" s="1" t="s">
        <v>39</v>
      </c>
      <c r="R867" s="1" t="s">
        <v>40</v>
      </c>
    </row>
    <row r="868" spans="1:18" x14ac:dyDescent="0.35">
      <c r="A868" s="3" t="s">
        <v>81</v>
      </c>
      <c r="B868" s="3"/>
      <c r="C868" s="1" t="s">
        <v>28</v>
      </c>
      <c r="D868" s="1" t="s">
        <v>58</v>
      </c>
      <c r="E868" s="1" t="s">
        <v>43</v>
      </c>
      <c r="F868" s="1" t="s">
        <v>22</v>
      </c>
      <c r="G868" s="1" t="s">
        <v>31</v>
      </c>
      <c r="H868" s="2">
        <v>45696</v>
      </c>
      <c r="I868" s="2">
        <v>45725</v>
      </c>
      <c r="J868" s="1">
        <v>9852.9500000000007</v>
      </c>
      <c r="K868" s="1">
        <v>0.96919999999999995</v>
      </c>
      <c r="L868" s="1">
        <v>9549.48</v>
      </c>
      <c r="M868" s="1">
        <v>720737</v>
      </c>
      <c r="N868" s="1">
        <v>34944</v>
      </c>
      <c r="O868" s="1">
        <v>140159.57</v>
      </c>
      <c r="P868" s="1">
        <v>2025</v>
      </c>
      <c r="Q868" s="1" t="s">
        <v>39</v>
      </c>
      <c r="R868" s="1" t="s">
        <v>40</v>
      </c>
    </row>
    <row r="869" spans="1:18" x14ac:dyDescent="0.35">
      <c r="A869" s="3" t="s">
        <v>67</v>
      </c>
      <c r="B869" s="3"/>
      <c r="C869" s="1" t="s">
        <v>35</v>
      </c>
      <c r="D869" s="1" t="s">
        <v>58</v>
      </c>
      <c r="E869" s="1" t="s">
        <v>37</v>
      </c>
      <c r="F869" s="1" t="s">
        <v>30</v>
      </c>
      <c r="G869" s="1" t="s">
        <v>31</v>
      </c>
      <c r="H869" s="2">
        <v>45696</v>
      </c>
      <c r="I869" s="2">
        <v>45716</v>
      </c>
      <c r="J869" s="1">
        <v>42153.279999999999</v>
      </c>
      <c r="K869" s="1">
        <v>0.34</v>
      </c>
      <c r="L869" s="1">
        <v>14332.12</v>
      </c>
      <c r="M869" s="1">
        <v>825451</v>
      </c>
      <c r="N869" s="1">
        <v>34263</v>
      </c>
      <c r="O869" s="1">
        <v>123726.27</v>
      </c>
      <c r="P869" s="1">
        <v>2025</v>
      </c>
      <c r="Q869" s="1" t="s">
        <v>39</v>
      </c>
      <c r="R869" s="1" t="s">
        <v>40</v>
      </c>
    </row>
    <row r="870" spans="1:18" x14ac:dyDescent="0.35">
      <c r="A870" s="3" t="s">
        <v>92</v>
      </c>
      <c r="B870" s="3"/>
      <c r="C870" s="1" t="s">
        <v>35</v>
      </c>
      <c r="D870" s="1" t="s">
        <v>29</v>
      </c>
      <c r="E870" s="1" t="s">
        <v>51</v>
      </c>
      <c r="F870" s="1" t="s">
        <v>22</v>
      </c>
      <c r="G870" s="1" t="s">
        <v>23</v>
      </c>
      <c r="H870" s="2">
        <v>45697</v>
      </c>
      <c r="I870" s="2">
        <v>45755</v>
      </c>
      <c r="J870" s="1">
        <v>21656.68</v>
      </c>
      <c r="K870" s="1">
        <v>1.0035000000000001</v>
      </c>
      <c r="L870" s="1">
        <v>21732.48</v>
      </c>
      <c r="M870" s="1">
        <v>503152</v>
      </c>
      <c r="N870" s="1">
        <v>1370</v>
      </c>
      <c r="O870" s="1">
        <v>188510.94</v>
      </c>
      <c r="P870" s="1">
        <v>2025</v>
      </c>
      <c r="Q870" s="1" t="s">
        <v>39</v>
      </c>
      <c r="R870" s="1" t="s">
        <v>40</v>
      </c>
    </row>
    <row r="871" spans="1:18" x14ac:dyDescent="0.35">
      <c r="A871" s="3" t="s">
        <v>72</v>
      </c>
      <c r="B871" s="3"/>
      <c r="C871" s="1" t="s">
        <v>48</v>
      </c>
      <c r="D871" s="1" t="s">
        <v>20</v>
      </c>
      <c r="E871" s="1" t="s">
        <v>59</v>
      </c>
      <c r="F871" s="1" t="s">
        <v>38</v>
      </c>
      <c r="G871" s="1" t="s">
        <v>49</v>
      </c>
      <c r="H871" s="2">
        <v>45697</v>
      </c>
      <c r="I871" s="2">
        <v>45752</v>
      </c>
      <c r="J871" s="1">
        <v>29438.799999999999</v>
      </c>
      <c r="K871" s="1">
        <v>0.96799999999999997</v>
      </c>
      <c r="L871" s="1">
        <v>28496.76</v>
      </c>
      <c r="M871" s="1">
        <v>901090</v>
      </c>
      <c r="N871" s="1">
        <v>46603</v>
      </c>
      <c r="O871" s="1">
        <v>79498.13</v>
      </c>
      <c r="P871" s="1">
        <v>2025</v>
      </c>
      <c r="Q871" s="1" t="s">
        <v>39</v>
      </c>
      <c r="R871" s="1" t="s">
        <v>40</v>
      </c>
    </row>
    <row r="872" spans="1:18" x14ac:dyDescent="0.35">
      <c r="A872" s="3" t="s">
        <v>34</v>
      </c>
      <c r="B872" s="3"/>
      <c r="C872" s="1" t="s">
        <v>48</v>
      </c>
      <c r="D872" s="1" t="s">
        <v>20</v>
      </c>
      <c r="E872" s="1" t="s">
        <v>37</v>
      </c>
      <c r="F872" s="1" t="s">
        <v>38</v>
      </c>
      <c r="G872" s="1" t="s">
        <v>44</v>
      </c>
      <c r="H872" s="2">
        <v>45697</v>
      </c>
      <c r="I872" s="2">
        <v>45746</v>
      </c>
      <c r="J872" s="1">
        <v>33705.949999999997</v>
      </c>
      <c r="K872" s="1">
        <v>0.112</v>
      </c>
      <c r="L872" s="1">
        <v>3775.07</v>
      </c>
      <c r="M872" s="1">
        <v>370491</v>
      </c>
      <c r="N872" s="1">
        <v>35584</v>
      </c>
      <c r="O872" s="1">
        <v>106426.73</v>
      </c>
      <c r="P872" s="1">
        <v>2025</v>
      </c>
      <c r="Q872" s="1" t="s">
        <v>39</v>
      </c>
      <c r="R872" s="1" t="s">
        <v>40</v>
      </c>
    </row>
    <row r="873" spans="1:18" x14ac:dyDescent="0.35">
      <c r="A873" s="3" t="s">
        <v>87</v>
      </c>
      <c r="B873" s="3"/>
      <c r="C873" s="1" t="s">
        <v>48</v>
      </c>
      <c r="D873" s="1" t="s">
        <v>20</v>
      </c>
      <c r="E873" s="1" t="s">
        <v>21</v>
      </c>
      <c r="F873" s="1" t="s">
        <v>22</v>
      </c>
      <c r="G873" s="1" t="s">
        <v>44</v>
      </c>
      <c r="H873" s="2">
        <v>45698</v>
      </c>
      <c r="I873" s="2">
        <v>45737</v>
      </c>
      <c r="J873" s="1">
        <v>2583.0100000000002</v>
      </c>
      <c r="K873" s="1">
        <v>0.97870000000000001</v>
      </c>
      <c r="L873" s="1">
        <v>2527.9899999999998</v>
      </c>
      <c r="M873" s="1">
        <v>117458</v>
      </c>
      <c r="N873" s="1">
        <v>40477</v>
      </c>
      <c r="O873" s="1">
        <v>217668.67</v>
      </c>
      <c r="P873" s="1">
        <v>2025</v>
      </c>
      <c r="Q873" s="1" t="s">
        <v>39</v>
      </c>
      <c r="R873" s="1" t="s">
        <v>40</v>
      </c>
    </row>
    <row r="874" spans="1:18" x14ac:dyDescent="0.35">
      <c r="A874" s="3" t="s">
        <v>107</v>
      </c>
      <c r="B874" s="3"/>
      <c r="C874" s="1" t="s">
        <v>35</v>
      </c>
      <c r="D874" s="1" t="s">
        <v>69</v>
      </c>
      <c r="E874" s="1" t="s">
        <v>59</v>
      </c>
      <c r="F874" s="1" t="s">
        <v>38</v>
      </c>
      <c r="G874" s="1" t="s">
        <v>23</v>
      </c>
      <c r="H874" s="2">
        <v>45699</v>
      </c>
      <c r="I874" s="2">
        <v>45740</v>
      </c>
      <c r="J874" s="1">
        <v>38233.980000000003</v>
      </c>
      <c r="K874" s="1">
        <v>0.54420000000000002</v>
      </c>
      <c r="L874" s="1">
        <v>20806.93</v>
      </c>
      <c r="M874" s="1">
        <v>979045</v>
      </c>
      <c r="N874" s="1">
        <v>37094</v>
      </c>
      <c r="O874" s="1">
        <v>162533</v>
      </c>
      <c r="P874" s="1">
        <v>2025</v>
      </c>
      <c r="Q874" s="1" t="s">
        <v>39</v>
      </c>
      <c r="R874" s="1" t="s">
        <v>40</v>
      </c>
    </row>
    <row r="875" spans="1:18" x14ac:dyDescent="0.35">
      <c r="A875" s="3" t="s">
        <v>84</v>
      </c>
      <c r="B875" s="3"/>
      <c r="C875" s="1" t="s">
        <v>28</v>
      </c>
      <c r="D875" s="1" t="s">
        <v>29</v>
      </c>
      <c r="E875" s="1" t="s">
        <v>51</v>
      </c>
      <c r="F875" s="1" t="s">
        <v>38</v>
      </c>
      <c r="G875" s="1" t="s">
        <v>49</v>
      </c>
      <c r="H875" s="2">
        <v>45700</v>
      </c>
      <c r="I875" s="2">
        <v>45733</v>
      </c>
      <c r="J875" s="1">
        <v>31019.96</v>
      </c>
      <c r="K875" s="1">
        <v>0.8659</v>
      </c>
      <c r="L875" s="1">
        <v>26860.18</v>
      </c>
      <c r="M875" s="1">
        <v>539298</v>
      </c>
      <c r="N875" s="1">
        <v>28066</v>
      </c>
      <c r="O875" s="1">
        <v>208489.45</v>
      </c>
      <c r="P875" s="1">
        <v>2025</v>
      </c>
      <c r="Q875" s="1" t="s">
        <v>39</v>
      </c>
      <c r="R875" s="1" t="s">
        <v>40</v>
      </c>
    </row>
    <row r="876" spans="1:18" x14ac:dyDescent="0.35">
      <c r="A876" s="3" t="s">
        <v>106</v>
      </c>
      <c r="B876" s="3"/>
      <c r="C876" s="1" t="s">
        <v>35</v>
      </c>
      <c r="D876" s="1" t="s">
        <v>36</v>
      </c>
      <c r="E876" s="1" t="s">
        <v>21</v>
      </c>
      <c r="F876" s="1" t="s">
        <v>22</v>
      </c>
      <c r="G876" s="1" t="s">
        <v>49</v>
      </c>
      <c r="H876" s="2">
        <v>45700</v>
      </c>
      <c r="I876" s="2">
        <v>45713</v>
      </c>
      <c r="J876" s="1">
        <v>31145.22</v>
      </c>
      <c r="K876" s="1">
        <v>0.36980000000000002</v>
      </c>
      <c r="L876" s="1">
        <v>11517.5</v>
      </c>
      <c r="M876" s="1">
        <v>264432</v>
      </c>
      <c r="N876" s="1">
        <v>38132</v>
      </c>
      <c r="O876" s="1">
        <v>130490.66</v>
      </c>
      <c r="P876" s="1">
        <v>2025</v>
      </c>
      <c r="Q876" s="1" t="s">
        <v>39</v>
      </c>
      <c r="R876" s="1" t="s">
        <v>40</v>
      </c>
    </row>
    <row r="877" spans="1:18" x14ac:dyDescent="0.35">
      <c r="A877" s="3" t="s">
        <v>108</v>
      </c>
      <c r="B877" s="3"/>
      <c r="C877" s="1" t="s">
        <v>28</v>
      </c>
      <c r="D877" s="1" t="s">
        <v>58</v>
      </c>
      <c r="E877" s="1" t="s">
        <v>51</v>
      </c>
      <c r="F877" s="1" t="s">
        <v>30</v>
      </c>
      <c r="G877" s="1" t="s">
        <v>44</v>
      </c>
      <c r="H877" s="2">
        <v>45702</v>
      </c>
      <c r="I877" s="2">
        <v>45733</v>
      </c>
      <c r="J877" s="1">
        <v>3278.52</v>
      </c>
      <c r="K877" s="1">
        <v>0.76359999999999995</v>
      </c>
      <c r="L877" s="1">
        <v>2503.48</v>
      </c>
      <c r="M877" s="1">
        <v>714791</v>
      </c>
      <c r="N877" s="1">
        <v>38688</v>
      </c>
      <c r="O877" s="1">
        <v>35188.699999999997</v>
      </c>
      <c r="P877" s="1">
        <v>2025</v>
      </c>
      <c r="Q877" s="1" t="s">
        <v>39</v>
      </c>
      <c r="R877" s="1" t="s">
        <v>40</v>
      </c>
    </row>
    <row r="878" spans="1:18" x14ac:dyDescent="0.35">
      <c r="A878" s="3" t="s">
        <v>90</v>
      </c>
      <c r="B878" s="3"/>
      <c r="C878" s="1" t="s">
        <v>19</v>
      </c>
      <c r="D878" s="1" t="s">
        <v>29</v>
      </c>
      <c r="E878" s="1" t="s">
        <v>37</v>
      </c>
      <c r="F878" s="1" t="s">
        <v>30</v>
      </c>
      <c r="G878" s="1" t="s">
        <v>44</v>
      </c>
      <c r="H878" s="2">
        <v>45702</v>
      </c>
      <c r="I878" s="2">
        <v>45733</v>
      </c>
      <c r="J878" s="1">
        <v>9234.49</v>
      </c>
      <c r="K878" s="1">
        <v>0.45019999999999999</v>
      </c>
      <c r="L878" s="1">
        <v>4157.37</v>
      </c>
      <c r="M878" s="1">
        <v>183021</v>
      </c>
      <c r="N878" s="1">
        <v>28848</v>
      </c>
      <c r="O878" s="1">
        <v>64692.93</v>
      </c>
      <c r="P878" s="1">
        <v>2025</v>
      </c>
      <c r="Q878" s="1" t="s">
        <v>39</v>
      </c>
      <c r="R878" s="1" t="s">
        <v>40</v>
      </c>
    </row>
    <row r="879" spans="1:18" x14ac:dyDescent="0.35">
      <c r="A879" s="3" t="s">
        <v>117</v>
      </c>
      <c r="B879" s="3"/>
      <c r="C879" s="1" t="s">
        <v>19</v>
      </c>
      <c r="D879" s="1" t="s">
        <v>69</v>
      </c>
      <c r="E879" s="1" t="s">
        <v>37</v>
      </c>
      <c r="F879" s="1" t="s">
        <v>38</v>
      </c>
      <c r="G879" s="1" t="s">
        <v>52</v>
      </c>
      <c r="H879" s="2">
        <v>45702</v>
      </c>
      <c r="I879" s="2">
        <v>45728</v>
      </c>
      <c r="J879" s="1">
        <v>48100.7</v>
      </c>
      <c r="K879" s="1">
        <v>0.55600000000000005</v>
      </c>
      <c r="L879" s="1">
        <v>26743.99</v>
      </c>
      <c r="M879" s="1">
        <v>493100</v>
      </c>
      <c r="N879" s="1">
        <v>38558</v>
      </c>
      <c r="O879" s="1">
        <v>216195.7</v>
      </c>
      <c r="P879" s="1">
        <v>2025</v>
      </c>
      <c r="Q879" s="1" t="s">
        <v>39</v>
      </c>
      <c r="R879" s="1" t="s">
        <v>40</v>
      </c>
    </row>
    <row r="880" spans="1:18" x14ac:dyDescent="0.35">
      <c r="A880" s="3" t="s">
        <v>66</v>
      </c>
      <c r="B880" s="3"/>
      <c r="C880" s="1" t="s">
        <v>28</v>
      </c>
      <c r="D880" s="1" t="s">
        <v>29</v>
      </c>
      <c r="E880" s="1" t="s">
        <v>51</v>
      </c>
      <c r="F880" s="1" t="s">
        <v>22</v>
      </c>
      <c r="G880" s="1" t="s">
        <v>52</v>
      </c>
      <c r="H880" s="2">
        <v>45702</v>
      </c>
      <c r="I880" s="2">
        <v>45722</v>
      </c>
      <c r="J880" s="1">
        <v>31368.55</v>
      </c>
      <c r="K880" s="1">
        <v>8.1299999999999997E-2</v>
      </c>
      <c r="L880" s="1">
        <v>2550.2600000000002</v>
      </c>
      <c r="M880" s="1">
        <v>402716</v>
      </c>
      <c r="N880" s="1">
        <v>32784</v>
      </c>
      <c r="O880" s="1">
        <v>77670.61</v>
      </c>
      <c r="P880" s="1">
        <v>2025</v>
      </c>
      <c r="Q880" s="1" t="s">
        <v>39</v>
      </c>
      <c r="R880" s="1" t="s">
        <v>40</v>
      </c>
    </row>
    <row r="881" spans="1:18" x14ac:dyDescent="0.35">
      <c r="A881" s="3" t="s">
        <v>34</v>
      </c>
      <c r="B881" s="3"/>
      <c r="C881" s="1" t="s">
        <v>35</v>
      </c>
      <c r="D881" s="1" t="s">
        <v>36</v>
      </c>
      <c r="E881" s="1" t="s">
        <v>37</v>
      </c>
      <c r="F881" s="1" t="s">
        <v>38</v>
      </c>
      <c r="G881" s="1" t="s">
        <v>23</v>
      </c>
      <c r="H881" s="2">
        <v>45704</v>
      </c>
      <c r="I881" s="2">
        <v>45760</v>
      </c>
      <c r="J881" s="1">
        <v>8823.31</v>
      </c>
      <c r="K881" s="1">
        <v>0.51290000000000002</v>
      </c>
      <c r="L881" s="1">
        <v>4525.4799999999996</v>
      </c>
      <c r="M881" s="1">
        <v>301369</v>
      </c>
      <c r="N881" s="1">
        <v>10289</v>
      </c>
      <c r="O881" s="1">
        <v>57751.87</v>
      </c>
      <c r="P881" s="1">
        <v>2025</v>
      </c>
      <c r="Q881" s="1" t="s">
        <v>39</v>
      </c>
      <c r="R881" s="1" t="s">
        <v>40</v>
      </c>
    </row>
    <row r="882" spans="1:18" x14ac:dyDescent="0.35">
      <c r="A882" s="3" t="s">
        <v>97</v>
      </c>
      <c r="B882" s="3"/>
      <c r="C882" s="1" t="s">
        <v>35</v>
      </c>
      <c r="D882" s="1" t="s">
        <v>36</v>
      </c>
      <c r="E882" s="1" t="s">
        <v>37</v>
      </c>
      <c r="F882" s="1" t="s">
        <v>22</v>
      </c>
      <c r="G882" s="1" t="s">
        <v>49</v>
      </c>
      <c r="H882" s="2">
        <v>45704</v>
      </c>
      <c r="I882" s="2">
        <v>45751</v>
      </c>
      <c r="J882" s="1">
        <v>11865.61</v>
      </c>
      <c r="K882" s="1">
        <v>0.41620000000000001</v>
      </c>
      <c r="L882" s="1">
        <v>4938.47</v>
      </c>
      <c r="M882" s="1">
        <v>880196</v>
      </c>
      <c r="N882" s="1">
        <v>41627</v>
      </c>
      <c r="O882" s="1">
        <v>241286.25</v>
      </c>
      <c r="P882" s="1">
        <v>2025</v>
      </c>
      <c r="Q882" s="1" t="s">
        <v>39</v>
      </c>
      <c r="R882" s="1" t="s">
        <v>40</v>
      </c>
    </row>
    <row r="883" spans="1:18" x14ac:dyDescent="0.35">
      <c r="A883" s="3" t="s">
        <v>82</v>
      </c>
      <c r="B883" s="3"/>
      <c r="C883" s="1" t="s">
        <v>48</v>
      </c>
      <c r="D883" s="1" t="s">
        <v>69</v>
      </c>
      <c r="E883" s="1" t="s">
        <v>51</v>
      </c>
      <c r="F883" s="1" t="s">
        <v>38</v>
      </c>
      <c r="G883" s="1" t="s">
        <v>23</v>
      </c>
      <c r="H883" s="2">
        <v>45705</v>
      </c>
      <c r="I883" s="2">
        <v>45759</v>
      </c>
      <c r="J883" s="1">
        <v>15207.97</v>
      </c>
      <c r="K883" s="1">
        <v>0.25169999999999998</v>
      </c>
      <c r="L883" s="1">
        <v>3827.85</v>
      </c>
      <c r="M883" s="1">
        <v>591409</v>
      </c>
      <c r="N883" s="1">
        <v>2677</v>
      </c>
      <c r="O883" s="1">
        <v>242040.68</v>
      </c>
      <c r="P883" s="1">
        <v>2025</v>
      </c>
      <c r="Q883" s="1" t="s">
        <v>39</v>
      </c>
      <c r="R883" s="1" t="s">
        <v>40</v>
      </c>
    </row>
    <row r="884" spans="1:18" x14ac:dyDescent="0.35">
      <c r="A884" s="3" t="s">
        <v>68</v>
      </c>
      <c r="B884" s="3"/>
      <c r="C884" s="1" t="s">
        <v>28</v>
      </c>
      <c r="D884" s="1" t="s">
        <v>58</v>
      </c>
      <c r="E884" s="1" t="s">
        <v>21</v>
      </c>
      <c r="F884" s="1" t="s">
        <v>38</v>
      </c>
      <c r="G884" s="1" t="s">
        <v>49</v>
      </c>
      <c r="H884" s="2">
        <v>45706</v>
      </c>
      <c r="I884" s="2">
        <v>45760</v>
      </c>
      <c r="J884" s="1">
        <v>9261.68</v>
      </c>
      <c r="K884" s="1">
        <v>0.91969999999999996</v>
      </c>
      <c r="L884" s="1">
        <v>8517.9699999999993</v>
      </c>
      <c r="M884" s="1">
        <v>523358</v>
      </c>
      <c r="N884" s="1">
        <v>5869</v>
      </c>
      <c r="O884" s="1">
        <v>36704.46</v>
      </c>
      <c r="P884" s="1">
        <v>2025</v>
      </c>
      <c r="Q884" s="1" t="s">
        <v>39</v>
      </c>
      <c r="R884" s="1" t="s">
        <v>40</v>
      </c>
    </row>
    <row r="885" spans="1:18" x14ac:dyDescent="0.35">
      <c r="A885" s="3" t="s">
        <v>18</v>
      </c>
      <c r="B885" s="3"/>
      <c r="C885" s="1" t="s">
        <v>35</v>
      </c>
      <c r="D885" s="1" t="s">
        <v>58</v>
      </c>
      <c r="E885" s="1" t="s">
        <v>37</v>
      </c>
      <c r="F885" s="1" t="s">
        <v>30</v>
      </c>
      <c r="G885" s="1" t="s">
        <v>23</v>
      </c>
      <c r="H885" s="2">
        <v>45706</v>
      </c>
      <c r="I885" s="2">
        <v>45733</v>
      </c>
      <c r="J885" s="1">
        <v>28551.73</v>
      </c>
      <c r="K885" s="1">
        <v>0.70350000000000001</v>
      </c>
      <c r="L885" s="1">
        <v>20086.14</v>
      </c>
      <c r="M885" s="1">
        <v>998464</v>
      </c>
      <c r="N885" s="1">
        <v>43822</v>
      </c>
      <c r="O885" s="1">
        <v>178980.29</v>
      </c>
      <c r="P885" s="1">
        <v>2025</v>
      </c>
      <c r="Q885" s="1" t="s">
        <v>39</v>
      </c>
      <c r="R885" s="1" t="s">
        <v>40</v>
      </c>
    </row>
    <row r="886" spans="1:18" x14ac:dyDescent="0.35">
      <c r="A886" s="3" t="s">
        <v>109</v>
      </c>
      <c r="B886" s="3"/>
      <c r="C886" s="1" t="s">
        <v>35</v>
      </c>
      <c r="D886" s="1" t="s">
        <v>20</v>
      </c>
      <c r="E886" s="1" t="s">
        <v>51</v>
      </c>
      <c r="F886" s="1" t="s">
        <v>22</v>
      </c>
      <c r="G886" s="1" t="s">
        <v>23</v>
      </c>
      <c r="H886" s="2">
        <v>45706</v>
      </c>
      <c r="I886" s="2">
        <v>45731</v>
      </c>
      <c r="J886" s="1">
        <v>7057.15</v>
      </c>
      <c r="K886" s="1">
        <v>0.14130000000000001</v>
      </c>
      <c r="L886" s="1">
        <v>997.18</v>
      </c>
      <c r="M886" s="1">
        <v>152514</v>
      </c>
      <c r="N886" s="1">
        <v>32593</v>
      </c>
      <c r="O886" s="1">
        <v>191757.05</v>
      </c>
      <c r="P886" s="1">
        <v>2025</v>
      </c>
      <c r="Q886" s="1" t="s">
        <v>39</v>
      </c>
      <c r="R886" s="1" t="s">
        <v>40</v>
      </c>
    </row>
    <row r="887" spans="1:18" x14ac:dyDescent="0.35">
      <c r="A887" s="3" t="s">
        <v>77</v>
      </c>
      <c r="B887" s="3"/>
      <c r="C887" s="1" t="s">
        <v>28</v>
      </c>
      <c r="D887" s="1" t="s">
        <v>36</v>
      </c>
      <c r="E887" s="1" t="s">
        <v>37</v>
      </c>
      <c r="F887" s="1" t="s">
        <v>22</v>
      </c>
      <c r="G887" s="1" t="s">
        <v>31</v>
      </c>
      <c r="H887" s="2">
        <v>45706</v>
      </c>
      <c r="I887" s="2">
        <v>45728</v>
      </c>
      <c r="J887" s="1">
        <v>6009.34</v>
      </c>
      <c r="K887" s="1">
        <v>0.1139</v>
      </c>
      <c r="L887" s="1">
        <v>684.46</v>
      </c>
      <c r="M887" s="1">
        <v>461914</v>
      </c>
      <c r="N887" s="1">
        <v>29515</v>
      </c>
      <c r="O887" s="1">
        <v>141461.32999999999</v>
      </c>
      <c r="P887" s="1">
        <v>2025</v>
      </c>
      <c r="Q887" s="1" t="s">
        <v>39</v>
      </c>
      <c r="R887" s="1" t="s">
        <v>40</v>
      </c>
    </row>
    <row r="888" spans="1:18" x14ac:dyDescent="0.35">
      <c r="A888" s="3" t="s">
        <v>104</v>
      </c>
      <c r="B888" s="3"/>
      <c r="C888" s="1" t="s">
        <v>35</v>
      </c>
      <c r="D888" s="1" t="s">
        <v>36</v>
      </c>
      <c r="E888" s="1" t="s">
        <v>43</v>
      </c>
      <c r="F888" s="1" t="s">
        <v>22</v>
      </c>
      <c r="G888" s="1" t="s">
        <v>23</v>
      </c>
      <c r="H888" s="2">
        <v>45707</v>
      </c>
      <c r="I888" s="2">
        <v>45727</v>
      </c>
      <c r="J888" s="1">
        <v>34336.75</v>
      </c>
      <c r="K888" s="1">
        <v>0.71899999999999997</v>
      </c>
      <c r="L888" s="1">
        <v>24688.12</v>
      </c>
      <c r="M888" s="1">
        <v>835618</v>
      </c>
      <c r="N888" s="1">
        <v>5465</v>
      </c>
      <c r="O888" s="1">
        <v>133749.13</v>
      </c>
      <c r="P888" s="1">
        <v>2025</v>
      </c>
      <c r="Q888" s="1" t="s">
        <v>39</v>
      </c>
      <c r="R888" s="1" t="s">
        <v>40</v>
      </c>
    </row>
    <row r="889" spans="1:18" x14ac:dyDescent="0.35">
      <c r="A889" s="3" t="s">
        <v>57</v>
      </c>
      <c r="B889" s="3"/>
      <c r="C889" s="1" t="s">
        <v>35</v>
      </c>
      <c r="D889" s="1" t="s">
        <v>58</v>
      </c>
      <c r="E889" s="1" t="s">
        <v>59</v>
      </c>
      <c r="F889" s="1" t="s">
        <v>30</v>
      </c>
      <c r="G889" s="1" t="s">
        <v>31</v>
      </c>
      <c r="H889" s="2">
        <v>45709</v>
      </c>
      <c r="I889" s="2">
        <v>45768</v>
      </c>
      <c r="J889" s="1">
        <v>27532.22</v>
      </c>
      <c r="K889" s="1">
        <v>6.0299999999999999E-2</v>
      </c>
      <c r="L889" s="1">
        <v>1660.19</v>
      </c>
      <c r="M889" s="1">
        <v>515719</v>
      </c>
      <c r="N889" s="1">
        <v>24426</v>
      </c>
      <c r="O889" s="1">
        <v>157063.53</v>
      </c>
      <c r="P889" s="1">
        <v>2025</v>
      </c>
      <c r="Q889" s="1" t="s">
        <v>39</v>
      </c>
      <c r="R889" s="1" t="s">
        <v>40</v>
      </c>
    </row>
    <row r="890" spans="1:18" x14ac:dyDescent="0.35">
      <c r="A890" s="3" t="s">
        <v>94</v>
      </c>
      <c r="B890" s="3"/>
      <c r="C890" s="1" t="s">
        <v>48</v>
      </c>
      <c r="D890" s="1" t="s">
        <v>29</v>
      </c>
      <c r="E890" s="1" t="s">
        <v>43</v>
      </c>
      <c r="F890" s="1" t="s">
        <v>38</v>
      </c>
      <c r="G890" s="1" t="s">
        <v>44</v>
      </c>
      <c r="H890" s="2">
        <v>45711</v>
      </c>
      <c r="I890" s="2">
        <v>45756</v>
      </c>
      <c r="J890" s="1">
        <v>29251.62</v>
      </c>
      <c r="K890" s="1">
        <v>0.81259999999999999</v>
      </c>
      <c r="L890" s="1">
        <v>23769.87</v>
      </c>
      <c r="M890" s="1">
        <v>746677</v>
      </c>
      <c r="N890" s="1">
        <v>43697</v>
      </c>
      <c r="O890" s="1">
        <v>109633.37</v>
      </c>
      <c r="P890" s="1">
        <v>2025</v>
      </c>
      <c r="Q890" s="1" t="s">
        <v>39</v>
      </c>
      <c r="R890" s="1" t="s">
        <v>40</v>
      </c>
    </row>
    <row r="891" spans="1:18" x14ac:dyDescent="0.35">
      <c r="A891" s="3" t="s">
        <v>114</v>
      </c>
      <c r="B891" s="3"/>
      <c r="C891" s="1" t="s">
        <v>48</v>
      </c>
      <c r="D891" s="1" t="s">
        <v>20</v>
      </c>
      <c r="E891" s="1" t="s">
        <v>21</v>
      </c>
      <c r="F891" s="1" t="s">
        <v>30</v>
      </c>
      <c r="G891" s="1" t="s">
        <v>52</v>
      </c>
      <c r="H891" s="2">
        <v>45712</v>
      </c>
      <c r="I891" s="2">
        <v>45766</v>
      </c>
      <c r="J891" s="1">
        <v>28091.82</v>
      </c>
      <c r="K891" s="1">
        <v>0.78939999999999999</v>
      </c>
      <c r="L891" s="1">
        <v>22175.68</v>
      </c>
      <c r="M891" s="1">
        <v>553842</v>
      </c>
      <c r="N891" s="1">
        <v>13892</v>
      </c>
      <c r="O891" s="1">
        <v>93713.95</v>
      </c>
      <c r="P891" s="1">
        <v>2025</v>
      </c>
      <c r="Q891" s="1" t="s">
        <v>39</v>
      </c>
      <c r="R891" s="1" t="s">
        <v>40</v>
      </c>
    </row>
    <row r="892" spans="1:18" x14ac:dyDescent="0.35">
      <c r="A892" s="3" t="s">
        <v>85</v>
      </c>
      <c r="B892" s="3"/>
      <c r="C892" s="1" t="s">
        <v>19</v>
      </c>
      <c r="D892" s="1" t="s">
        <v>29</v>
      </c>
      <c r="E892" s="1" t="s">
        <v>43</v>
      </c>
      <c r="F892" s="1" t="s">
        <v>38</v>
      </c>
      <c r="G892" s="1" t="s">
        <v>31</v>
      </c>
      <c r="H892" s="2">
        <v>45712</v>
      </c>
      <c r="I892" s="2">
        <v>45754</v>
      </c>
      <c r="J892" s="1">
        <v>49980.68</v>
      </c>
      <c r="K892" s="1">
        <v>1.169</v>
      </c>
      <c r="L892" s="1">
        <v>58427.41</v>
      </c>
      <c r="M892" s="1">
        <v>114998</v>
      </c>
      <c r="N892" s="1">
        <v>16343</v>
      </c>
      <c r="O892" s="1">
        <v>165931.78</v>
      </c>
      <c r="P892" s="1">
        <v>2025</v>
      </c>
      <c r="Q892" s="1" t="s">
        <v>39</v>
      </c>
      <c r="R892" s="1" t="s">
        <v>40</v>
      </c>
    </row>
    <row r="893" spans="1:18" x14ac:dyDescent="0.35">
      <c r="A893" s="3" t="s">
        <v>89</v>
      </c>
      <c r="B893" s="3"/>
      <c r="C893" s="1" t="s">
        <v>28</v>
      </c>
      <c r="D893" s="1" t="s">
        <v>36</v>
      </c>
      <c r="E893" s="1" t="s">
        <v>63</v>
      </c>
      <c r="F893" s="1" t="s">
        <v>30</v>
      </c>
      <c r="G893" s="1" t="s">
        <v>52</v>
      </c>
      <c r="H893" s="2">
        <v>45712</v>
      </c>
      <c r="I893" s="2">
        <v>45748</v>
      </c>
      <c r="J893" s="1">
        <v>13349.17</v>
      </c>
      <c r="K893" s="1">
        <v>0.38059999999999999</v>
      </c>
      <c r="L893" s="1">
        <v>5080.6899999999996</v>
      </c>
      <c r="M893" s="1">
        <v>364280</v>
      </c>
      <c r="N893" s="1">
        <v>9970</v>
      </c>
      <c r="O893" s="1">
        <v>13944.88</v>
      </c>
      <c r="P893" s="1">
        <v>2025</v>
      </c>
      <c r="Q893" s="1" t="s">
        <v>39</v>
      </c>
      <c r="R893" s="1" t="s">
        <v>40</v>
      </c>
    </row>
    <row r="894" spans="1:18" x14ac:dyDescent="0.35">
      <c r="A894" s="3" t="s">
        <v>86</v>
      </c>
      <c r="B894" s="3"/>
      <c r="C894" s="1" t="s">
        <v>48</v>
      </c>
      <c r="D894" s="1" t="s">
        <v>29</v>
      </c>
      <c r="E894" s="1" t="s">
        <v>63</v>
      </c>
      <c r="F894" s="1" t="s">
        <v>38</v>
      </c>
      <c r="G894" s="1" t="s">
        <v>49</v>
      </c>
      <c r="H894" s="2">
        <v>45712</v>
      </c>
      <c r="I894" s="2">
        <v>45717</v>
      </c>
      <c r="J894" s="1">
        <v>6578</v>
      </c>
      <c r="K894" s="1">
        <v>0.40660000000000002</v>
      </c>
      <c r="L894" s="1">
        <v>2674.61</v>
      </c>
      <c r="M894" s="1">
        <v>425287</v>
      </c>
      <c r="N894" s="1">
        <v>47574</v>
      </c>
      <c r="O894" s="1">
        <v>144385.78</v>
      </c>
      <c r="P894" s="1">
        <v>2025</v>
      </c>
      <c r="Q894" s="1" t="s">
        <v>39</v>
      </c>
      <c r="R894" s="1" t="s">
        <v>40</v>
      </c>
    </row>
    <row r="895" spans="1:18" x14ac:dyDescent="0.35">
      <c r="A895" s="3" t="s">
        <v>70</v>
      </c>
      <c r="B895" s="3"/>
      <c r="C895" s="1" t="s">
        <v>48</v>
      </c>
      <c r="D895" s="1" t="s">
        <v>58</v>
      </c>
      <c r="E895" s="1" t="s">
        <v>51</v>
      </c>
      <c r="F895" s="1" t="s">
        <v>22</v>
      </c>
      <c r="G895" s="1" t="s">
        <v>44</v>
      </c>
      <c r="H895" s="2">
        <v>45713</v>
      </c>
      <c r="I895" s="2">
        <v>45763</v>
      </c>
      <c r="J895" s="1">
        <v>13199.16</v>
      </c>
      <c r="K895" s="1">
        <v>0.92779999999999996</v>
      </c>
      <c r="L895" s="1">
        <v>12246.18</v>
      </c>
      <c r="M895" s="1">
        <v>474478</v>
      </c>
      <c r="N895" s="1">
        <v>16298</v>
      </c>
      <c r="O895" s="1">
        <v>185716.66</v>
      </c>
      <c r="P895" s="1">
        <v>2025</v>
      </c>
      <c r="Q895" s="1" t="s">
        <v>39</v>
      </c>
      <c r="R895" s="1" t="s">
        <v>40</v>
      </c>
    </row>
    <row r="896" spans="1:18" x14ac:dyDescent="0.35">
      <c r="A896" s="3" t="s">
        <v>79</v>
      </c>
      <c r="B896" s="3"/>
      <c r="C896" s="1" t="s">
        <v>48</v>
      </c>
      <c r="D896" s="1" t="s">
        <v>29</v>
      </c>
      <c r="E896" s="1" t="s">
        <v>63</v>
      </c>
      <c r="F896" s="1" t="s">
        <v>30</v>
      </c>
      <c r="G896" s="1" t="s">
        <v>52</v>
      </c>
      <c r="H896" s="2">
        <v>45713</v>
      </c>
      <c r="I896" s="2">
        <v>45726</v>
      </c>
      <c r="J896" s="1">
        <v>22198.3</v>
      </c>
      <c r="K896" s="1">
        <v>1.0936999999999999</v>
      </c>
      <c r="L896" s="1">
        <v>24278.28</v>
      </c>
      <c r="M896" s="1">
        <v>68104</v>
      </c>
      <c r="N896" s="1">
        <v>8237</v>
      </c>
      <c r="O896" s="1">
        <v>131935.01999999999</v>
      </c>
      <c r="P896" s="1">
        <v>2025</v>
      </c>
      <c r="Q896" s="1" t="s">
        <v>39</v>
      </c>
      <c r="R896" s="1" t="s">
        <v>40</v>
      </c>
    </row>
    <row r="897" spans="1:18" x14ac:dyDescent="0.35">
      <c r="A897" s="3" t="s">
        <v>91</v>
      </c>
      <c r="B897" s="3"/>
      <c r="C897" s="1" t="s">
        <v>35</v>
      </c>
      <c r="D897" s="1" t="s">
        <v>29</v>
      </c>
      <c r="E897" s="1" t="s">
        <v>43</v>
      </c>
      <c r="F897" s="1" t="s">
        <v>30</v>
      </c>
      <c r="G897" s="1" t="s">
        <v>44</v>
      </c>
      <c r="H897" s="2">
        <v>45714</v>
      </c>
      <c r="I897" s="2">
        <v>45745</v>
      </c>
      <c r="J897" s="1">
        <v>41343.629999999997</v>
      </c>
      <c r="K897" s="1">
        <v>9.7799999999999998E-2</v>
      </c>
      <c r="L897" s="1">
        <v>4043.41</v>
      </c>
      <c r="M897" s="1">
        <v>342427</v>
      </c>
      <c r="N897" s="1">
        <v>42196</v>
      </c>
      <c r="O897" s="1">
        <v>23170.43</v>
      </c>
      <c r="P897" s="1">
        <v>2025</v>
      </c>
      <c r="Q897" s="1" t="s">
        <v>39</v>
      </c>
      <c r="R897" s="1" t="s">
        <v>40</v>
      </c>
    </row>
    <row r="898" spans="1:18" x14ac:dyDescent="0.35">
      <c r="A898" s="3" t="s">
        <v>75</v>
      </c>
      <c r="B898" s="3"/>
      <c r="C898" s="1" t="s">
        <v>35</v>
      </c>
      <c r="D898" s="1" t="s">
        <v>29</v>
      </c>
      <c r="E898" s="1" t="s">
        <v>37</v>
      </c>
      <c r="F898" s="1" t="s">
        <v>38</v>
      </c>
      <c r="G898" s="1" t="s">
        <v>49</v>
      </c>
      <c r="H898" s="2">
        <v>45716</v>
      </c>
      <c r="I898" s="2">
        <v>45776</v>
      </c>
      <c r="J898" s="1">
        <v>20546.95</v>
      </c>
      <c r="K898" s="1">
        <v>3.44E-2</v>
      </c>
      <c r="L898" s="1">
        <v>706.82</v>
      </c>
      <c r="M898" s="1">
        <v>228337</v>
      </c>
      <c r="N898" s="1">
        <v>10778</v>
      </c>
      <c r="O898" s="1">
        <v>100183.21</v>
      </c>
      <c r="P898" s="1">
        <v>2025</v>
      </c>
      <c r="Q898" s="1" t="s">
        <v>39</v>
      </c>
      <c r="R898" s="1" t="s">
        <v>40</v>
      </c>
    </row>
    <row r="899" spans="1:18" x14ac:dyDescent="0.35">
      <c r="A899" s="3" t="s">
        <v>89</v>
      </c>
      <c r="B899" s="3"/>
      <c r="C899" s="1" t="s">
        <v>19</v>
      </c>
      <c r="D899" s="1" t="s">
        <v>58</v>
      </c>
      <c r="E899" s="1" t="s">
        <v>21</v>
      </c>
      <c r="F899" s="1" t="s">
        <v>30</v>
      </c>
      <c r="G899" s="1" t="s">
        <v>52</v>
      </c>
      <c r="H899" s="2">
        <v>45716</v>
      </c>
      <c r="I899" s="2">
        <v>45769</v>
      </c>
      <c r="J899" s="1">
        <v>36390.019999999997</v>
      </c>
      <c r="K899" s="1">
        <v>0.61639999999999995</v>
      </c>
      <c r="L899" s="1">
        <v>22430.81</v>
      </c>
      <c r="M899" s="1">
        <v>522357</v>
      </c>
      <c r="N899" s="1">
        <v>41714</v>
      </c>
      <c r="O899" s="1">
        <v>173679.9</v>
      </c>
      <c r="P899" s="1">
        <v>2025</v>
      </c>
      <c r="Q899" s="1" t="s">
        <v>39</v>
      </c>
      <c r="R899" s="1" t="s">
        <v>40</v>
      </c>
    </row>
    <row r="900" spans="1:18" x14ac:dyDescent="0.35">
      <c r="A900" s="3" t="s">
        <v>105</v>
      </c>
      <c r="B900" s="3"/>
      <c r="C900" s="1" t="s">
        <v>28</v>
      </c>
      <c r="D900" s="1" t="s">
        <v>36</v>
      </c>
      <c r="E900" s="1" t="s">
        <v>37</v>
      </c>
      <c r="F900" s="1" t="s">
        <v>30</v>
      </c>
      <c r="G900" s="1" t="s">
        <v>31</v>
      </c>
      <c r="H900" s="2">
        <v>45717</v>
      </c>
      <c r="I900" s="2">
        <v>45773</v>
      </c>
      <c r="J900" s="1">
        <v>45946.15</v>
      </c>
      <c r="K900" s="1">
        <v>0.95679999999999998</v>
      </c>
      <c r="L900" s="1">
        <v>43961.279999999999</v>
      </c>
      <c r="M900" s="1">
        <v>120553</v>
      </c>
      <c r="N900" s="1">
        <v>11503</v>
      </c>
      <c r="O900" s="1">
        <v>183399.97</v>
      </c>
      <c r="P900" s="1">
        <v>2025</v>
      </c>
      <c r="Q900" s="1" t="s">
        <v>60</v>
      </c>
      <c r="R900" s="1" t="s">
        <v>40</v>
      </c>
    </row>
    <row r="901" spans="1:18" x14ac:dyDescent="0.35">
      <c r="A901" s="3" t="s">
        <v>82</v>
      </c>
      <c r="B901" s="3"/>
      <c r="C901" s="1" t="s">
        <v>28</v>
      </c>
      <c r="D901" s="1" t="s">
        <v>20</v>
      </c>
      <c r="E901" s="1" t="s">
        <v>37</v>
      </c>
      <c r="F901" s="1" t="s">
        <v>38</v>
      </c>
      <c r="G901" s="1" t="s">
        <v>31</v>
      </c>
      <c r="H901" s="2">
        <v>45719</v>
      </c>
      <c r="I901" s="2">
        <v>45731</v>
      </c>
      <c r="J901" s="1">
        <v>42477.56</v>
      </c>
      <c r="K901" s="1">
        <v>1.0342</v>
      </c>
      <c r="L901" s="1">
        <v>43930.29</v>
      </c>
      <c r="M901" s="1">
        <v>86054</v>
      </c>
      <c r="N901" s="1">
        <v>24583</v>
      </c>
      <c r="O901" s="1">
        <v>177611.81</v>
      </c>
      <c r="P901" s="1">
        <v>2025</v>
      </c>
      <c r="Q901" s="1" t="s">
        <v>60</v>
      </c>
      <c r="R901" s="1" t="s">
        <v>40</v>
      </c>
    </row>
    <row r="902" spans="1:18" x14ac:dyDescent="0.35">
      <c r="A902" s="3" t="s">
        <v>68</v>
      </c>
      <c r="B902" s="3"/>
      <c r="C902" s="1" t="s">
        <v>48</v>
      </c>
      <c r="D902" s="1" t="s">
        <v>58</v>
      </c>
      <c r="E902" s="1" t="s">
        <v>21</v>
      </c>
      <c r="F902" s="1" t="s">
        <v>38</v>
      </c>
      <c r="G902" s="1" t="s">
        <v>44</v>
      </c>
      <c r="H902" s="2">
        <v>45720</v>
      </c>
      <c r="I902" s="2">
        <v>45768</v>
      </c>
      <c r="J902" s="1">
        <v>32812.36</v>
      </c>
      <c r="K902" s="1">
        <v>0.63119999999999998</v>
      </c>
      <c r="L902" s="1">
        <v>20711.16</v>
      </c>
      <c r="M902" s="1">
        <v>398368</v>
      </c>
      <c r="N902" s="1">
        <v>2946</v>
      </c>
      <c r="O902" s="1">
        <v>175922.49</v>
      </c>
      <c r="P902" s="1">
        <v>2025</v>
      </c>
      <c r="Q902" s="1" t="s">
        <v>60</v>
      </c>
      <c r="R902" s="1" t="s">
        <v>40</v>
      </c>
    </row>
    <row r="903" spans="1:18" x14ac:dyDescent="0.35">
      <c r="A903" s="3" t="s">
        <v>77</v>
      </c>
      <c r="B903" s="3"/>
      <c r="C903" s="1" t="s">
        <v>19</v>
      </c>
      <c r="D903" s="1" t="s">
        <v>58</v>
      </c>
      <c r="E903" s="1" t="s">
        <v>37</v>
      </c>
      <c r="F903" s="1" t="s">
        <v>38</v>
      </c>
      <c r="G903" s="1" t="s">
        <v>23</v>
      </c>
      <c r="H903" s="2">
        <v>45720</v>
      </c>
      <c r="I903" s="2">
        <v>45755</v>
      </c>
      <c r="J903" s="1">
        <v>38109.370000000003</v>
      </c>
      <c r="K903" s="1">
        <v>6.0600000000000001E-2</v>
      </c>
      <c r="L903" s="1">
        <v>2309.4299999999998</v>
      </c>
      <c r="M903" s="1">
        <v>123054</v>
      </c>
      <c r="N903" s="1">
        <v>2249</v>
      </c>
      <c r="O903" s="1">
        <v>199298.52</v>
      </c>
      <c r="P903" s="1">
        <v>2025</v>
      </c>
      <c r="Q903" s="1" t="s">
        <v>60</v>
      </c>
      <c r="R903" s="1" t="s">
        <v>40</v>
      </c>
    </row>
    <row r="904" spans="1:18" x14ac:dyDescent="0.35">
      <c r="A904" s="3" t="s">
        <v>70</v>
      </c>
      <c r="B904" s="3"/>
      <c r="C904" s="1" t="s">
        <v>28</v>
      </c>
      <c r="D904" s="1" t="s">
        <v>69</v>
      </c>
      <c r="E904" s="1" t="s">
        <v>59</v>
      </c>
      <c r="F904" s="1" t="s">
        <v>30</v>
      </c>
      <c r="G904" s="1" t="s">
        <v>31</v>
      </c>
      <c r="H904" s="2">
        <v>45722</v>
      </c>
      <c r="I904" s="2">
        <v>45755</v>
      </c>
      <c r="J904" s="1">
        <v>1919.47</v>
      </c>
      <c r="K904" s="1">
        <v>0.60229999999999995</v>
      </c>
      <c r="L904" s="1">
        <v>1156.0999999999999</v>
      </c>
      <c r="M904" s="1">
        <v>694578</v>
      </c>
      <c r="N904" s="1">
        <v>42065</v>
      </c>
      <c r="O904" s="1">
        <v>5212.57</v>
      </c>
      <c r="P904" s="1">
        <v>2025</v>
      </c>
      <c r="Q904" s="1" t="s">
        <v>60</v>
      </c>
      <c r="R904" s="1" t="s">
        <v>40</v>
      </c>
    </row>
    <row r="905" spans="1:18" x14ac:dyDescent="0.35">
      <c r="A905" s="3" t="s">
        <v>102</v>
      </c>
      <c r="B905" s="3"/>
      <c r="C905" s="1" t="s">
        <v>35</v>
      </c>
      <c r="D905" s="1" t="s">
        <v>36</v>
      </c>
      <c r="E905" s="1" t="s">
        <v>37</v>
      </c>
      <c r="F905" s="1" t="s">
        <v>38</v>
      </c>
      <c r="G905" s="1" t="s">
        <v>49</v>
      </c>
      <c r="H905" s="2">
        <v>45722</v>
      </c>
      <c r="I905" s="2">
        <v>45753</v>
      </c>
      <c r="J905" s="1">
        <v>34031.15</v>
      </c>
      <c r="K905" s="1">
        <v>0.8024</v>
      </c>
      <c r="L905" s="1">
        <v>27306.59</v>
      </c>
      <c r="M905" s="1">
        <v>644960</v>
      </c>
      <c r="N905" s="1">
        <v>17157</v>
      </c>
      <c r="O905" s="1">
        <v>199984.71</v>
      </c>
      <c r="P905" s="1">
        <v>2025</v>
      </c>
      <c r="Q905" s="1" t="s">
        <v>60</v>
      </c>
      <c r="R905" s="1" t="s">
        <v>40</v>
      </c>
    </row>
    <row r="906" spans="1:18" x14ac:dyDescent="0.35">
      <c r="A906" s="3" t="s">
        <v>62</v>
      </c>
      <c r="B906" s="3"/>
      <c r="C906" s="1" t="s">
        <v>28</v>
      </c>
      <c r="D906" s="1" t="s">
        <v>36</v>
      </c>
      <c r="E906" s="1" t="s">
        <v>37</v>
      </c>
      <c r="F906" s="1" t="s">
        <v>22</v>
      </c>
      <c r="G906" s="1" t="s">
        <v>44</v>
      </c>
      <c r="H906" s="2">
        <v>45723</v>
      </c>
      <c r="I906" s="2">
        <v>45745</v>
      </c>
      <c r="J906" s="1">
        <v>8170.15</v>
      </c>
      <c r="K906" s="1">
        <v>0.9597</v>
      </c>
      <c r="L906" s="1">
        <v>7840.89</v>
      </c>
      <c r="M906" s="1">
        <v>296939</v>
      </c>
      <c r="N906" s="1">
        <v>746</v>
      </c>
      <c r="O906" s="1">
        <v>28996.98</v>
      </c>
      <c r="P906" s="1">
        <v>2025</v>
      </c>
      <c r="Q906" s="1" t="s">
        <v>60</v>
      </c>
      <c r="R906" s="1" t="s">
        <v>40</v>
      </c>
    </row>
    <row r="907" spans="1:18" x14ac:dyDescent="0.35">
      <c r="A907" s="3" t="s">
        <v>78</v>
      </c>
      <c r="B907" s="3"/>
      <c r="C907" s="1" t="s">
        <v>35</v>
      </c>
      <c r="D907" s="1" t="s">
        <v>58</v>
      </c>
      <c r="E907" s="1" t="s">
        <v>51</v>
      </c>
      <c r="F907" s="1" t="s">
        <v>38</v>
      </c>
      <c r="G907" s="1" t="s">
        <v>52</v>
      </c>
      <c r="H907" s="2">
        <v>45723</v>
      </c>
      <c r="I907" s="2">
        <v>45738</v>
      </c>
      <c r="J907" s="1">
        <v>1765.89</v>
      </c>
      <c r="K907" s="1">
        <v>0.58950000000000002</v>
      </c>
      <c r="L907" s="1">
        <v>1040.99</v>
      </c>
      <c r="M907" s="1">
        <v>16658</v>
      </c>
      <c r="N907" s="1">
        <v>573</v>
      </c>
      <c r="O907" s="1">
        <v>48956.15</v>
      </c>
      <c r="P907" s="1">
        <v>2025</v>
      </c>
      <c r="Q907" s="1" t="s">
        <v>60</v>
      </c>
      <c r="R907" s="1" t="s">
        <v>40</v>
      </c>
    </row>
    <row r="908" spans="1:18" x14ac:dyDescent="0.35">
      <c r="A908" s="3" t="s">
        <v>84</v>
      </c>
      <c r="B908" s="3"/>
      <c r="C908" s="1" t="s">
        <v>48</v>
      </c>
      <c r="D908" s="1" t="s">
        <v>36</v>
      </c>
      <c r="E908" s="1" t="s">
        <v>21</v>
      </c>
      <c r="F908" s="1" t="s">
        <v>22</v>
      </c>
      <c r="G908" s="1" t="s">
        <v>49</v>
      </c>
      <c r="H908" s="2">
        <v>45724</v>
      </c>
      <c r="I908" s="2">
        <v>45756</v>
      </c>
      <c r="J908" s="1">
        <v>11723.22</v>
      </c>
      <c r="K908" s="1">
        <v>0.96689999999999998</v>
      </c>
      <c r="L908" s="1">
        <v>11335.18</v>
      </c>
      <c r="M908" s="1">
        <v>739716</v>
      </c>
      <c r="N908" s="1">
        <v>34044</v>
      </c>
      <c r="O908" s="1">
        <v>118814.72</v>
      </c>
      <c r="P908" s="1">
        <v>2025</v>
      </c>
      <c r="Q908" s="1" t="s">
        <v>60</v>
      </c>
      <c r="R908" s="1" t="s">
        <v>40</v>
      </c>
    </row>
    <row r="909" spans="1:18" x14ac:dyDescent="0.35">
      <c r="A909" s="3" t="s">
        <v>50</v>
      </c>
      <c r="B909" s="3"/>
      <c r="C909" s="1" t="s">
        <v>48</v>
      </c>
      <c r="D909" s="1" t="s">
        <v>20</v>
      </c>
      <c r="E909" s="1" t="s">
        <v>59</v>
      </c>
      <c r="F909" s="1" t="s">
        <v>22</v>
      </c>
      <c r="G909" s="1" t="s">
        <v>23</v>
      </c>
      <c r="H909" s="2">
        <v>45724</v>
      </c>
      <c r="I909" s="2">
        <v>45741</v>
      </c>
      <c r="J909" s="1">
        <v>6231.8</v>
      </c>
      <c r="K909" s="1">
        <v>0.2298</v>
      </c>
      <c r="L909" s="1">
        <v>1432.07</v>
      </c>
      <c r="M909" s="1">
        <v>809484</v>
      </c>
      <c r="N909" s="1">
        <v>40206</v>
      </c>
      <c r="O909" s="1">
        <v>156151.89000000001</v>
      </c>
      <c r="P909" s="1">
        <v>2025</v>
      </c>
      <c r="Q909" s="1" t="s">
        <v>60</v>
      </c>
      <c r="R909" s="1" t="s">
        <v>40</v>
      </c>
    </row>
    <row r="910" spans="1:18" x14ac:dyDescent="0.35">
      <c r="A910" s="3" t="s">
        <v>27</v>
      </c>
      <c r="B910" s="3"/>
      <c r="C910" s="1" t="s">
        <v>19</v>
      </c>
      <c r="D910" s="1" t="s">
        <v>36</v>
      </c>
      <c r="E910" s="1" t="s">
        <v>63</v>
      </c>
      <c r="F910" s="1" t="s">
        <v>38</v>
      </c>
      <c r="G910" s="1" t="s">
        <v>44</v>
      </c>
      <c r="H910" s="2">
        <v>45725</v>
      </c>
      <c r="I910" s="2">
        <v>45765</v>
      </c>
      <c r="J910" s="1">
        <v>15341.49</v>
      </c>
      <c r="K910" s="1">
        <v>0.78779999999999994</v>
      </c>
      <c r="L910" s="1">
        <v>12086.03</v>
      </c>
      <c r="M910" s="1">
        <v>562436</v>
      </c>
      <c r="N910" s="1">
        <v>17633</v>
      </c>
      <c r="O910" s="1">
        <v>83120.44</v>
      </c>
      <c r="P910" s="1">
        <v>2025</v>
      </c>
      <c r="Q910" s="1" t="s">
        <v>60</v>
      </c>
      <c r="R910" s="1" t="s">
        <v>40</v>
      </c>
    </row>
    <row r="911" spans="1:18" x14ac:dyDescent="0.35">
      <c r="A911" s="3" t="s">
        <v>78</v>
      </c>
      <c r="B911" s="3"/>
      <c r="C911" s="1" t="s">
        <v>28</v>
      </c>
      <c r="D911" s="1" t="s">
        <v>20</v>
      </c>
      <c r="E911" s="1" t="s">
        <v>63</v>
      </c>
      <c r="F911" s="1" t="s">
        <v>38</v>
      </c>
      <c r="G911" s="1" t="s">
        <v>52</v>
      </c>
      <c r="H911" s="2">
        <v>45726</v>
      </c>
      <c r="I911" s="2">
        <v>45749</v>
      </c>
      <c r="J911" s="1">
        <v>18400.34</v>
      </c>
      <c r="K911" s="1">
        <v>0.81110000000000004</v>
      </c>
      <c r="L911" s="1">
        <v>14924.52</v>
      </c>
      <c r="M911" s="1">
        <v>521174</v>
      </c>
      <c r="N911" s="1">
        <v>48368</v>
      </c>
      <c r="O911" s="1">
        <v>114497.88</v>
      </c>
      <c r="P911" s="1">
        <v>2025</v>
      </c>
      <c r="Q911" s="1" t="s">
        <v>60</v>
      </c>
      <c r="R911" s="1" t="s">
        <v>40</v>
      </c>
    </row>
    <row r="912" spans="1:18" x14ac:dyDescent="0.35">
      <c r="A912" s="3" t="s">
        <v>70</v>
      </c>
      <c r="B912" s="3"/>
      <c r="C912" s="1" t="s">
        <v>48</v>
      </c>
      <c r="D912" s="1" t="s">
        <v>20</v>
      </c>
      <c r="E912" s="1" t="s">
        <v>59</v>
      </c>
      <c r="F912" s="1" t="s">
        <v>22</v>
      </c>
      <c r="G912" s="1" t="s">
        <v>49</v>
      </c>
      <c r="H912" s="2">
        <v>45727</v>
      </c>
      <c r="I912" s="2">
        <v>45773</v>
      </c>
      <c r="J912" s="1">
        <v>35067.1</v>
      </c>
      <c r="K912" s="1">
        <v>0.3513</v>
      </c>
      <c r="L912" s="1">
        <v>12319.07</v>
      </c>
      <c r="M912" s="1">
        <v>173459</v>
      </c>
      <c r="N912" s="1">
        <v>4032</v>
      </c>
      <c r="O912" s="1">
        <v>220883.5</v>
      </c>
      <c r="P912" s="1">
        <v>2025</v>
      </c>
      <c r="Q912" s="1" t="s">
        <v>60</v>
      </c>
      <c r="R912" s="1" t="s">
        <v>40</v>
      </c>
    </row>
    <row r="913" spans="1:18" x14ac:dyDescent="0.35">
      <c r="A913" s="3" t="s">
        <v>57</v>
      </c>
      <c r="B913" s="3"/>
      <c r="C913" s="1" t="s">
        <v>48</v>
      </c>
      <c r="D913" s="1" t="s">
        <v>29</v>
      </c>
      <c r="E913" s="1" t="s">
        <v>63</v>
      </c>
      <c r="F913" s="1" t="s">
        <v>22</v>
      </c>
      <c r="G913" s="1" t="s">
        <v>23</v>
      </c>
      <c r="H913" s="2">
        <v>45729</v>
      </c>
      <c r="I913" s="2">
        <v>45784</v>
      </c>
      <c r="J913" s="1">
        <v>23295.41</v>
      </c>
      <c r="K913" s="1">
        <v>0.51339999999999997</v>
      </c>
      <c r="L913" s="1">
        <v>11959.86</v>
      </c>
      <c r="M913" s="1">
        <v>775990</v>
      </c>
      <c r="N913" s="1">
        <v>36522</v>
      </c>
      <c r="O913" s="1">
        <v>167158.47</v>
      </c>
      <c r="P913" s="1">
        <v>2025</v>
      </c>
      <c r="Q913" s="1" t="s">
        <v>60</v>
      </c>
      <c r="R913" s="1" t="s">
        <v>40</v>
      </c>
    </row>
    <row r="914" spans="1:18" x14ac:dyDescent="0.35">
      <c r="A914" s="3" t="s">
        <v>77</v>
      </c>
      <c r="B914" s="3"/>
      <c r="C914" s="1" t="s">
        <v>48</v>
      </c>
      <c r="D914" s="1" t="s">
        <v>58</v>
      </c>
      <c r="E914" s="1" t="s">
        <v>43</v>
      </c>
      <c r="F914" s="1" t="s">
        <v>30</v>
      </c>
      <c r="G914" s="1" t="s">
        <v>49</v>
      </c>
      <c r="H914" s="2">
        <v>45729</v>
      </c>
      <c r="I914" s="2">
        <v>45779</v>
      </c>
      <c r="J914" s="1">
        <v>16575.09</v>
      </c>
      <c r="K914" s="1">
        <v>0.27179999999999999</v>
      </c>
      <c r="L914" s="1">
        <v>4505.1099999999997</v>
      </c>
      <c r="M914" s="1">
        <v>202800</v>
      </c>
      <c r="N914" s="1">
        <v>34218</v>
      </c>
      <c r="O914" s="1">
        <v>21703.23</v>
      </c>
      <c r="P914" s="1">
        <v>2025</v>
      </c>
      <c r="Q914" s="1" t="s">
        <v>60</v>
      </c>
      <c r="R914" s="1" t="s">
        <v>40</v>
      </c>
    </row>
    <row r="915" spans="1:18" x14ac:dyDescent="0.35">
      <c r="A915" s="3" t="s">
        <v>82</v>
      </c>
      <c r="B915" s="3"/>
      <c r="C915" s="1" t="s">
        <v>19</v>
      </c>
      <c r="D915" s="1" t="s">
        <v>20</v>
      </c>
      <c r="E915" s="1" t="s">
        <v>21</v>
      </c>
      <c r="F915" s="1" t="s">
        <v>22</v>
      </c>
      <c r="G915" s="1" t="s">
        <v>44</v>
      </c>
      <c r="H915" s="2">
        <v>45730</v>
      </c>
      <c r="I915" s="2">
        <v>45762</v>
      </c>
      <c r="J915" s="1">
        <v>28793.35</v>
      </c>
      <c r="K915" s="1">
        <v>0.41720000000000002</v>
      </c>
      <c r="L915" s="1">
        <v>12012.59</v>
      </c>
      <c r="M915" s="1">
        <v>737851</v>
      </c>
      <c r="N915" s="1">
        <v>15576</v>
      </c>
      <c r="O915" s="1">
        <v>47405.94</v>
      </c>
      <c r="P915" s="1">
        <v>2025</v>
      </c>
      <c r="Q915" s="1" t="s">
        <v>60</v>
      </c>
      <c r="R915" s="1" t="s">
        <v>40</v>
      </c>
    </row>
    <row r="916" spans="1:18" x14ac:dyDescent="0.35">
      <c r="A916" s="3" t="s">
        <v>34</v>
      </c>
      <c r="B916" s="3"/>
      <c r="C916" s="1" t="s">
        <v>28</v>
      </c>
      <c r="D916" s="1" t="s">
        <v>29</v>
      </c>
      <c r="E916" s="1" t="s">
        <v>59</v>
      </c>
      <c r="F916" s="1" t="s">
        <v>38</v>
      </c>
      <c r="G916" s="1" t="s">
        <v>52</v>
      </c>
      <c r="H916" s="2">
        <v>45731</v>
      </c>
      <c r="I916" s="2">
        <v>45769</v>
      </c>
      <c r="J916" s="1">
        <v>16617.990000000002</v>
      </c>
      <c r="K916" s="1">
        <v>0.50539999999999996</v>
      </c>
      <c r="L916" s="1">
        <v>8398.73</v>
      </c>
      <c r="M916" s="1">
        <v>166466</v>
      </c>
      <c r="N916" s="1">
        <v>19753</v>
      </c>
      <c r="O916" s="1">
        <v>97232.75</v>
      </c>
      <c r="P916" s="1">
        <v>2025</v>
      </c>
      <c r="Q916" s="1" t="s">
        <v>60</v>
      </c>
      <c r="R916" s="1" t="s">
        <v>40</v>
      </c>
    </row>
    <row r="917" spans="1:18" x14ac:dyDescent="0.35">
      <c r="A917" s="3" t="s">
        <v>114</v>
      </c>
      <c r="B917" s="3"/>
      <c r="C917" s="1" t="s">
        <v>35</v>
      </c>
      <c r="D917" s="1" t="s">
        <v>29</v>
      </c>
      <c r="E917" s="1" t="s">
        <v>51</v>
      </c>
      <c r="F917" s="1" t="s">
        <v>38</v>
      </c>
      <c r="G917" s="1" t="s">
        <v>31</v>
      </c>
      <c r="H917" s="2">
        <v>45731</v>
      </c>
      <c r="I917" s="2">
        <v>45753</v>
      </c>
      <c r="J917" s="1">
        <v>46403.69</v>
      </c>
      <c r="K917" s="1">
        <v>0.12709999999999999</v>
      </c>
      <c r="L917" s="1">
        <v>5897.91</v>
      </c>
      <c r="M917" s="1">
        <v>84814</v>
      </c>
      <c r="N917" s="1">
        <v>23708</v>
      </c>
      <c r="O917" s="1">
        <v>14378.94</v>
      </c>
      <c r="P917" s="1">
        <v>2025</v>
      </c>
      <c r="Q917" s="1" t="s">
        <v>60</v>
      </c>
      <c r="R917" s="1" t="s">
        <v>40</v>
      </c>
    </row>
    <row r="918" spans="1:18" x14ac:dyDescent="0.35">
      <c r="A918" s="3" t="s">
        <v>97</v>
      </c>
      <c r="B918" s="3"/>
      <c r="C918" s="1" t="s">
        <v>35</v>
      </c>
      <c r="D918" s="1" t="s">
        <v>20</v>
      </c>
      <c r="E918" s="1" t="s">
        <v>59</v>
      </c>
      <c r="F918" s="1" t="s">
        <v>38</v>
      </c>
      <c r="G918" s="1" t="s">
        <v>23</v>
      </c>
      <c r="H918" s="2">
        <v>45735</v>
      </c>
      <c r="I918" s="2">
        <v>45780</v>
      </c>
      <c r="J918" s="1">
        <v>32717.96</v>
      </c>
      <c r="K918" s="1">
        <v>8.8400000000000006E-2</v>
      </c>
      <c r="L918" s="1">
        <v>2892.27</v>
      </c>
      <c r="M918" s="1">
        <v>109096</v>
      </c>
      <c r="N918" s="1">
        <v>36666</v>
      </c>
      <c r="O918" s="1">
        <v>171202.94</v>
      </c>
      <c r="P918" s="1">
        <v>2025</v>
      </c>
      <c r="Q918" s="1" t="s">
        <v>60</v>
      </c>
      <c r="R918" s="1" t="s">
        <v>40</v>
      </c>
    </row>
    <row r="919" spans="1:18" x14ac:dyDescent="0.35">
      <c r="A919" s="3" t="s">
        <v>50</v>
      </c>
      <c r="B919" s="3"/>
      <c r="C919" s="1" t="s">
        <v>48</v>
      </c>
      <c r="D919" s="1" t="s">
        <v>69</v>
      </c>
      <c r="E919" s="1" t="s">
        <v>37</v>
      </c>
      <c r="F919" s="1" t="s">
        <v>22</v>
      </c>
      <c r="G919" s="1" t="s">
        <v>52</v>
      </c>
      <c r="H919" s="2">
        <v>45735</v>
      </c>
      <c r="I919" s="2">
        <v>45755</v>
      </c>
      <c r="J919" s="1">
        <v>1437.56</v>
      </c>
      <c r="K919" s="1">
        <v>0.06</v>
      </c>
      <c r="L919" s="1">
        <v>86.25</v>
      </c>
      <c r="M919" s="1">
        <v>831533</v>
      </c>
      <c r="N919" s="1">
        <v>45369</v>
      </c>
      <c r="O919" s="1">
        <v>121441.32</v>
      </c>
      <c r="P919" s="1">
        <v>2025</v>
      </c>
      <c r="Q919" s="1" t="s">
        <v>60</v>
      </c>
      <c r="R919" s="1" t="s">
        <v>40</v>
      </c>
    </row>
    <row r="920" spans="1:18" x14ac:dyDescent="0.35">
      <c r="A920" s="3" t="s">
        <v>108</v>
      </c>
      <c r="B920" s="3"/>
      <c r="C920" s="1" t="s">
        <v>28</v>
      </c>
      <c r="D920" s="1" t="s">
        <v>58</v>
      </c>
      <c r="E920" s="1" t="s">
        <v>43</v>
      </c>
      <c r="F920" s="1" t="s">
        <v>38</v>
      </c>
      <c r="G920" s="1" t="s">
        <v>23</v>
      </c>
      <c r="H920" s="2">
        <v>45736</v>
      </c>
      <c r="I920" s="2">
        <v>45759</v>
      </c>
      <c r="J920" s="1">
        <v>28821.279999999999</v>
      </c>
      <c r="K920" s="1">
        <v>0.91120000000000001</v>
      </c>
      <c r="L920" s="1">
        <v>26261.95</v>
      </c>
      <c r="M920" s="1">
        <v>194019</v>
      </c>
      <c r="N920" s="1">
        <v>40139</v>
      </c>
      <c r="O920" s="1">
        <v>214755.89</v>
      </c>
      <c r="P920" s="1">
        <v>2025</v>
      </c>
      <c r="Q920" s="1" t="s">
        <v>60</v>
      </c>
      <c r="R920" s="1" t="s">
        <v>40</v>
      </c>
    </row>
    <row r="921" spans="1:18" x14ac:dyDescent="0.35">
      <c r="A921" s="3" t="s">
        <v>89</v>
      </c>
      <c r="B921" s="3"/>
      <c r="C921" s="1" t="s">
        <v>48</v>
      </c>
      <c r="D921" s="1" t="s">
        <v>36</v>
      </c>
      <c r="E921" s="1" t="s">
        <v>63</v>
      </c>
      <c r="F921" s="1" t="s">
        <v>30</v>
      </c>
      <c r="G921" s="1" t="s">
        <v>23</v>
      </c>
      <c r="H921" s="2">
        <v>45737</v>
      </c>
      <c r="I921" s="2">
        <v>45773</v>
      </c>
      <c r="J921" s="1">
        <v>3071.97</v>
      </c>
      <c r="K921" s="1">
        <v>0.34689999999999999</v>
      </c>
      <c r="L921" s="1">
        <v>1065.67</v>
      </c>
      <c r="M921" s="1">
        <v>35422</v>
      </c>
      <c r="N921" s="1">
        <v>15173</v>
      </c>
      <c r="O921" s="1">
        <v>159731.1</v>
      </c>
      <c r="P921" s="1">
        <v>2025</v>
      </c>
      <c r="Q921" s="1" t="s">
        <v>60</v>
      </c>
      <c r="R921" s="1" t="s">
        <v>40</v>
      </c>
    </row>
    <row r="922" spans="1:18" x14ac:dyDescent="0.35">
      <c r="A922" s="3" t="s">
        <v>62</v>
      </c>
      <c r="B922" s="3"/>
      <c r="C922" s="1" t="s">
        <v>19</v>
      </c>
      <c r="D922" s="1" t="s">
        <v>20</v>
      </c>
      <c r="E922" s="1" t="s">
        <v>51</v>
      </c>
      <c r="F922" s="1" t="s">
        <v>38</v>
      </c>
      <c r="G922" s="1" t="s">
        <v>52</v>
      </c>
      <c r="H922" s="2">
        <v>45738</v>
      </c>
      <c r="I922" s="2">
        <v>45773</v>
      </c>
      <c r="J922" s="1">
        <v>44471.43</v>
      </c>
      <c r="K922" s="1">
        <v>1.7899999999999999E-2</v>
      </c>
      <c r="L922" s="1">
        <v>796.04</v>
      </c>
      <c r="M922" s="1">
        <v>934879</v>
      </c>
      <c r="N922" s="1">
        <v>9207</v>
      </c>
      <c r="O922" s="1">
        <v>112775.18</v>
      </c>
      <c r="P922" s="1">
        <v>2025</v>
      </c>
      <c r="Q922" s="1" t="s">
        <v>60</v>
      </c>
      <c r="R922" s="1" t="s">
        <v>40</v>
      </c>
    </row>
    <row r="923" spans="1:18" x14ac:dyDescent="0.35">
      <c r="A923" s="3" t="s">
        <v>55</v>
      </c>
      <c r="B923" s="3"/>
      <c r="C923" s="1" t="s">
        <v>35</v>
      </c>
      <c r="D923" s="1" t="s">
        <v>36</v>
      </c>
      <c r="E923" s="1" t="s">
        <v>59</v>
      </c>
      <c r="F923" s="1" t="s">
        <v>30</v>
      </c>
      <c r="G923" s="1" t="s">
        <v>23</v>
      </c>
      <c r="H923" s="2">
        <v>45740</v>
      </c>
      <c r="I923" s="2">
        <v>45790</v>
      </c>
      <c r="J923" s="1">
        <v>3856.7</v>
      </c>
      <c r="K923" s="1">
        <v>0.74419999999999997</v>
      </c>
      <c r="L923" s="1">
        <v>2870.16</v>
      </c>
      <c r="M923" s="1">
        <v>564718</v>
      </c>
      <c r="N923" s="1">
        <v>2764</v>
      </c>
      <c r="O923" s="1">
        <v>184903.58</v>
      </c>
      <c r="P923" s="1">
        <v>2025</v>
      </c>
      <c r="Q923" s="1" t="s">
        <v>60</v>
      </c>
      <c r="R923" s="1" t="s">
        <v>40</v>
      </c>
    </row>
    <row r="924" spans="1:18" x14ac:dyDescent="0.35">
      <c r="A924" s="3" t="s">
        <v>81</v>
      </c>
      <c r="B924" s="3"/>
      <c r="C924" s="1" t="s">
        <v>35</v>
      </c>
      <c r="D924" s="1" t="s">
        <v>36</v>
      </c>
      <c r="E924" s="1" t="s">
        <v>43</v>
      </c>
      <c r="F924" s="1" t="s">
        <v>30</v>
      </c>
      <c r="G924" s="1" t="s">
        <v>52</v>
      </c>
      <c r="H924" s="2">
        <v>45742</v>
      </c>
      <c r="I924" s="2">
        <v>45798</v>
      </c>
      <c r="J924" s="1">
        <v>42623.9</v>
      </c>
      <c r="K924" s="1">
        <v>0.36099999999999999</v>
      </c>
      <c r="L924" s="1">
        <v>15387.23</v>
      </c>
      <c r="M924" s="1">
        <v>674845</v>
      </c>
      <c r="N924" s="1">
        <v>9542</v>
      </c>
      <c r="O924" s="1">
        <v>78023.839999999997</v>
      </c>
      <c r="P924" s="1">
        <v>2025</v>
      </c>
      <c r="Q924" s="1" t="s">
        <v>60</v>
      </c>
      <c r="R924" s="1" t="s">
        <v>40</v>
      </c>
    </row>
    <row r="925" spans="1:18" x14ac:dyDescent="0.35">
      <c r="A925" s="3" t="s">
        <v>87</v>
      </c>
      <c r="B925" s="3"/>
      <c r="C925" s="1" t="s">
        <v>48</v>
      </c>
      <c r="D925" s="1" t="s">
        <v>58</v>
      </c>
      <c r="E925" s="1" t="s">
        <v>43</v>
      </c>
      <c r="F925" s="1" t="s">
        <v>38</v>
      </c>
      <c r="G925" s="1" t="s">
        <v>49</v>
      </c>
      <c r="H925" s="2">
        <v>45743</v>
      </c>
      <c r="I925" s="2">
        <v>45773</v>
      </c>
      <c r="J925" s="1">
        <v>31858.26</v>
      </c>
      <c r="K925" s="1">
        <v>0.23180000000000001</v>
      </c>
      <c r="L925" s="1">
        <v>7384.74</v>
      </c>
      <c r="M925" s="1">
        <v>699237</v>
      </c>
      <c r="N925" s="1">
        <v>28420</v>
      </c>
      <c r="O925" s="1">
        <v>101917.68</v>
      </c>
      <c r="P925" s="1">
        <v>2025</v>
      </c>
      <c r="Q925" s="1" t="s">
        <v>60</v>
      </c>
      <c r="R925" s="1" t="s">
        <v>40</v>
      </c>
    </row>
    <row r="926" spans="1:18" x14ac:dyDescent="0.35">
      <c r="A926" s="3" t="s">
        <v>27</v>
      </c>
      <c r="B926" s="3"/>
      <c r="C926" s="1" t="s">
        <v>35</v>
      </c>
      <c r="D926" s="1" t="s">
        <v>58</v>
      </c>
      <c r="E926" s="1" t="s">
        <v>21</v>
      </c>
      <c r="F926" s="1" t="s">
        <v>30</v>
      </c>
      <c r="G926" s="1" t="s">
        <v>23</v>
      </c>
      <c r="H926" s="2">
        <v>45743</v>
      </c>
      <c r="I926" s="2">
        <v>45750</v>
      </c>
      <c r="J926" s="1">
        <v>32636.959999999999</v>
      </c>
      <c r="K926" s="1">
        <v>0.58299999999999996</v>
      </c>
      <c r="L926" s="1">
        <v>19027.349999999999</v>
      </c>
      <c r="M926" s="1">
        <v>667667</v>
      </c>
      <c r="N926" s="1">
        <v>30287</v>
      </c>
      <c r="O926" s="1">
        <v>223554.29</v>
      </c>
      <c r="P926" s="1">
        <v>2025</v>
      </c>
      <c r="Q926" s="1" t="s">
        <v>60</v>
      </c>
      <c r="R926" s="1" t="s">
        <v>40</v>
      </c>
    </row>
    <row r="927" spans="1:18" x14ac:dyDescent="0.35">
      <c r="A927" s="3" t="s">
        <v>81</v>
      </c>
      <c r="B927" s="3"/>
      <c r="C927" s="1" t="s">
        <v>28</v>
      </c>
      <c r="D927" s="1" t="s">
        <v>58</v>
      </c>
      <c r="E927" s="1" t="s">
        <v>59</v>
      </c>
      <c r="F927" s="1" t="s">
        <v>22</v>
      </c>
      <c r="G927" s="1" t="s">
        <v>49</v>
      </c>
      <c r="H927" s="2">
        <v>45744</v>
      </c>
      <c r="I927" s="2">
        <v>45767</v>
      </c>
      <c r="J927" s="1">
        <v>30253.18</v>
      </c>
      <c r="K927" s="1">
        <v>0.95820000000000005</v>
      </c>
      <c r="L927" s="1">
        <v>28988.6</v>
      </c>
      <c r="M927" s="1">
        <v>584842</v>
      </c>
      <c r="N927" s="1">
        <v>24587</v>
      </c>
      <c r="O927" s="1">
        <v>51199.89</v>
      </c>
      <c r="P927" s="1">
        <v>2025</v>
      </c>
      <c r="Q927" s="1" t="s">
        <v>60</v>
      </c>
      <c r="R927" s="1" t="s">
        <v>40</v>
      </c>
    </row>
    <row r="928" spans="1:18" x14ac:dyDescent="0.35">
      <c r="A928" s="3" t="s">
        <v>115</v>
      </c>
      <c r="B928" s="3"/>
      <c r="C928" s="1" t="s">
        <v>35</v>
      </c>
      <c r="D928" s="1" t="s">
        <v>36</v>
      </c>
      <c r="E928" s="1" t="s">
        <v>51</v>
      </c>
      <c r="F928" s="1" t="s">
        <v>38</v>
      </c>
      <c r="G928" s="1" t="s">
        <v>44</v>
      </c>
      <c r="H928" s="2">
        <v>45744</v>
      </c>
      <c r="I928" s="2">
        <v>45767</v>
      </c>
      <c r="J928" s="1">
        <v>15171.21</v>
      </c>
      <c r="K928" s="1">
        <v>5.1999999999999998E-2</v>
      </c>
      <c r="L928" s="1">
        <v>788.9</v>
      </c>
      <c r="M928" s="1">
        <v>977693</v>
      </c>
      <c r="N928" s="1">
        <v>39266</v>
      </c>
      <c r="O928" s="1">
        <v>188609.19</v>
      </c>
      <c r="P928" s="1">
        <v>2025</v>
      </c>
      <c r="Q928" s="1" t="s">
        <v>60</v>
      </c>
      <c r="R928" s="1" t="s">
        <v>40</v>
      </c>
    </row>
    <row r="929" spans="1:18" x14ac:dyDescent="0.35">
      <c r="A929" s="3" t="s">
        <v>71</v>
      </c>
      <c r="B929" s="3"/>
      <c r="C929" s="1" t="s">
        <v>48</v>
      </c>
      <c r="D929" s="1" t="s">
        <v>20</v>
      </c>
      <c r="E929" s="1" t="s">
        <v>63</v>
      </c>
      <c r="F929" s="1" t="s">
        <v>22</v>
      </c>
      <c r="G929" s="1" t="s">
        <v>52</v>
      </c>
      <c r="H929" s="2">
        <v>45744</v>
      </c>
      <c r="I929" s="2">
        <v>45760</v>
      </c>
      <c r="J929" s="1">
        <v>6386.39</v>
      </c>
      <c r="K929" s="1">
        <v>1.0410999999999999</v>
      </c>
      <c r="L929" s="1">
        <v>6648.87</v>
      </c>
      <c r="M929" s="1">
        <v>148205</v>
      </c>
      <c r="N929" s="1">
        <v>1073</v>
      </c>
      <c r="O929" s="1">
        <v>92769.36</v>
      </c>
      <c r="P929" s="1">
        <v>2025</v>
      </c>
      <c r="Q929" s="1" t="s">
        <v>60</v>
      </c>
      <c r="R929" s="1" t="s">
        <v>40</v>
      </c>
    </row>
    <row r="930" spans="1:18" x14ac:dyDescent="0.35">
      <c r="A930" s="3" t="s">
        <v>83</v>
      </c>
      <c r="B930" s="3"/>
      <c r="C930" s="1" t="s">
        <v>48</v>
      </c>
      <c r="D930" s="1" t="s">
        <v>69</v>
      </c>
      <c r="E930" s="1" t="s">
        <v>37</v>
      </c>
      <c r="F930" s="1" t="s">
        <v>38</v>
      </c>
      <c r="G930" s="1" t="s">
        <v>31</v>
      </c>
      <c r="H930" s="2">
        <v>45746</v>
      </c>
      <c r="I930" s="2">
        <v>45771</v>
      </c>
      <c r="J930" s="1">
        <v>21208.87</v>
      </c>
      <c r="K930" s="1">
        <v>0.43020000000000003</v>
      </c>
      <c r="L930" s="1">
        <v>9124.06</v>
      </c>
      <c r="M930" s="1">
        <v>571671</v>
      </c>
      <c r="N930" s="1">
        <v>737</v>
      </c>
      <c r="O930" s="1">
        <v>176700.55</v>
      </c>
      <c r="P930" s="1">
        <v>2025</v>
      </c>
      <c r="Q930" s="1" t="s">
        <v>60</v>
      </c>
      <c r="R930" s="1" t="s">
        <v>40</v>
      </c>
    </row>
    <row r="931" spans="1:18" x14ac:dyDescent="0.35">
      <c r="A931" s="3" t="s">
        <v>120</v>
      </c>
      <c r="B931" s="3"/>
      <c r="C931" s="1" t="s">
        <v>19</v>
      </c>
      <c r="D931" s="1" t="s">
        <v>36</v>
      </c>
      <c r="E931" s="1" t="s">
        <v>43</v>
      </c>
      <c r="F931" s="1" t="s">
        <v>22</v>
      </c>
      <c r="G931" s="1" t="s">
        <v>44</v>
      </c>
      <c r="H931" s="2">
        <v>45747</v>
      </c>
      <c r="I931" s="2">
        <v>45762</v>
      </c>
      <c r="J931" s="1">
        <v>45622.04</v>
      </c>
      <c r="K931" s="1">
        <v>0.40450000000000003</v>
      </c>
      <c r="L931" s="1">
        <v>18454.12</v>
      </c>
      <c r="M931" s="1">
        <v>236088</v>
      </c>
      <c r="N931" s="1">
        <v>36338</v>
      </c>
      <c r="O931" s="1">
        <v>184666.92</v>
      </c>
      <c r="P931" s="1">
        <v>2025</v>
      </c>
      <c r="Q931" s="1" t="s">
        <v>60</v>
      </c>
      <c r="R931" s="1" t="s">
        <v>40</v>
      </c>
    </row>
    <row r="932" spans="1:18" x14ac:dyDescent="0.35">
      <c r="A932" s="3" t="s">
        <v>89</v>
      </c>
      <c r="B932" s="3"/>
      <c r="C932" s="1" t="s">
        <v>48</v>
      </c>
      <c r="D932" s="1" t="s">
        <v>36</v>
      </c>
      <c r="E932" s="1" t="s">
        <v>59</v>
      </c>
      <c r="F932" s="1" t="s">
        <v>38</v>
      </c>
      <c r="G932" s="1" t="s">
        <v>52</v>
      </c>
      <c r="H932" s="2">
        <v>45750</v>
      </c>
      <c r="I932" s="2">
        <v>45774</v>
      </c>
      <c r="J932" s="1">
        <v>5294.12</v>
      </c>
      <c r="K932" s="1">
        <v>0.17080000000000001</v>
      </c>
      <c r="L932" s="1">
        <v>904.24</v>
      </c>
      <c r="M932" s="1">
        <v>210070</v>
      </c>
      <c r="N932" s="1">
        <v>7434</v>
      </c>
      <c r="O932" s="1">
        <v>204912.21</v>
      </c>
      <c r="P932" s="1">
        <v>2025</v>
      </c>
      <c r="Q932" s="1" t="s">
        <v>76</v>
      </c>
      <c r="R932" s="1" t="s">
        <v>46</v>
      </c>
    </row>
    <row r="933" spans="1:18" x14ac:dyDescent="0.35">
      <c r="A933" s="3" t="s">
        <v>55</v>
      </c>
      <c r="B933" s="3"/>
      <c r="C933" s="1" t="s">
        <v>35</v>
      </c>
      <c r="D933" s="1" t="s">
        <v>20</v>
      </c>
      <c r="E933" s="1" t="s">
        <v>51</v>
      </c>
      <c r="F933" s="1" t="s">
        <v>22</v>
      </c>
      <c r="G933" s="1" t="s">
        <v>52</v>
      </c>
      <c r="H933" s="2">
        <v>45751</v>
      </c>
      <c r="I933" s="2">
        <v>45764</v>
      </c>
      <c r="J933" s="1">
        <v>7770.82</v>
      </c>
      <c r="K933" s="1">
        <v>0.72699999999999998</v>
      </c>
      <c r="L933" s="1">
        <v>5649.39</v>
      </c>
      <c r="M933" s="1">
        <v>939496</v>
      </c>
      <c r="N933" s="1">
        <v>49148</v>
      </c>
      <c r="O933" s="1">
        <v>130512.18</v>
      </c>
      <c r="P933" s="1">
        <v>2025</v>
      </c>
      <c r="Q933" s="1" t="s">
        <v>76</v>
      </c>
      <c r="R933" s="1" t="s">
        <v>46</v>
      </c>
    </row>
    <row r="934" spans="1:18" x14ac:dyDescent="0.35">
      <c r="A934" s="3" t="s">
        <v>87</v>
      </c>
      <c r="B934" s="3"/>
      <c r="C934" s="1" t="s">
        <v>19</v>
      </c>
      <c r="D934" s="1" t="s">
        <v>58</v>
      </c>
      <c r="E934" s="1" t="s">
        <v>43</v>
      </c>
      <c r="F934" s="1" t="s">
        <v>30</v>
      </c>
      <c r="G934" s="1" t="s">
        <v>23</v>
      </c>
      <c r="H934" s="2">
        <v>45752</v>
      </c>
      <c r="I934" s="2">
        <v>45810</v>
      </c>
      <c r="J934" s="1">
        <v>6086.79</v>
      </c>
      <c r="K934" s="1">
        <v>0.78310000000000002</v>
      </c>
      <c r="L934" s="1">
        <v>4766.57</v>
      </c>
      <c r="M934" s="1">
        <v>656195</v>
      </c>
      <c r="N934" s="1">
        <v>27053</v>
      </c>
      <c r="O934" s="1">
        <v>30400.45</v>
      </c>
      <c r="P934" s="1">
        <v>2025</v>
      </c>
      <c r="Q934" s="1" t="s">
        <v>76</v>
      </c>
      <c r="R934" s="1" t="s">
        <v>46</v>
      </c>
    </row>
    <row r="935" spans="1:18" x14ac:dyDescent="0.35">
      <c r="A935" s="3" t="s">
        <v>104</v>
      </c>
      <c r="B935" s="3"/>
      <c r="C935" s="1" t="s">
        <v>35</v>
      </c>
      <c r="D935" s="1" t="s">
        <v>69</v>
      </c>
      <c r="E935" s="1" t="s">
        <v>63</v>
      </c>
      <c r="F935" s="1" t="s">
        <v>38</v>
      </c>
      <c r="G935" s="1" t="s">
        <v>23</v>
      </c>
      <c r="H935" s="2">
        <v>45752</v>
      </c>
      <c r="I935" s="2">
        <v>45768</v>
      </c>
      <c r="J935" s="1">
        <v>6243.81</v>
      </c>
      <c r="K935" s="1">
        <v>0.1246</v>
      </c>
      <c r="L935" s="1">
        <v>777.98</v>
      </c>
      <c r="M935" s="1">
        <v>166130</v>
      </c>
      <c r="N935" s="1">
        <v>15892</v>
      </c>
      <c r="O935" s="1">
        <v>52023.35</v>
      </c>
      <c r="P935" s="1">
        <v>2025</v>
      </c>
      <c r="Q935" s="1" t="s">
        <v>76</v>
      </c>
      <c r="R935" s="1" t="s">
        <v>46</v>
      </c>
    </row>
    <row r="936" spans="1:18" x14ac:dyDescent="0.35">
      <c r="A936" s="3" t="s">
        <v>57</v>
      </c>
      <c r="B936" s="3"/>
      <c r="C936" s="1" t="s">
        <v>28</v>
      </c>
      <c r="D936" s="1" t="s">
        <v>20</v>
      </c>
      <c r="E936" s="1" t="s">
        <v>63</v>
      </c>
      <c r="F936" s="1" t="s">
        <v>22</v>
      </c>
      <c r="G936" s="1" t="s">
        <v>49</v>
      </c>
      <c r="H936" s="2">
        <v>45753</v>
      </c>
      <c r="I936" s="2">
        <v>45785</v>
      </c>
      <c r="J936" s="1">
        <v>14327.05</v>
      </c>
      <c r="K936" s="1">
        <v>8.5999999999999993E-2</v>
      </c>
      <c r="L936" s="1">
        <v>1232.1300000000001</v>
      </c>
      <c r="M936" s="1">
        <v>756925</v>
      </c>
      <c r="N936" s="1">
        <v>37891</v>
      </c>
      <c r="O936" s="1">
        <v>158745.54</v>
      </c>
      <c r="P936" s="1">
        <v>2025</v>
      </c>
      <c r="Q936" s="1" t="s">
        <v>76</v>
      </c>
      <c r="R936" s="1" t="s">
        <v>46</v>
      </c>
    </row>
    <row r="937" spans="1:18" x14ac:dyDescent="0.35">
      <c r="A937" s="3" t="s">
        <v>109</v>
      </c>
      <c r="B937" s="3"/>
      <c r="C937" s="1" t="s">
        <v>28</v>
      </c>
      <c r="D937" s="1" t="s">
        <v>69</v>
      </c>
      <c r="E937" s="1" t="s">
        <v>63</v>
      </c>
      <c r="F937" s="1" t="s">
        <v>22</v>
      </c>
      <c r="G937" s="1" t="s">
        <v>31</v>
      </c>
      <c r="H937" s="2">
        <v>45754</v>
      </c>
      <c r="I937" s="2">
        <v>45779</v>
      </c>
      <c r="J937" s="1">
        <v>47974.29</v>
      </c>
      <c r="K937" s="1">
        <v>0.2107</v>
      </c>
      <c r="L937" s="1">
        <v>10108.18</v>
      </c>
      <c r="M937" s="1">
        <v>338429</v>
      </c>
      <c r="N937" s="1">
        <v>16233</v>
      </c>
      <c r="O937" s="1">
        <v>197486.73</v>
      </c>
      <c r="P937" s="1">
        <v>2025</v>
      </c>
      <c r="Q937" s="1" t="s">
        <v>76</v>
      </c>
      <c r="R937" s="1" t="s">
        <v>46</v>
      </c>
    </row>
    <row r="938" spans="1:18" x14ac:dyDescent="0.35">
      <c r="A938" s="3" t="s">
        <v>86</v>
      </c>
      <c r="B938" s="3"/>
      <c r="C938" s="1" t="s">
        <v>28</v>
      </c>
      <c r="D938" s="1" t="s">
        <v>36</v>
      </c>
      <c r="E938" s="1" t="s">
        <v>51</v>
      </c>
      <c r="F938" s="1" t="s">
        <v>22</v>
      </c>
      <c r="G938" s="1" t="s">
        <v>44</v>
      </c>
      <c r="H938" s="2">
        <v>45754</v>
      </c>
      <c r="I938" s="2">
        <v>45770</v>
      </c>
      <c r="J938" s="1">
        <v>44299.519999999997</v>
      </c>
      <c r="K938" s="1">
        <v>0.28689999999999999</v>
      </c>
      <c r="L938" s="1">
        <v>12709.53</v>
      </c>
      <c r="M938" s="1">
        <v>314598</v>
      </c>
      <c r="N938" s="1">
        <v>12784</v>
      </c>
      <c r="O938" s="1">
        <v>5387.32</v>
      </c>
      <c r="P938" s="1">
        <v>2025</v>
      </c>
      <c r="Q938" s="1" t="s">
        <v>76</v>
      </c>
      <c r="R938" s="1" t="s">
        <v>46</v>
      </c>
    </row>
    <row r="939" spans="1:18" x14ac:dyDescent="0.35">
      <c r="A939" s="3" t="s">
        <v>87</v>
      </c>
      <c r="B939" s="3"/>
      <c r="C939" s="1" t="s">
        <v>19</v>
      </c>
      <c r="D939" s="1" t="s">
        <v>29</v>
      </c>
      <c r="E939" s="1" t="s">
        <v>63</v>
      </c>
      <c r="F939" s="1" t="s">
        <v>38</v>
      </c>
      <c r="G939" s="1" t="s">
        <v>52</v>
      </c>
      <c r="H939" s="2">
        <v>45755</v>
      </c>
      <c r="I939" s="2">
        <v>45799</v>
      </c>
      <c r="J939" s="1">
        <v>11823.87</v>
      </c>
      <c r="K939" s="1">
        <v>0.68300000000000005</v>
      </c>
      <c r="L939" s="1">
        <v>8075.7</v>
      </c>
      <c r="M939" s="1">
        <v>992188</v>
      </c>
      <c r="N939" s="1">
        <v>32617</v>
      </c>
      <c r="O939" s="1">
        <v>39457.629999999997</v>
      </c>
      <c r="P939" s="1">
        <v>2025</v>
      </c>
      <c r="Q939" s="1" t="s">
        <v>76</v>
      </c>
      <c r="R939" s="1" t="s">
        <v>46</v>
      </c>
    </row>
    <row r="940" spans="1:18" x14ac:dyDescent="0.35">
      <c r="A940" s="3" t="s">
        <v>62</v>
      </c>
      <c r="B940" s="3"/>
      <c r="C940" s="1" t="s">
        <v>35</v>
      </c>
      <c r="D940" s="1" t="s">
        <v>36</v>
      </c>
      <c r="E940" s="1" t="s">
        <v>63</v>
      </c>
      <c r="F940" s="1" t="s">
        <v>38</v>
      </c>
      <c r="G940" s="1" t="s">
        <v>49</v>
      </c>
      <c r="H940" s="2">
        <v>45755</v>
      </c>
      <c r="I940" s="2">
        <v>45788</v>
      </c>
      <c r="J940" s="1">
        <v>21834.76</v>
      </c>
      <c r="K940" s="1">
        <v>0.32019999999999998</v>
      </c>
      <c r="L940" s="1">
        <v>6991.49</v>
      </c>
      <c r="M940" s="1">
        <v>67287</v>
      </c>
      <c r="N940" s="1">
        <v>17684</v>
      </c>
      <c r="O940" s="1">
        <v>123948.82</v>
      </c>
      <c r="P940" s="1">
        <v>2025</v>
      </c>
      <c r="Q940" s="1" t="s">
        <v>76</v>
      </c>
      <c r="R940" s="1" t="s">
        <v>46</v>
      </c>
    </row>
    <row r="941" spans="1:18" x14ac:dyDescent="0.35">
      <c r="A941" s="3" t="s">
        <v>106</v>
      </c>
      <c r="B941" s="3"/>
      <c r="C941" s="1" t="s">
        <v>19</v>
      </c>
      <c r="D941" s="1" t="s">
        <v>69</v>
      </c>
      <c r="E941" s="1" t="s">
        <v>37</v>
      </c>
      <c r="F941" s="1" t="s">
        <v>22</v>
      </c>
      <c r="G941" s="1" t="s">
        <v>49</v>
      </c>
      <c r="H941" s="2">
        <v>45759</v>
      </c>
      <c r="I941" s="2">
        <v>45768</v>
      </c>
      <c r="J941" s="1">
        <v>2068.21</v>
      </c>
      <c r="K941" s="1">
        <v>8.6699999999999999E-2</v>
      </c>
      <c r="L941" s="1">
        <v>179.31</v>
      </c>
      <c r="M941" s="1">
        <v>956335</v>
      </c>
      <c r="N941" s="1">
        <v>42435</v>
      </c>
      <c r="O941" s="1">
        <v>113640.67</v>
      </c>
      <c r="P941" s="1">
        <v>2025</v>
      </c>
      <c r="Q941" s="1" t="s">
        <v>76</v>
      </c>
      <c r="R941" s="1" t="s">
        <v>46</v>
      </c>
    </row>
    <row r="942" spans="1:18" x14ac:dyDescent="0.35">
      <c r="A942" s="3" t="s">
        <v>110</v>
      </c>
      <c r="B942" s="3"/>
      <c r="C942" s="1" t="s">
        <v>48</v>
      </c>
      <c r="D942" s="1" t="s">
        <v>36</v>
      </c>
      <c r="E942" s="1" t="s">
        <v>51</v>
      </c>
      <c r="F942" s="1" t="s">
        <v>38</v>
      </c>
      <c r="G942" s="1" t="s">
        <v>23</v>
      </c>
      <c r="H942" s="2">
        <v>45760</v>
      </c>
      <c r="I942" s="2">
        <v>45806</v>
      </c>
      <c r="J942" s="1">
        <v>9579.3700000000008</v>
      </c>
      <c r="K942" s="1">
        <v>0.93720000000000003</v>
      </c>
      <c r="L942" s="1">
        <v>8977.7900000000009</v>
      </c>
      <c r="M942" s="1">
        <v>497192</v>
      </c>
      <c r="N942" s="1">
        <v>45673</v>
      </c>
      <c r="O942" s="1">
        <v>122240.14</v>
      </c>
      <c r="P942" s="1">
        <v>2025</v>
      </c>
      <c r="Q942" s="1" t="s">
        <v>76</v>
      </c>
      <c r="R942" s="1" t="s">
        <v>46</v>
      </c>
    </row>
    <row r="943" spans="1:18" x14ac:dyDescent="0.35">
      <c r="A943" s="3" t="s">
        <v>75</v>
      </c>
      <c r="B943" s="3"/>
      <c r="C943" s="1" t="s">
        <v>48</v>
      </c>
      <c r="D943" s="1" t="s">
        <v>36</v>
      </c>
      <c r="E943" s="1" t="s">
        <v>51</v>
      </c>
      <c r="F943" s="1" t="s">
        <v>38</v>
      </c>
      <c r="G943" s="1" t="s">
        <v>44</v>
      </c>
      <c r="H943" s="2">
        <v>45761</v>
      </c>
      <c r="I943" s="2">
        <v>45767</v>
      </c>
      <c r="J943" s="1">
        <v>47262.7</v>
      </c>
      <c r="K943" s="1">
        <v>1.1394</v>
      </c>
      <c r="L943" s="1">
        <v>53851.12</v>
      </c>
      <c r="M943" s="1">
        <v>246540</v>
      </c>
      <c r="N943" s="1">
        <v>10042</v>
      </c>
      <c r="O943" s="1">
        <v>88737.61</v>
      </c>
      <c r="P943" s="1">
        <v>2025</v>
      </c>
      <c r="Q943" s="1" t="s">
        <v>76</v>
      </c>
      <c r="R943" s="1" t="s">
        <v>46</v>
      </c>
    </row>
    <row r="944" spans="1:18" x14ac:dyDescent="0.35">
      <c r="A944" s="3" t="s">
        <v>85</v>
      </c>
      <c r="B944" s="3"/>
      <c r="C944" s="1" t="s">
        <v>19</v>
      </c>
      <c r="D944" s="1" t="s">
        <v>36</v>
      </c>
      <c r="E944" s="1" t="s">
        <v>37</v>
      </c>
      <c r="F944" s="1" t="s">
        <v>22</v>
      </c>
      <c r="G944" s="1" t="s">
        <v>44</v>
      </c>
      <c r="H944" s="2">
        <v>45762</v>
      </c>
      <c r="I944" s="2">
        <v>45777</v>
      </c>
      <c r="J944" s="1">
        <v>16061.86</v>
      </c>
      <c r="K944" s="1">
        <v>0.57989999999999997</v>
      </c>
      <c r="L944" s="1">
        <v>9314.27</v>
      </c>
      <c r="M944" s="1">
        <v>265652</v>
      </c>
      <c r="N944" s="1">
        <v>3761</v>
      </c>
      <c r="O944" s="1">
        <v>138163.98000000001</v>
      </c>
      <c r="P944" s="1">
        <v>2025</v>
      </c>
      <c r="Q944" s="1" t="s">
        <v>76</v>
      </c>
      <c r="R944" s="1" t="s">
        <v>46</v>
      </c>
    </row>
    <row r="945" spans="1:18" x14ac:dyDescent="0.35">
      <c r="A945" s="3" t="s">
        <v>34</v>
      </c>
      <c r="B945" s="3"/>
      <c r="C945" s="1" t="s">
        <v>28</v>
      </c>
      <c r="D945" s="1" t="s">
        <v>29</v>
      </c>
      <c r="E945" s="1" t="s">
        <v>21</v>
      </c>
      <c r="F945" s="1" t="s">
        <v>22</v>
      </c>
      <c r="G945" s="1" t="s">
        <v>49</v>
      </c>
      <c r="H945" s="2">
        <v>45763</v>
      </c>
      <c r="I945" s="2">
        <v>45796</v>
      </c>
      <c r="J945" s="1">
        <v>11811.31</v>
      </c>
      <c r="K945" s="1">
        <v>0.32990000000000003</v>
      </c>
      <c r="L945" s="1">
        <v>3896.55</v>
      </c>
      <c r="M945" s="1">
        <v>619918</v>
      </c>
      <c r="N945" s="1">
        <v>41374</v>
      </c>
      <c r="O945" s="1">
        <v>202894.58</v>
      </c>
      <c r="P945" s="1">
        <v>2025</v>
      </c>
      <c r="Q945" s="1" t="s">
        <v>76</v>
      </c>
      <c r="R945" s="1" t="s">
        <v>46</v>
      </c>
    </row>
    <row r="946" spans="1:18" x14ac:dyDescent="0.35">
      <c r="A946" s="3" t="s">
        <v>57</v>
      </c>
      <c r="B946" s="3"/>
      <c r="C946" s="1" t="s">
        <v>28</v>
      </c>
      <c r="D946" s="1" t="s">
        <v>69</v>
      </c>
      <c r="E946" s="1" t="s">
        <v>37</v>
      </c>
      <c r="F946" s="1" t="s">
        <v>38</v>
      </c>
      <c r="G946" s="1" t="s">
        <v>23</v>
      </c>
      <c r="H946" s="2">
        <v>45763</v>
      </c>
      <c r="I946" s="2">
        <v>45783</v>
      </c>
      <c r="J946" s="1">
        <v>4862.7</v>
      </c>
      <c r="K946" s="1">
        <v>0.53859999999999997</v>
      </c>
      <c r="L946" s="1">
        <v>2619.0500000000002</v>
      </c>
      <c r="M946" s="1">
        <v>610870</v>
      </c>
      <c r="N946" s="1">
        <v>29466</v>
      </c>
      <c r="O946" s="1">
        <v>26564.87</v>
      </c>
      <c r="P946" s="1">
        <v>2025</v>
      </c>
      <c r="Q946" s="1" t="s">
        <v>76</v>
      </c>
      <c r="R946" s="1" t="s">
        <v>46</v>
      </c>
    </row>
    <row r="947" spans="1:18" x14ac:dyDescent="0.35">
      <c r="A947" s="3" t="s">
        <v>118</v>
      </c>
      <c r="B947" s="3"/>
      <c r="C947" s="1" t="s">
        <v>48</v>
      </c>
      <c r="D947" s="1" t="s">
        <v>58</v>
      </c>
      <c r="E947" s="1" t="s">
        <v>63</v>
      </c>
      <c r="F947" s="1" t="s">
        <v>30</v>
      </c>
      <c r="G947" s="1" t="s">
        <v>49</v>
      </c>
      <c r="H947" s="2">
        <v>45764</v>
      </c>
      <c r="I947" s="2">
        <v>45821</v>
      </c>
      <c r="J947" s="1">
        <v>6210.23</v>
      </c>
      <c r="K947" s="1">
        <v>0.60160000000000002</v>
      </c>
      <c r="L947" s="1">
        <v>3736.07</v>
      </c>
      <c r="M947" s="1">
        <v>847995</v>
      </c>
      <c r="N947" s="1">
        <v>40445</v>
      </c>
      <c r="O947" s="1">
        <v>59040.27</v>
      </c>
      <c r="P947" s="1">
        <v>2025</v>
      </c>
      <c r="Q947" s="1" t="s">
        <v>76</v>
      </c>
      <c r="R947" s="1" t="s">
        <v>46</v>
      </c>
    </row>
    <row r="948" spans="1:18" x14ac:dyDescent="0.35">
      <c r="A948" s="3" t="s">
        <v>91</v>
      </c>
      <c r="B948" s="3"/>
      <c r="C948" s="1" t="s">
        <v>28</v>
      </c>
      <c r="D948" s="1" t="s">
        <v>36</v>
      </c>
      <c r="E948" s="1" t="s">
        <v>51</v>
      </c>
      <c r="F948" s="1" t="s">
        <v>30</v>
      </c>
      <c r="G948" s="1" t="s">
        <v>52</v>
      </c>
      <c r="H948" s="2">
        <v>45764</v>
      </c>
      <c r="I948" s="2">
        <v>45794</v>
      </c>
      <c r="J948" s="1">
        <v>34680.97</v>
      </c>
      <c r="K948" s="1">
        <v>0.23350000000000001</v>
      </c>
      <c r="L948" s="1">
        <v>8098.01</v>
      </c>
      <c r="M948" s="1">
        <v>160494</v>
      </c>
      <c r="N948" s="1">
        <v>4821</v>
      </c>
      <c r="O948" s="1">
        <v>109466.78</v>
      </c>
      <c r="P948" s="1">
        <v>2025</v>
      </c>
      <c r="Q948" s="1" t="s">
        <v>76</v>
      </c>
      <c r="R948" s="1" t="s">
        <v>46</v>
      </c>
    </row>
    <row r="949" spans="1:18" x14ac:dyDescent="0.35">
      <c r="A949" s="3" t="s">
        <v>118</v>
      </c>
      <c r="B949" s="3"/>
      <c r="C949" s="1" t="s">
        <v>28</v>
      </c>
      <c r="D949" s="1" t="s">
        <v>69</v>
      </c>
      <c r="E949" s="1" t="s">
        <v>63</v>
      </c>
      <c r="F949" s="1" t="s">
        <v>30</v>
      </c>
      <c r="G949" s="1" t="s">
        <v>52</v>
      </c>
      <c r="H949" s="2">
        <v>45765</v>
      </c>
      <c r="I949" s="2">
        <v>45778</v>
      </c>
      <c r="J949" s="1">
        <v>7026.19</v>
      </c>
      <c r="K949" s="1">
        <v>0.25019999999999998</v>
      </c>
      <c r="L949" s="1">
        <v>1757.95</v>
      </c>
      <c r="M949" s="1">
        <v>445945</v>
      </c>
      <c r="N949" s="1">
        <v>531</v>
      </c>
      <c r="O949" s="1">
        <v>65102.44</v>
      </c>
      <c r="P949" s="1">
        <v>2025</v>
      </c>
      <c r="Q949" s="1" t="s">
        <v>76</v>
      </c>
      <c r="R949" s="1" t="s">
        <v>46</v>
      </c>
    </row>
    <row r="950" spans="1:18" x14ac:dyDescent="0.35">
      <c r="A950" s="3" t="s">
        <v>57</v>
      </c>
      <c r="B950" s="3"/>
      <c r="C950" s="1" t="s">
        <v>48</v>
      </c>
      <c r="D950" s="1" t="s">
        <v>58</v>
      </c>
      <c r="E950" s="1" t="s">
        <v>43</v>
      </c>
      <c r="F950" s="1" t="s">
        <v>38</v>
      </c>
      <c r="G950" s="1" t="s">
        <v>31</v>
      </c>
      <c r="H950" s="2">
        <v>45767</v>
      </c>
      <c r="I950" s="2">
        <v>45772</v>
      </c>
      <c r="J950" s="1">
        <v>14859.11</v>
      </c>
      <c r="K950" s="1">
        <v>0.36530000000000001</v>
      </c>
      <c r="L950" s="1">
        <v>5428.03</v>
      </c>
      <c r="M950" s="1">
        <v>625448</v>
      </c>
      <c r="N950" s="1">
        <v>38105</v>
      </c>
      <c r="O950" s="1">
        <v>249731.07</v>
      </c>
      <c r="P950" s="1">
        <v>2025</v>
      </c>
      <c r="Q950" s="1" t="s">
        <v>76</v>
      </c>
      <c r="R950" s="1" t="s">
        <v>46</v>
      </c>
    </row>
    <row r="951" spans="1:18" x14ac:dyDescent="0.35">
      <c r="A951" s="3" t="s">
        <v>116</v>
      </c>
      <c r="B951" s="3"/>
      <c r="C951" s="1" t="s">
        <v>48</v>
      </c>
      <c r="D951" s="1" t="s">
        <v>36</v>
      </c>
      <c r="E951" s="1" t="s">
        <v>63</v>
      </c>
      <c r="F951" s="1" t="s">
        <v>38</v>
      </c>
      <c r="G951" s="1" t="s">
        <v>23</v>
      </c>
      <c r="H951" s="2">
        <v>45768</v>
      </c>
      <c r="I951" s="2">
        <v>45818</v>
      </c>
      <c r="J951" s="1">
        <v>33831.199999999997</v>
      </c>
      <c r="K951" s="1">
        <v>0.87790000000000001</v>
      </c>
      <c r="L951" s="1">
        <v>29700.41</v>
      </c>
      <c r="M951" s="1">
        <v>362058</v>
      </c>
      <c r="N951" s="1">
        <v>29370</v>
      </c>
      <c r="O951" s="1">
        <v>7791.93</v>
      </c>
      <c r="P951" s="1">
        <v>2025</v>
      </c>
      <c r="Q951" s="1" t="s">
        <v>76</v>
      </c>
      <c r="R951" s="1" t="s">
        <v>46</v>
      </c>
    </row>
    <row r="952" spans="1:18" x14ac:dyDescent="0.35">
      <c r="A952" s="3" t="s">
        <v>93</v>
      </c>
      <c r="B952" s="3"/>
      <c r="C952" s="1" t="s">
        <v>28</v>
      </c>
      <c r="D952" s="1" t="s">
        <v>29</v>
      </c>
      <c r="E952" s="1" t="s">
        <v>21</v>
      </c>
      <c r="F952" s="1" t="s">
        <v>22</v>
      </c>
      <c r="G952" s="1" t="s">
        <v>31</v>
      </c>
      <c r="H952" s="2">
        <v>45768</v>
      </c>
      <c r="I952" s="2">
        <v>45818</v>
      </c>
      <c r="J952" s="1">
        <v>37383.03</v>
      </c>
      <c r="K952" s="1">
        <v>0.497</v>
      </c>
      <c r="L952" s="1">
        <v>18579.37</v>
      </c>
      <c r="M952" s="1">
        <v>276641</v>
      </c>
      <c r="N952" s="1">
        <v>40132</v>
      </c>
      <c r="O952" s="1">
        <v>53000.76</v>
      </c>
      <c r="P952" s="1">
        <v>2025</v>
      </c>
      <c r="Q952" s="1" t="s">
        <v>76</v>
      </c>
      <c r="R952" s="1" t="s">
        <v>46</v>
      </c>
    </row>
    <row r="953" spans="1:18" x14ac:dyDescent="0.35">
      <c r="A953" s="3" t="s">
        <v>109</v>
      </c>
      <c r="B953" s="3"/>
      <c r="C953" s="1" t="s">
        <v>19</v>
      </c>
      <c r="D953" s="1" t="s">
        <v>36</v>
      </c>
      <c r="E953" s="1" t="s">
        <v>63</v>
      </c>
      <c r="F953" s="1" t="s">
        <v>22</v>
      </c>
      <c r="G953" s="1" t="s">
        <v>44</v>
      </c>
      <c r="H953" s="2">
        <v>45768</v>
      </c>
      <c r="I953" s="2">
        <v>45806</v>
      </c>
      <c r="J953" s="1">
        <v>34159.15</v>
      </c>
      <c r="K953" s="1">
        <v>0.16789999999999999</v>
      </c>
      <c r="L953" s="1">
        <v>5735.32</v>
      </c>
      <c r="M953" s="1">
        <v>769767</v>
      </c>
      <c r="N953" s="1">
        <v>2495</v>
      </c>
      <c r="O953" s="1">
        <v>117545.26</v>
      </c>
      <c r="P953" s="1">
        <v>2025</v>
      </c>
      <c r="Q953" s="1" t="s">
        <v>76</v>
      </c>
      <c r="R953" s="1" t="s">
        <v>46</v>
      </c>
    </row>
    <row r="954" spans="1:18" x14ac:dyDescent="0.35">
      <c r="A954" s="3" t="s">
        <v>98</v>
      </c>
      <c r="B954" s="3"/>
      <c r="C954" s="1" t="s">
        <v>19</v>
      </c>
      <c r="D954" s="1" t="s">
        <v>58</v>
      </c>
      <c r="E954" s="1" t="s">
        <v>43</v>
      </c>
      <c r="F954" s="1" t="s">
        <v>38</v>
      </c>
      <c r="G954" s="1" t="s">
        <v>44</v>
      </c>
      <c r="H954" s="2">
        <v>45769</v>
      </c>
      <c r="I954" s="2">
        <v>45814</v>
      </c>
      <c r="J954" s="1">
        <v>8246.0300000000007</v>
      </c>
      <c r="K954" s="1">
        <v>0.71809999999999996</v>
      </c>
      <c r="L954" s="1">
        <v>5921.47</v>
      </c>
      <c r="M954" s="1">
        <v>345281</v>
      </c>
      <c r="N954" s="1">
        <v>47751</v>
      </c>
      <c r="O954" s="1">
        <v>228972.61</v>
      </c>
      <c r="P954" s="1">
        <v>2025</v>
      </c>
      <c r="Q954" s="1" t="s">
        <v>76</v>
      </c>
      <c r="R954" s="1" t="s">
        <v>46</v>
      </c>
    </row>
    <row r="955" spans="1:18" x14ac:dyDescent="0.35">
      <c r="A955" s="3" t="s">
        <v>90</v>
      </c>
      <c r="B955" s="3"/>
      <c r="C955" s="1" t="s">
        <v>48</v>
      </c>
      <c r="D955" s="1" t="s">
        <v>69</v>
      </c>
      <c r="E955" s="1" t="s">
        <v>51</v>
      </c>
      <c r="F955" s="1" t="s">
        <v>30</v>
      </c>
      <c r="G955" s="1" t="s">
        <v>31</v>
      </c>
      <c r="H955" s="2">
        <v>45769</v>
      </c>
      <c r="I955" s="2">
        <v>45774</v>
      </c>
      <c r="J955" s="1">
        <v>28484.51</v>
      </c>
      <c r="K955" s="1">
        <v>1.0736000000000001</v>
      </c>
      <c r="L955" s="1">
        <v>30580.97</v>
      </c>
      <c r="M955" s="1">
        <v>218205</v>
      </c>
      <c r="N955" s="1">
        <v>5199</v>
      </c>
      <c r="O955" s="1">
        <v>182067.3</v>
      </c>
      <c r="P955" s="1">
        <v>2025</v>
      </c>
      <c r="Q955" s="1" t="s">
        <v>76</v>
      </c>
      <c r="R955" s="1" t="s">
        <v>46</v>
      </c>
    </row>
    <row r="956" spans="1:18" x14ac:dyDescent="0.35">
      <c r="A956" s="3" t="s">
        <v>93</v>
      </c>
      <c r="B956" s="3"/>
      <c r="C956" s="1" t="s">
        <v>48</v>
      </c>
      <c r="D956" s="1" t="s">
        <v>29</v>
      </c>
      <c r="E956" s="1" t="s">
        <v>37</v>
      </c>
      <c r="F956" s="1" t="s">
        <v>22</v>
      </c>
      <c r="G956" s="1" t="s">
        <v>31</v>
      </c>
      <c r="H956" s="2">
        <v>45770</v>
      </c>
      <c r="I956" s="2">
        <v>45793</v>
      </c>
      <c r="J956" s="1">
        <v>32656.09</v>
      </c>
      <c r="K956" s="1">
        <v>0.31519999999999998</v>
      </c>
      <c r="L956" s="1">
        <v>10293.200000000001</v>
      </c>
      <c r="M956" s="1">
        <v>640437</v>
      </c>
      <c r="N956" s="1">
        <v>15575</v>
      </c>
      <c r="O956" s="1">
        <v>104437.16</v>
      </c>
      <c r="P956" s="1">
        <v>2025</v>
      </c>
      <c r="Q956" s="1" t="s">
        <v>76</v>
      </c>
      <c r="R956" s="1" t="s">
        <v>46</v>
      </c>
    </row>
    <row r="957" spans="1:18" x14ac:dyDescent="0.35">
      <c r="A957" s="3" t="s">
        <v>86</v>
      </c>
      <c r="B957" s="3"/>
      <c r="C957" s="1" t="s">
        <v>35</v>
      </c>
      <c r="D957" s="1" t="s">
        <v>69</v>
      </c>
      <c r="E957" s="1" t="s">
        <v>59</v>
      </c>
      <c r="F957" s="1" t="s">
        <v>30</v>
      </c>
      <c r="G957" s="1" t="s">
        <v>49</v>
      </c>
      <c r="H957" s="2">
        <v>45770</v>
      </c>
      <c r="I957" s="2">
        <v>45793</v>
      </c>
      <c r="J957" s="1">
        <v>36608.699999999997</v>
      </c>
      <c r="K957" s="1">
        <v>0.23530000000000001</v>
      </c>
      <c r="L957" s="1">
        <v>8614.0300000000007</v>
      </c>
      <c r="M957" s="1">
        <v>199131</v>
      </c>
      <c r="N957" s="1">
        <v>26873</v>
      </c>
      <c r="O957" s="1">
        <v>199153.57</v>
      </c>
      <c r="P957" s="1">
        <v>2025</v>
      </c>
      <c r="Q957" s="1" t="s">
        <v>76</v>
      </c>
      <c r="R957" s="1" t="s">
        <v>46</v>
      </c>
    </row>
    <row r="958" spans="1:18" x14ac:dyDescent="0.35">
      <c r="A958" s="3" t="s">
        <v>111</v>
      </c>
      <c r="B958" s="3"/>
      <c r="C958" s="1" t="s">
        <v>19</v>
      </c>
      <c r="D958" s="1" t="s">
        <v>20</v>
      </c>
      <c r="E958" s="1" t="s">
        <v>37</v>
      </c>
      <c r="F958" s="1" t="s">
        <v>30</v>
      </c>
      <c r="G958" s="1" t="s">
        <v>49</v>
      </c>
      <c r="H958" s="2">
        <v>45770</v>
      </c>
      <c r="I958" s="2">
        <v>45784</v>
      </c>
      <c r="J958" s="1">
        <v>24111.759999999998</v>
      </c>
      <c r="K958" s="1">
        <v>0.72430000000000005</v>
      </c>
      <c r="L958" s="1">
        <v>17464.150000000001</v>
      </c>
      <c r="M958" s="1">
        <v>102422</v>
      </c>
      <c r="N958" s="1">
        <v>4299</v>
      </c>
      <c r="O958" s="1">
        <v>69457.539999999994</v>
      </c>
      <c r="P958" s="1">
        <v>2025</v>
      </c>
      <c r="Q958" s="1" t="s">
        <v>76</v>
      </c>
      <c r="R958" s="1" t="s">
        <v>46</v>
      </c>
    </row>
    <row r="959" spans="1:18" x14ac:dyDescent="0.35">
      <c r="A959" s="3" t="s">
        <v>91</v>
      </c>
      <c r="B959" s="3"/>
      <c r="C959" s="1" t="s">
        <v>19</v>
      </c>
      <c r="D959" s="1" t="s">
        <v>29</v>
      </c>
      <c r="E959" s="1" t="s">
        <v>59</v>
      </c>
      <c r="F959" s="1" t="s">
        <v>30</v>
      </c>
      <c r="G959" s="1" t="s">
        <v>49</v>
      </c>
      <c r="H959" s="2">
        <v>45771</v>
      </c>
      <c r="I959" s="2">
        <v>45806</v>
      </c>
      <c r="J959" s="1">
        <v>48401.82</v>
      </c>
      <c r="K959" s="1">
        <v>0.36120000000000002</v>
      </c>
      <c r="L959" s="1">
        <v>17482.740000000002</v>
      </c>
      <c r="M959" s="1">
        <v>922677</v>
      </c>
      <c r="N959" s="1">
        <v>22298</v>
      </c>
      <c r="O959" s="1">
        <v>202036.97</v>
      </c>
      <c r="P959" s="1">
        <v>2025</v>
      </c>
      <c r="Q959" s="1" t="s">
        <v>76</v>
      </c>
      <c r="R959" s="1" t="s">
        <v>46</v>
      </c>
    </row>
    <row r="960" spans="1:18" x14ac:dyDescent="0.35">
      <c r="A960" s="3" t="s">
        <v>81</v>
      </c>
      <c r="B960" s="3"/>
      <c r="C960" s="1" t="s">
        <v>19</v>
      </c>
      <c r="D960" s="1" t="s">
        <v>36</v>
      </c>
      <c r="E960" s="1" t="s">
        <v>21</v>
      </c>
      <c r="F960" s="1" t="s">
        <v>30</v>
      </c>
      <c r="G960" s="1" t="s">
        <v>52</v>
      </c>
      <c r="H960" s="2">
        <v>45773</v>
      </c>
      <c r="I960" s="2">
        <v>45787</v>
      </c>
      <c r="J960" s="1">
        <v>30670.04</v>
      </c>
      <c r="K960" s="1">
        <v>0.22109999999999999</v>
      </c>
      <c r="L960" s="1">
        <v>6781.15</v>
      </c>
      <c r="M960" s="1">
        <v>955404</v>
      </c>
      <c r="N960" s="1">
        <v>40388</v>
      </c>
      <c r="O960" s="1">
        <v>151954.38</v>
      </c>
      <c r="P960" s="1">
        <v>2025</v>
      </c>
      <c r="Q960" s="1" t="s">
        <v>76</v>
      </c>
      <c r="R960" s="1" t="s">
        <v>46</v>
      </c>
    </row>
    <row r="961" spans="1:18" x14ac:dyDescent="0.35">
      <c r="A961" s="3" t="s">
        <v>108</v>
      </c>
      <c r="B961" s="3"/>
      <c r="C961" s="1" t="s">
        <v>28</v>
      </c>
      <c r="D961" s="1" t="s">
        <v>36</v>
      </c>
      <c r="E961" s="1" t="s">
        <v>63</v>
      </c>
      <c r="F961" s="1" t="s">
        <v>30</v>
      </c>
      <c r="G961" s="1" t="s">
        <v>44</v>
      </c>
      <c r="H961" s="2">
        <v>45774</v>
      </c>
      <c r="I961" s="2">
        <v>45801</v>
      </c>
      <c r="J961" s="1">
        <v>15755.57</v>
      </c>
      <c r="K961" s="1">
        <v>0.40710000000000002</v>
      </c>
      <c r="L961" s="1">
        <v>6414.09</v>
      </c>
      <c r="M961" s="1">
        <v>552985</v>
      </c>
      <c r="N961" s="1">
        <v>43611</v>
      </c>
      <c r="O961" s="1">
        <v>214954.26</v>
      </c>
      <c r="P961" s="1">
        <v>2025</v>
      </c>
      <c r="Q961" s="1" t="s">
        <v>76</v>
      </c>
      <c r="R961" s="1" t="s">
        <v>46</v>
      </c>
    </row>
    <row r="962" spans="1:18" x14ac:dyDescent="0.35">
      <c r="A962" s="3" t="s">
        <v>92</v>
      </c>
      <c r="B962" s="3"/>
      <c r="C962" s="1" t="s">
        <v>28</v>
      </c>
      <c r="D962" s="1" t="s">
        <v>69</v>
      </c>
      <c r="E962" s="1" t="s">
        <v>59</v>
      </c>
      <c r="F962" s="1" t="s">
        <v>30</v>
      </c>
      <c r="G962" s="1" t="s">
        <v>31</v>
      </c>
      <c r="H962" s="2">
        <v>45776</v>
      </c>
      <c r="I962" s="2">
        <v>45823</v>
      </c>
      <c r="J962" s="1">
        <v>20394.48</v>
      </c>
      <c r="K962" s="1">
        <v>1.9599999999999999E-2</v>
      </c>
      <c r="L962" s="1">
        <v>399.73</v>
      </c>
      <c r="M962" s="1">
        <v>917088</v>
      </c>
      <c r="N962" s="1">
        <v>45044</v>
      </c>
      <c r="O962" s="1">
        <v>195686.35</v>
      </c>
      <c r="P962" s="1">
        <v>2025</v>
      </c>
      <c r="Q962" s="1" t="s">
        <v>76</v>
      </c>
      <c r="R962" s="1" t="s">
        <v>46</v>
      </c>
    </row>
    <row r="963" spans="1:18" x14ac:dyDescent="0.35">
      <c r="A963" s="3" t="s">
        <v>27</v>
      </c>
      <c r="B963" s="3"/>
      <c r="C963" s="1" t="s">
        <v>48</v>
      </c>
      <c r="D963" s="1" t="s">
        <v>29</v>
      </c>
      <c r="E963" s="1" t="s">
        <v>63</v>
      </c>
      <c r="F963" s="1" t="s">
        <v>38</v>
      </c>
      <c r="G963" s="1" t="s">
        <v>52</v>
      </c>
      <c r="H963" s="2">
        <v>45776</v>
      </c>
      <c r="I963" s="2">
        <v>45795</v>
      </c>
      <c r="J963" s="1">
        <v>45662.83</v>
      </c>
      <c r="K963" s="1">
        <v>0.84850000000000003</v>
      </c>
      <c r="L963" s="1">
        <v>38744.910000000003</v>
      </c>
      <c r="M963" s="1">
        <v>689091</v>
      </c>
      <c r="N963" s="1">
        <v>24200</v>
      </c>
      <c r="O963" s="1">
        <v>190001.39</v>
      </c>
      <c r="P963" s="1">
        <v>2025</v>
      </c>
      <c r="Q963" s="1" t="s">
        <v>76</v>
      </c>
      <c r="R963" s="1" t="s">
        <v>46</v>
      </c>
    </row>
    <row r="964" spans="1:18" x14ac:dyDescent="0.35">
      <c r="A964" s="3" t="s">
        <v>102</v>
      </c>
      <c r="B964" s="3"/>
      <c r="C964" s="1" t="s">
        <v>19</v>
      </c>
      <c r="D964" s="1" t="s">
        <v>20</v>
      </c>
      <c r="E964" s="1" t="s">
        <v>21</v>
      </c>
      <c r="F964" s="1" t="s">
        <v>38</v>
      </c>
      <c r="G964" s="1" t="s">
        <v>44</v>
      </c>
      <c r="H964" s="2">
        <v>45777</v>
      </c>
      <c r="I964" s="2">
        <v>45827</v>
      </c>
      <c r="J964" s="1">
        <v>33317.43</v>
      </c>
      <c r="K964" s="1">
        <v>0.55030000000000001</v>
      </c>
      <c r="L964" s="1">
        <v>18334.580000000002</v>
      </c>
      <c r="M964" s="1">
        <v>292400</v>
      </c>
      <c r="N964" s="1">
        <v>39041</v>
      </c>
      <c r="O964" s="1">
        <v>166211.54</v>
      </c>
      <c r="P964" s="1">
        <v>2025</v>
      </c>
      <c r="Q964" s="1" t="s">
        <v>76</v>
      </c>
      <c r="R964" s="1" t="s">
        <v>46</v>
      </c>
    </row>
    <row r="965" spans="1:18" x14ac:dyDescent="0.35">
      <c r="A965" s="3" t="s">
        <v>42</v>
      </c>
      <c r="B965" s="3"/>
      <c r="C965" s="1" t="s">
        <v>19</v>
      </c>
      <c r="D965" s="1" t="s">
        <v>58</v>
      </c>
      <c r="E965" s="1" t="s">
        <v>37</v>
      </c>
      <c r="F965" s="1" t="s">
        <v>38</v>
      </c>
      <c r="G965" s="1" t="s">
        <v>44</v>
      </c>
      <c r="H965" s="2">
        <v>45777</v>
      </c>
      <c r="I965" s="2">
        <v>45809</v>
      </c>
      <c r="J965" s="1">
        <v>5493.96</v>
      </c>
      <c r="K965" s="1">
        <v>1.0934999999999999</v>
      </c>
      <c r="L965" s="1">
        <v>6007.65</v>
      </c>
      <c r="M965" s="1">
        <v>866375</v>
      </c>
      <c r="N965" s="1">
        <v>29665</v>
      </c>
      <c r="O965" s="1">
        <v>221734.29</v>
      </c>
      <c r="P965" s="1">
        <v>2025</v>
      </c>
      <c r="Q965" s="1" t="s">
        <v>76</v>
      </c>
      <c r="R965" s="1" t="s">
        <v>46</v>
      </c>
    </row>
    <row r="966" spans="1:18" x14ac:dyDescent="0.35">
      <c r="A966" s="3" t="s">
        <v>57</v>
      </c>
      <c r="B966" s="3"/>
      <c r="C966" s="1" t="s">
        <v>48</v>
      </c>
      <c r="D966" s="1" t="s">
        <v>20</v>
      </c>
      <c r="E966" s="1" t="s">
        <v>59</v>
      </c>
      <c r="F966" s="1" t="s">
        <v>38</v>
      </c>
      <c r="G966" s="1" t="s">
        <v>44</v>
      </c>
      <c r="H966" s="2">
        <v>45777</v>
      </c>
      <c r="I966" s="2">
        <v>45788</v>
      </c>
      <c r="J966" s="1">
        <v>26067.65</v>
      </c>
      <c r="K966" s="1">
        <v>0.74509999999999998</v>
      </c>
      <c r="L966" s="1">
        <v>19423.009999999998</v>
      </c>
      <c r="M966" s="1">
        <v>306439</v>
      </c>
      <c r="N966" s="1">
        <v>7571</v>
      </c>
      <c r="O966" s="1">
        <v>197266.22</v>
      </c>
      <c r="P966" s="1">
        <v>2025</v>
      </c>
      <c r="Q966" s="1" t="s">
        <v>76</v>
      </c>
      <c r="R966" s="1" t="s">
        <v>46</v>
      </c>
    </row>
    <row r="967" spans="1:18" x14ac:dyDescent="0.35">
      <c r="A967" s="3" t="s">
        <v>109</v>
      </c>
      <c r="B967" s="3"/>
      <c r="C967" s="1" t="s">
        <v>19</v>
      </c>
      <c r="D967" s="1" t="s">
        <v>58</v>
      </c>
      <c r="E967" s="1" t="s">
        <v>21</v>
      </c>
      <c r="F967" s="1" t="s">
        <v>22</v>
      </c>
      <c r="G967" s="1" t="s">
        <v>23</v>
      </c>
      <c r="H967" s="2">
        <v>45778</v>
      </c>
      <c r="I967" s="2">
        <v>45795</v>
      </c>
      <c r="J967" s="1">
        <v>39960.230000000003</v>
      </c>
      <c r="K967" s="1">
        <v>0.67479999999999996</v>
      </c>
      <c r="L967" s="1">
        <v>26965.16</v>
      </c>
      <c r="M967" s="1">
        <v>733153</v>
      </c>
      <c r="N967" s="1">
        <v>34549</v>
      </c>
      <c r="O967" s="1">
        <v>212287.09</v>
      </c>
      <c r="P967" s="1">
        <v>2025</v>
      </c>
      <c r="Q967" s="1" t="s">
        <v>45</v>
      </c>
      <c r="R967" s="1" t="s">
        <v>46</v>
      </c>
    </row>
    <row r="968" spans="1:18" x14ac:dyDescent="0.35">
      <c r="A968" s="3" t="s">
        <v>87</v>
      </c>
      <c r="B968" s="3"/>
      <c r="C968" s="1" t="s">
        <v>48</v>
      </c>
      <c r="D968" s="1" t="s">
        <v>58</v>
      </c>
      <c r="E968" s="1" t="s">
        <v>51</v>
      </c>
      <c r="F968" s="1" t="s">
        <v>30</v>
      </c>
      <c r="G968" s="1" t="s">
        <v>52</v>
      </c>
      <c r="H968" s="2">
        <v>45779</v>
      </c>
      <c r="I968" s="2">
        <v>45838</v>
      </c>
      <c r="J968" s="1">
        <v>7160.14</v>
      </c>
      <c r="K968" s="1">
        <v>0.54469999999999996</v>
      </c>
      <c r="L968" s="1">
        <v>3900.13</v>
      </c>
      <c r="M968" s="1">
        <v>616472</v>
      </c>
      <c r="N968" s="1">
        <v>6486</v>
      </c>
      <c r="O968" s="1">
        <v>13939.06</v>
      </c>
      <c r="P968" s="1">
        <v>2025</v>
      </c>
      <c r="Q968" s="1" t="s">
        <v>45</v>
      </c>
      <c r="R968" s="1" t="s">
        <v>46</v>
      </c>
    </row>
    <row r="969" spans="1:18" x14ac:dyDescent="0.35">
      <c r="A969" s="3" t="s">
        <v>119</v>
      </c>
      <c r="B969" s="3"/>
      <c r="C969" s="1" t="s">
        <v>48</v>
      </c>
      <c r="D969" s="1" t="s">
        <v>58</v>
      </c>
      <c r="E969" s="1" t="s">
        <v>63</v>
      </c>
      <c r="F969" s="1" t="s">
        <v>22</v>
      </c>
      <c r="G969" s="1" t="s">
        <v>23</v>
      </c>
      <c r="H969" s="2">
        <v>45779</v>
      </c>
      <c r="I969" s="2">
        <v>45836</v>
      </c>
      <c r="J969" s="1">
        <v>2263.09</v>
      </c>
      <c r="K969" s="1">
        <v>0.25169999999999998</v>
      </c>
      <c r="L969" s="1">
        <v>569.62</v>
      </c>
      <c r="M969" s="1">
        <v>997555</v>
      </c>
      <c r="N969" s="1">
        <v>37531</v>
      </c>
      <c r="O969" s="1">
        <v>109493.13</v>
      </c>
      <c r="P969" s="1">
        <v>2025</v>
      </c>
      <c r="Q969" s="1" t="s">
        <v>45</v>
      </c>
      <c r="R969" s="1" t="s">
        <v>46</v>
      </c>
    </row>
    <row r="970" spans="1:18" x14ac:dyDescent="0.35">
      <c r="A970" s="3" t="s">
        <v>103</v>
      </c>
      <c r="B970" s="3"/>
      <c r="C970" s="1" t="s">
        <v>48</v>
      </c>
      <c r="D970" s="1" t="s">
        <v>36</v>
      </c>
      <c r="E970" s="1" t="s">
        <v>63</v>
      </c>
      <c r="F970" s="1" t="s">
        <v>38</v>
      </c>
      <c r="G970" s="1" t="s">
        <v>31</v>
      </c>
      <c r="H970" s="2">
        <v>45781</v>
      </c>
      <c r="I970" s="2">
        <v>45816</v>
      </c>
      <c r="J970" s="1">
        <v>49031.99</v>
      </c>
      <c r="K970" s="1">
        <v>0.3</v>
      </c>
      <c r="L970" s="1">
        <v>14709.6</v>
      </c>
      <c r="M970" s="1">
        <v>588043</v>
      </c>
      <c r="N970" s="1">
        <v>9579</v>
      </c>
      <c r="O970" s="1">
        <v>98978.57</v>
      </c>
      <c r="P970" s="1">
        <v>2025</v>
      </c>
      <c r="Q970" s="1" t="s">
        <v>45</v>
      </c>
      <c r="R970" s="1" t="s">
        <v>46</v>
      </c>
    </row>
    <row r="971" spans="1:18" x14ac:dyDescent="0.35">
      <c r="A971" s="3" t="s">
        <v>78</v>
      </c>
      <c r="B971" s="3"/>
      <c r="C971" s="1" t="s">
        <v>19</v>
      </c>
      <c r="D971" s="1" t="s">
        <v>29</v>
      </c>
      <c r="E971" s="1" t="s">
        <v>43</v>
      </c>
      <c r="F971" s="1" t="s">
        <v>22</v>
      </c>
      <c r="G971" s="1" t="s">
        <v>23</v>
      </c>
      <c r="H971" s="2">
        <v>45783</v>
      </c>
      <c r="I971" s="2">
        <v>45839</v>
      </c>
      <c r="J971" s="1">
        <v>44199.69</v>
      </c>
      <c r="K971" s="1">
        <v>0.59570000000000001</v>
      </c>
      <c r="L971" s="1">
        <v>26329.759999999998</v>
      </c>
      <c r="M971" s="1">
        <v>334065</v>
      </c>
      <c r="N971" s="1">
        <v>11605</v>
      </c>
      <c r="O971" s="1">
        <v>125156.92</v>
      </c>
      <c r="P971" s="1">
        <v>2025</v>
      </c>
      <c r="Q971" s="1" t="s">
        <v>45</v>
      </c>
      <c r="R971" s="1" t="s">
        <v>46</v>
      </c>
    </row>
    <row r="972" spans="1:18" x14ac:dyDescent="0.35">
      <c r="A972" s="3" t="s">
        <v>94</v>
      </c>
      <c r="B972" s="3"/>
      <c r="C972" s="1" t="s">
        <v>28</v>
      </c>
      <c r="D972" s="1" t="s">
        <v>69</v>
      </c>
      <c r="E972" s="1" t="s">
        <v>63</v>
      </c>
      <c r="F972" s="1" t="s">
        <v>38</v>
      </c>
      <c r="G972" s="1" t="s">
        <v>31</v>
      </c>
      <c r="H972" s="2">
        <v>45784</v>
      </c>
      <c r="I972" s="2">
        <v>45812</v>
      </c>
      <c r="J972" s="1">
        <v>18094.96</v>
      </c>
      <c r="K972" s="1">
        <v>0.89300000000000002</v>
      </c>
      <c r="L972" s="1">
        <v>16158.8</v>
      </c>
      <c r="M972" s="1">
        <v>38206</v>
      </c>
      <c r="N972" s="1">
        <v>41070</v>
      </c>
      <c r="O972" s="1">
        <v>88607.85</v>
      </c>
      <c r="P972" s="1">
        <v>2025</v>
      </c>
      <c r="Q972" s="1" t="s">
        <v>45</v>
      </c>
      <c r="R972" s="1" t="s">
        <v>46</v>
      </c>
    </row>
    <row r="973" spans="1:18" x14ac:dyDescent="0.35">
      <c r="A973" s="3" t="s">
        <v>64</v>
      </c>
      <c r="B973" s="3"/>
      <c r="C973" s="1" t="s">
        <v>19</v>
      </c>
      <c r="D973" s="1" t="s">
        <v>36</v>
      </c>
      <c r="E973" s="1" t="s">
        <v>51</v>
      </c>
      <c r="F973" s="1" t="s">
        <v>38</v>
      </c>
      <c r="G973" s="1" t="s">
        <v>52</v>
      </c>
      <c r="H973" s="2">
        <v>45785</v>
      </c>
      <c r="I973" s="2">
        <v>45791</v>
      </c>
      <c r="J973" s="1">
        <v>30742.44</v>
      </c>
      <c r="K973" s="1">
        <v>0.22090000000000001</v>
      </c>
      <c r="L973" s="1">
        <v>6791</v>
      </c>
      <c r="M973" s="1">
        <v>140182</v>
      </c>
      <c r="N973" s="1">
        <v>35139</v>
      </c>
      <c r="O973" s="1">
        <v>186654.39</v>
      </c>
      <c r="P973" s="1">
        <v>2025</v>
      </c>
      <c r="Q973" s="1" t="s">
        <v>45</v>
      </c>
      <c r="R973" s="1" t="s">
        <v>46</v>
      </c>
    </row>
    <row r="974" spans="1:18" x14ac:dyDescent="0.35">
      <c r="A974" s="3" t="s">
        <v>84</v>
      </c>
      <c r="B974" s="3"/>
      <c r="C974" s="1" t="s">
        <v>28</v>
      </c>
      <c r="D974" s="1" t="s">
        <v>69</v>
      </c>
      <c r="E974" s="1" t="s">
        <v>51</v>
      </c>
      <c r="F974" s="1" t="s">
        <v>30</v>
      </c>
      <c r="G974" s="1" t="s">
        <v>31</v>
      </c>
      <c r="H974" s="2">
        <v>45788</v>
      </c>
      <c r="I974" s="2">
        <v>45840</v>
      </c>
      <c r="J974" s="1">
        <v>33448.949999999997</v>
      </c>
      <c r="K974" s="1">
        <v>1.1295999999999999</v>
      </c>
      <c r="L974" s="1">
        <v>37783.93</v>
      </c>
      <c r="M974" s="1">
        <v>734233</v>
      </c>
      <c r="N974" s="1">
        <v>44113</v>
      </c>
      <c r="O974" s="1">
        <v>63720.58</v>
      </c>
      <c r="P974" s="1">
        <v>2025</v>
      </c>
      <c r="Q974" s="1" t="s">
        <v>45</v>
      </c>
      <c r="R974" s="1" t="s">
        <v>46</v>
      </c>
    </row>
    <row r="975" spans="1:18" x14ac:dyDescent="0.35">
      <c r="A975" s="3" t="s">
        <v>100</v>
      </c>
      <c r="B975" s="3"/>
      <c r="C975" s="1" t="s">
        <v>48</v>
      </c>
      <c r="D975" s="1" t="s">
        <v>69</v>
      </c>
      <c r="E975" s="1" t="s">
        <v>63</v>
      </c>
      <c r="F975" s="1" t="s">
        <v>30</v>
      </c>
      <c r="G975" s="1" t="s">
        <v>52</v>
      </c>
      <c r="H975" s="2">
        <v>45788</v>
      </c>
      <c r="I975" s="2">
        <v>45832</v>
      </c>
      <c r="J975" s="1">
        <v>19614.61</v>
      </c>
      <c r="K975" s="1">
        <v>1.036</v>
      </c>
      <c r="L975" s="1">
        <v>20320.740000000002</v>
      </c>
      <c r="M975" s="1">
        <v>471607</v>
      </c>
      <c r="N975" s="1">
        <v>22037</v>
      </c>
      <c r="O975" s="1">
        <v>110500.97</v>
      </c>
      <c r="P975" s="1">
        <v>2025</v>
      </c>
      <c r="Q975" s="1" t="s">
        <v>45</v>
      </c>
      <c r="R975" s="1" t="s">
        <v>46</v>
      </c>
    </row>
    <row r="976" spans="1:18" x14ac:dyDescent="0.35">
      <c r="A976" s="3" t="s">
        <v>117</v>
      </c>
      <c r="B976" s="3"/>
      <c r="C976" s="1" t="s">
        <v>48</v>
      </c>
      <c r="D976" s="1" t="s">
        <v>29</v>
      </c>
      <c r="E976" s="1" t="s">
        <v>63</v>
      </c>
      <c r="F976" s="1" t="s">
        <v>38</v>
      </c>
      <c r="G976" s="1" t="s">
        <v>23</v>
      </c>
      <c r="H976" s="2">
        <v>45790</v>
      </c>
      <c r="I976" s="2">
        <v>45843</v>
      </c>
      <c r="J976" s="1">
        <v>47630.559999999998</v>
      </c>
      <c r="K976" s="1">
        <v>7.6700000000000004E-2</v>
      </c>
      <c r="L976" s="1">
        <v>3653.26</v>
      </c>
      <c r="M976" s="1">
        <v>823331</v>
      </c>
      <c r="N976" s="1">
        <v>25817</v>
      </c>
      <c r="O976" s="1">
        <v>22489.25</v>
      </c>
      <c r="P976" s="1">
        <v>2025</v>
      </c>
      <c r="Q976" s="1" t="s">
        <v>45</v>
      </c>
      <c r="R976" s="1" t="s">
        <v>46</v>
      </c>
    </row>
    <row r="977" spans="1:18" x14ac:dyDescent="0.35">
      <c r="A977" s="3" t="s">
        <v>106</v>
      </c>
      <c r="B977" s="3"/>
      <c r="C977" s="1" t="s">
        <v>35</v>
      </c>
      <c r="D977" s="1" t="s">
        <v>29</v>
      </c>
      <c r="E977" s="1" t="s">
        <v>37</v>
      </c>
      <c r="F977" s="1" t="s">
        <v>38</v>
      </c>
      <c r="G977" s="1" t="s">
        <v>31</v>
      </c>
      <c r="H977" s="2">
        <v>45792</v>
      </c>
      <c r="I977" s="2">
        <v>45813</v>
      </c>
      <c r="J977" s="1">
        <v>8979.51</v>
      </c>
      <c r="K977" s="1">
        <v>7.9600000000000004E-2</v>
      </c>
      <c r="L977" s="1">
        <v>714.77</v>
      </c>
      <c r="M977" s="1">
        <v>345209</v>
      </c>
      <c r="N977" s="1">
        <v>30314</v>
      </c>
      <c r="O977" s="1">
        <v>220187.73</v>
      </c>
      <c r="P977" s="1">
        <v>2025</v>
      </c>
      <c r="Q977" s="1" t="s">
        <v>45</v>
      </c>
      <c r="R977" s="1" t="s">
        <v>46</v>
      </c>
    </row>
    <row r="978" spans="1:18" x14ac:dyDescent="0.35">
      <c r="A978" s="3" t="s">
        <v>106</v>
      </c>
      <c r="B978" s="3"/>
      <c r="C978" s="1" t="s">
        <v>35</v>
      </c>
      <c r="D978" s="1" t="s">
        <v>20</v>
      </c>
      <c r="E978" s="1" t="s">
        <v>59</v>
      </c>
      <c r="F978" s="1" t="s">
        <v>30</v>
      </c>
      <c r="G978" s="1" t="s">
        <v>31</v>
      </c>
      <c r="H978" s="2">
        <v>45792</v>
      </c>
      <c r="I978" s="2">
        <v>45807</v>
      </c>
      <c r="J978" s="1">
        <v>42191.3</v>
      </c>
      <c r="K978" s="1">
        <v>1.0529999999999999</v>
      </c>
      <c r="L978" s="1">
        <v>44427.44</v>
      </c>
      <c r="M978" s="1">
        <v>199934</v>
      </c>
      <c r="N978" s="1">
        <v>19353</v>
      </c>
      <c r="O978" s="1">
        <v>28912.75</v>
      </c>
      <c r="P978" s="1">
        <v>2025</v>
      </c>
      <c r="Q978" s="1" t="s">
        <v>45</v>
      </c>
      <c r="R978" s="1" t="s">
        <v>46</v>
      </c>
    </row>
    <row r="979" spans="1:18" x14ac:dyDescent="0.35">
      <c r="A979" s="3" t="s">
        <v>64</v>
      </c>
      <c r="B979" s="3"/>
      <c r="C979" s="1" t="s">
        <v>48</v>
      </c>
      <c r="D979" s="1" t="s">
        <v>20</v>
      </c>
      <c r="E979" s="1" t="s">
        <v>21</v>
      </c>
      <c r="F979" s="1" t="s">
        <v>30</v>
      </c>
      <c r="G979" s="1" t="s">
        <v>49</v>
      </c>
      <c r="H979" s="2">
        <v>45793</v>
      </c>
      <c r="I979" s="2">
        <v>45838</v>
      </c>
      <c r="J979" s="1">
        <v>25521.19</v>
      </c>
      <c r="K979" s="1">
        <v>0.94159999999999999</v>
      </c>
      <c r="L979" s="1">
        <v>24030.75</v>
      </c>
      <c r="M979" s="1">
        <v>159282</v>
      </c>
      <c r="N979" s="1">
        <v>24564</v>
      </c>
      <c r="O979" s="1">
        <v>137407.74</v>
      </c>
      <c r="P979" s="1">
        <v>2025</v>
      </c>
      <c r="Q979" s="1" t="s">
        <v>45</v>
      </c>
      <c r="R979" s="1" t="s">
        <v>46</v>
      </c>
    </row>
    <row r="980" spans="1:18" x14ac:dyDescent="0.35">
      <c r="A980" s="3" t="s">
        <v>42</v>
      </c>
      <c r="B980" s="3"/>
      <c r="C980" s="1" t="s">
        <v>28</v>
      </c>
      <c r="D980" s="1" t="s">
        <v>36</v>
      </c>
      <c r="E980" s="1" t="s">
        <v>43</v>
      </c>
      <c r="F980" s="1" t="s">
        <v>38</v>
      </c>
      <c r="G980" s="1" t="s">
        <v>44</v>
      </c>
      <c r="H980" s="2">
        <v>45794</v>
      </c>
      <c r="I980" s="2">
        <v>45821</v>
      </c>
      <c r="J980" s="1">
        <v>30582.58</v>
      </c>
      <c r="K980" s="1">
        <v>0.97050000000000003</v>
      </c>
      <c r="L980" s="1">
        <v>29680.39</v>
      </c>
      <c r="M980" s="1">
        <v>775179</v>
      </c>
      <c r="N980" s="1">
        <v>30208</v>
      </c>
      <c r="O980" s="1">
        <v>136375.88</v>
      </c>
      <c r="P980" s="1">
        <v>2025</v>
      </c>
      <c r="Q980" s="1" t="s">
        <v>45</v>
      </c>
      <c r="R980" s="1" t="s">
        <v>46</v>
      </c>
    </row>
    <row r="981" spans="1:18" x14ac:dyDescent="0.35">
      <c r="A981" s="3" t="s">
        <v>86</v>
      </c>
      <c r="B981" s="3"/>
      <c r="C981" s="1" t="s">
        <v>19</v>
      </c>
      <c r="D981" s="1" t="s">
        <v>69</v>
      </c>
      <c r="E981" s="1" t="s">
        <v>59</v>
      </c>
      <c r="F981" s="1" t="s">
        <v>22</v>
      </c>
      <c r="G981" s="1" t="s">
        <v>44</v>
      </c>
      <c r="H981" s="2">
        <v>45795</v>
      </c>
      <c r="I981" s="2">
        <v>45852</v>
      </c>
      <c r="J981" s="1">
        <v>23281.15</v>
      </c>
      <c r="K981" s="1">
        <v>0.79869999999999997</v>
      </c>
      <c r="L981" s="1">
        <v>18594.650000000001</v>
      </c>
      <c r="M981" s="1">
        <v>682875</v>
      </c>
      <c r="N981" s="1">
        <v>42009</v>
      </c>
      <c r="O981" s="1">
        <v>151300.76</v>
      </c>
      <c r="P981" s="1">
        <v>2025</v>
      </c>
      <c r="Q981" s="1" t="s">
        <v>45</v>
      </c>
      <c r="R981" s="1" t="s">
        <v>46</v>
      </c>
    </row>
    <row r="982" spans="1:18" x14ac:dyDescent="0.35">
      <c r="A982" s="3" t="s">
        <v>100</v>
      </c>
      <c r="B982" s="3"/>
      <c r="C982" s="1" t="s">
        <v>28</v>
      </c>
      <c r="D982" s="1" t="s">
        <v>36</v>
      </c>
      <c r="E982" s="1" t="s">
        <v>63</v>
      </c>
      <c r="F982" s="1" t="s">
        <v>22</v>
      </c>
      <c r="G982" s="1" t="s">
        <v>44</v>
      </c>
      <c r="H982" s="2">
        <v>45797</v>
      </c>
      <c r="I982" s="2">
        <v>45822</v>
      </c>
      <c r="J982" s="1">
        <v>1767.25</v>
      </c>
      <c r="K982" s="1">
        <v>0.25650000000000001</v>
      </c>
      <c r="L982" s="1">
        <v>453.3</v>
      </c>
      <c r="M982" s="1">
        <v>161195</v>
      </c>
      <c r="N982" s="1">
        <v>49399</v>
      </c>
      <c r="O982" s="1">
        <v>206069.23</v>
      </c>
      <c r="P982" s="1">
        <v>2025</v>
      </c>
      <c r="Q982" s="1" t="s">
        <v>45</v>
      </c>
      <c r="R982" s="1" t="s">
        <v>46</v>
      </c>
    </row>
    <row r="983" spans="1:18" x14ac:dyDescent="0.35">
      <c r="A983" s="3" t="s">
        <v>94</v>
      </c>
      <c r="B983" s="3"/>
      <c r="C983" s="1" t="s">
        <v>28</v>
      </c>
      <c r="D983" s="1" t="s">
        <v>36</v>
      </c>
      <c r="E983" s="1" t="s">
        <v>21</v>
      </c>
      <c r="F983" s="1" t="s">
        <v>22</v>
      </c>
      <c r="G983" s="1" t="s">
        <v>23</v>
      </c>
      <c r="H983" s="2">
        <v>45799</v>
      </c>
      <c r="I983" s="2">
        <v>45841</v>
      </c>
      <c r="J983" s="1">
        <v>28738.75</v>
      </c>
      <c r="K983" s="1">
        <v>0.40939999999999999</v>
      </c>
      <c r="L983" s="1">
        <v>11765.64</v>
      </c>
      <c r="M983" s="1">
        <v>324186</v>
      </c>
      <c r="N983" s="1">
        <v>27539</v>
      </c>
      <c r="O983" s="1">
        <v>85511.67</v>
      </c>
      <c r="P983" s="1">
        <v>2025</v>
      </c>
      <c r="Q983" s="1" t="s">
        <v>45</v>
      </c>
      <c r="R983" s="1" t="s">
        <v>46</v>
      </c>
    </row>
    <row r="984" spans="1:18" x14ac:dyDescent="0.35">
      <c r="A984" s="3" t="s">
        <v>85</v>
      </c>
      <c r="B984" s="3"/>
      <c r="C984" s="1" t="s">
        <v>19</v>
      </c>
      <c r="D984" s="1" t="s">
        <v>20</v>
      </c>
      <c r="E984" s="1" t="s">
        <v>59</v>
      </c>
      <c r="F984" s="1" t="s">
        <v>30</v>
      </c>
      <c r="G984" s="1" t="s">
        <v>49</v>
      </c>
      <c r="H984" s="2">
        <v>45799</v>
      </c>
      <c r="I984" s="2">
        <v>45835</v>
      </c>
      <c r="J984" s="1">
        <v>43601.37</v>
      </c>
      <c r="K984" s="1">
        <v>9.9099999999999994E-2</v>
      </c>
      <c r="L984" s="1">
        <v>4320.8999999999996</v>
      </c>
      <c r="M984" s="1">
        <v>525530</v>
      </c>
      <c r="N984" s="1">
        <v>21113</v>
      </c>
      <c r="O984" s="1">
        <v>64018.5</v>
      </c>
      <c r="P984" s="1">
        <v>2025</v>
      </c>
      <c r="Q984" s="1" t="s">
        <v>45</v>
      </c>
      <c r="R984" s="1" t="s">
        <v>46</v>
      </c>
    </row>
    <row r="985" spans="1:18" x14ac:dyDescent="0.35">
      <c r="A985" s="3" t="s">
        <v>47</v>
      </c>
      <c r="B985" s="3"/>
      <c r="C985" s="1" t="s">
        <v>28</v>
      </c>
      <c r="D985" s="1" t="s">
        <v>36</v>
      </c>
      <c r="E985" s="1" t="s">
        <v>63</v>
      </c>
      <c r="F985" s="1" t="s">
        <v>38</v>
      </c>
      <c r="G985" s="1" t="s">
        <v>49</v>
      </c>
      <c r="H985" s="2">
        <v>45799</v>
      </c>
      <c r="I985" s="2">
        <v>45830</v>
      </c>
      <c r="J985" s="1">
        <v>11381.69</v>
      </c>
      <c r="K985" s="1">
        <v>0.9345</v>
      </c>
      <c r="L985" s="1">
        <v>10636.19</v>
      </c>
      <c r="M985" s="1">
        <v>588381</v>
      </c>
      <c r="N985" s="1">
        <v>25074</v>
      </c>
      <c r="O985" s="1">
        <v>33052.769999999997</v>
      </c>
      <c r="P985" s="1">
        <v>2025</v>
      </c>
      <c r="Q985" s="1" t="s">
        <v>45</v>
      </c>
      <c r="R985" s="1" t="s">
        <v>46</v>
      </c>
    </row>
    <row r="986" spans="1:18" x14ac:dyDescent="0.35">
      <c r="A986" s="3" t="s">
        <v>100</v>
      </c>
      <c r="B986" s="3"/>
      <c r="C986" s="1" t="s">
        <v>19</v>
      </c>
      <c r="D986" s="1" t="s">
        <v>69</v>
      </c>
      <c r="E986" s="1" t="s">
        <v>59</v>
      </c>
      <c r="F986" s="1" t="s">
        <v>30</v>
      </c>
      <c r="G986" s="1" t="s">
        <v>49</v>
      </c>
      <c r="H986" s="2">
        <v>45801</v>
      </c>
      <c r="I986" s="2">
        <v>45831</v>
      </c>
      <c r="J986" s="1">
        <v>14701.85</v>
      </c>
      <c r="K986" s="1">
        <v>0.22409999999999999</v>
      </c>
      <c r="L986" s="1">
        <v>3294.68</v>
      </c>
      <c r="M986" s="1">
        <v>147509</v>
      </c>
      <c r="N986" s="1">
        <v>37841</v>
      </c>
      <c r="O986" s="1">
        <v>173072.92</v>
      </c>
      <c r="P986" s="1">
        <v>2025</v>
      </c>
      <c r="Q986" s="1" t="s">
        <v>45</v>
      </c>
      <c r="R986" s="1" t="s">
        <v>46</v>
      </c>
    </row>
    <row r="987" spans="1:18" x14ac:dyDescent="0.35">
      <c r="A987" s="3" t="s">
        <v>116</v>
      </c>
      <c r="B987" s="3"/>
      <c r="C987" s="1" t="s">
        <v>28</v>
      </c>
      <c r="D987" s="1" t="s">
        <v>20</v>
      </c>
      <c r="E987" s="1" t="s">
        <v>43</v>
      </c>
      <c r="F987" s="1" t="s">
        <v>38</v>
      </c>
      <c r="G987" s="1" t="s">
        <v>52</v>
      </c>
      <c r="H987" s="2">
        <v>45802</v>
      </c>
      <c r="I987" s="2">
        <v>45841</v>
      </c>
      <c r="J987" s="1">
        <v>21754.52</v>
      </c>
      <c r="K987" s="1">
        <v>0.4451</v>
      </c>
      <c r="L987" s="1">
        <v>9682.94</v>
      </c>
      <c r="M987" s="1">
        <v>298946</v>
      </c>
      <c r="N987" s="1">
        <v>44704</v>
      </c>
      <c r="O987" s="1">
        <v>102376.27</v>
      </c>
      <c r="P987" s="1">
        <v>2025</v>
      </c>
      <c r="Q987" s="1" t="s">
        <v>45</v>
      </c>
      <c r="R987" s="1" t="s">
        <v>46</v>
      </c>
    </row>
    <row r="988" spans="1:18" x14ac:dyDescent="0.35">
      <c r="A988" s="3" t="s">
        <v>88</v>
      </c>
      <c r="B988" s="3"/>
      <c r="C988" s="1" t="s">
        <v>35</v>
      </c>
      <c r="D988" s="1" t="s">
        <v>36</v>
      </c>
      <c r="E988" s="1" t="s">
        <v>51</v>
      </c>
      <c r="F988" s="1" t="s">
        <v>38</v>
      </c>
      <c r="G988" s="1" t="s">
        <v>44</v>
      </c>
      <c r="H988" s="2">
        <v>45804</v>
      </c>
      <c r="I988" s="2">
        <v>45848</v>
      </c>
      <c r="J988" s="1">
        <v>45939.87</v>
      </c>
      <c r="K988" s="1">
        <v>0.16350000000000001</v>
      </c>
      <c r="L988" s="1">
        <v>7511.17</v>
      </c>
      <c r="M988" s="1">
        <v>394546</v>
      </c>
      <c r="N988" s="1">
        <v>33685</v>
      </c>
      <c r="O988" s="1">
        <v>211984.73</v>
      </c>
      <c r="P988" s="1">
        <v>2025</v>
      </c>
      <c r="Q988" s="1" t="s">
        <v>45</v>
      </c>
      <c r="R988" s="1" t="s">
        <v>46</v>
      </c>
    </row>
    <row r="989" spans="1:18" x14ac:dyDescent="0.35">
      <c r="A989" s="3" t="s">
        <v>64</v>
      </c>
      <c r="B989" s="3"/>
      <c r="C989" s="1" t="s">
        <v>19</v>
      </c>
      <c r="D989" s="1" t="s">
        <v>20</v>
      </c>
      <c r="E989" s="1" t="s">
        <v>21</v>
      </c>
      <c r="F989" s="1" t="s">
        <v>38</v>
      </c>
      <c r="G989" s="1" t="s">
        <v>49</v>
      </c>
      <c r="H989" s="2">
        <v>45804</v>
      </c>
      <c r="I989" s="2">
        <v>45840</v>
      </c>
      <c r="J989" s="1">
        <v>36642.379999999997</v>
      </c>
      <c r="K989" s="1">
        <v>0.3659</v>
      </c>
      <c r="L989" s="1">
        <v>13407.45</v>
      </c>
      <c r="M989" s="1">
        <v>864602</v>
      </c>
      <c r="N989" s="1">
        <v>43304</v>
      </c>
      <c r="O989" s="1">
        <v>228532.21</v>
      </c>
      <c r="P989" s="1">
        <v>2025</v>
      </c>
      <c r="Q989" s="1" t="s">
        <v>45</v>
      </c>
      <c r="R989" s="1" t="s">
        <v>46</v>
      </c>
    </row>
    <row r="990" spans="1:18" x14ac:dyDescent="0.35">
      <c r="A990" s="3" t="s">
        <v>104</v>
      </c>
      <c r="B990" s="3"/>
      <c r="C990" s="1" t="s">
        <v>28</v>
      </c>
      <c r="D990" s="1" t="s">
        <v>36</v>
      </c>
      <c r="E990" s="1" t="s">
        <v>21</v>
      </c>
      <c r="F990" s="1" t="s">
        <v>22</v>
      </c>
      <c r="G990" s="1" t="s">
        <v>52</v>
      </c>
      <c r="H990" s="2">
        <v>45804</v>
      </c>
      <c r="I990" s="2">
        <v>45826</v>
      </c>
      <c r="J990" s="1">
        <v>26464.720000000001</v>
      </c>
      <c r="K990" s="1">
        <v>1.1013999999999999</v>
      </c>
      <c r="L990" s="1">
        <v>29148.240000000002</v>
      </c>
      <c r="M990" s="1">
        <v>22964</v>
      </c>
      <c r="N990" s="1">
        <v>46002</v>
      </c>
      <c r="O990" s="1">
        <v>157649.19</v>
      </c>
      <c r="P990" s="1">
        <v>2025</v>
      </c>
      <c r="Q990" s="1" t="s">
        <v>45</v>
      </c>
      <c r="R990" s="1" t="s">
        <v>46</v>
      </c>
    </row>
    <row r="991" spans="1:18" x14ac:dyDescent="0.35">
      <c r="A991" s="3" t="s">
        <v>87</v>
      </c>
      <c r="B991" s="3"/>
      <c r="C991" s="1" t="s">
        <v>19</v>
      </c>
      <c r="D991" s="1" t="s">
        <v>29</v>
      </c>
      <c r="E991" s="1" t="s">
        <v>51</v>
      </c>
      <c r="F991" s="1" t="s">
        <v>22</v>
      </c>
      <c r="G991" s="1" t="s">
        <v>31</v>
      </c>
      <c r="H991" s="2">
        <v>45807</v>
      </c>
      <c r="I991" s="2">
        <v>45849</v>
      </c>
      <c r="J991" s="1">
        <v>49511.53</v>
      </c>
      <c r="K991" s="1">
        <v>0.37340000000000001</v>
      </c>
      <c r="L991" s="1">
        <v>18487.61</v>
      </c>
      <c r="M991" s="1">
        <v>661194</v>
      </c>
      <c r="N991" s="1">
        <v>4047</v>
      </c>
      <c r="O991" s="1">
        <v>154359.57</v>
      </c>
      <c r="P991" s="1">
        <v>2025</v>
      </c>
      <c r="Q991" s="1" t="s">
        <v>45</v>
      </c>
      <c r="R991" s="1" t="s">
        <v>46</v>
      </c>
    </row>
    <row r="992" spans="1:18" x14ac:dyDescent="0.35">
      <c r="A992" s="3" t="s">
        <v>70</v>
      </c>
      <c r="B992" s="3"/>
      <c r="C992" s="1" t="s">
        <v>35</v>
      </c>
      <c r="D992" s="1" t="s">
        <v>36</v>
      </c>
      <c r="E992" s="1" t="s">
        <v>21</v>
      </c>
      <c r="F992" s="1" t="s">
        <v>38</v>
      </c>
      <c r="G992" s="1" t="s">
        <v>49</v>
      </c>
      <c r="H992" s="2">
        <v>45807</v>
      </c>
      <c r="I992" s="2">
        <v>45822</v>
      </c>
      <c r="J992" s="1">
        <v>45878.65</v>
      </c>
      <c r="K992" s="1">
        <v>0.76129999999999998</v>
      </c>
      <c r="L992" s="1">
        <v>34927.42</v>
      </c>
      <c r="M992" s="1">
        <v>932188</v>
      </c>
      <c r="N992" s="1">
        <v>42333</v>
      </c>
      <c r="O992" s="1">
        <v>104540.76</v>
      </c>
      <c r="P992" s="1">
        <v>2025</v>
      </c>
      <c r="Q992" s="1" t="s">
        <v>45</v>
      </c>
      <c r="R992" s="1" t="s">
        <v>46</v>
      </c>
    </row>
    <row r="993" spans="1:18" x14ac:dyDescent="0.35">
      <c r="A993" s="3" t="s">
        <v>88</v>
      </c>
      <c r="B993" s="3"/>
      <c r="C993" s="1" t="s">
        <v>28</v>
      </c>
      <c r="D993" s="1" t="s">
        <v>58</v>
      </c>
      <c r="E993" s="1" t="s">
        <v>21</v>
      </c>
      <c r="F993" s="1" t="s">
        <v>38</v>
      </c>
      <c r="G993" s="1" t="s">
        <v>44</v>
      </c>
      <c r="H993" s="2">
        <v>45808</v>
      </c>
      <c r="I993" s="2">
        <v>45831</v>
      </c>
      <c r="J993" s="1">
        <v>43418.3</v>
      </c>
      <c r="K993" s="1">
        <v>0.28989999999999999</v>
      </c>
      <c r="L993" s="1">
        <v>12586.97</v>
      </c>
      <c r="M993" s="1">
        <v>746333</v>
      </c>
      <c r="N993" s="1">
        <v>38776</v>
      </c>
      <c r="O993" s="1">
        <v>101595.74</v>
      </c>
      <c r="P993" s="1">
        <v>2025</v>
      </c>
      <c r="Q993" s="1" t="s">
        <v>45</v>
      </c>
      <c r="R993" s="1" t="s">
        <v>46</v>
      </c>
    </row>
    <row r="994" spans="1:18" x14ac:dyDescent="0.35">
      <c r="A994" s="3" t="s">
        <v>71</v>
      </c>
      <c r="B994" s="3"/>
      <c r="C994" s="1" t="s">
        <v>28</v>
      </c>
      <c r="D994" s="1" t="s">
        <v>36</v>
      </c>
      <c r="E994" s="1" t="s">
        <v>37</v>
      </c>
      <c r="F994" s="1" t="s">
        <v>30</v>
      </c>
      <c r="G994" s="1" t="s">
        <v>49</v>
      </c>
      <c r="H994" s="2">
        <v>45809</v>
      </c>
      <c r="I994" s="2">
        <v>45823</v>
      </c>
      <c r="J994" s="1">
        <v>39111.42</v>
      </c>
      <c r="K994" s="1">
        <v>0.18440000000000001</v>
      </c>
      <c r="L994" s="1">
        <v>7212.15</v>
      </c>
      <c r="M994" s="1">
        <v>164958</v>
      </c>
      <c r="N994" s="1">
        <v>25698</v>
      </c>
      <c r="O994" s="1">
        <v>114440.37</v>
      </c>
      <c r="P994" s="1">
        <v>2025</v>
      </c>
      <c r="Q994" s="1" t="s">
        <v>53</v>
      </c>
      <c r="R994" s="1" t="s">
        <v>46</v>
      </c>
    </row>
    <row r="995" spans="1:18" x14ac:dyDescent="0.35">
      <c r="A995" s="3" t="s">
        <v>103</v>
      </c>
      <c r="B995" s="3"/>
      <c r="C995" s="1" t="s">
        <v>48</v>
      </c>
      <c r="D995" s="1" t="s">
        <v>20</v>
      </c>
      <c r="E995" s="1" t="s">
        <v>59</v>
      </c>
      <c r="F995" s="1" t="s">
        <v>38</v>
      </c>
      <c r="G995" s="1" t="s">
        <v>23</v>
      </c>
      <c r="H995" s="2">
        <v>45810</v>
      </c>
      <c r="I995" s="2">
        <v>45823</v>
      </c>
      <c r="J995" s="1">
        <v>16140.92</v>
      </c>
      <c r="K995" s="1">
        <v>0.84909999999999997</v>
      </c>
      <c r="L995" s="1">
        <v>13705.26</v>
      </c>
      <c r="M995" s="1">
        <v>559249</v>
      </c>
      <c r="N995" s="1">
        <v>8963</v>
      </c>
      <c r="O995" s="1">
        <v>110365.75</v>
      </c>
      <c r="P995" s="1">
        <v>2025</v>
      </c>
      <c r="Q995" s="1" t="s">
        <v>53</v>
      </c>
      <c r="R995" s="1" t="s">
        <v>46</v>
      </c>
    </row>
    <row r="996" spans="1:18" x14ac:dyDescent="0.35">
      <c r="A996" s="3" t="s">
        <v>106</v>
      </c>
      <c r="B996" s="3"/>
      <c r="C996" s="1" t="s">
        <v>48</v>
      </c>
      <c r="D996" s="1" t="s">
        <v>20</v>
      </c>
      <c r="E996" s="1" t="s">
        <v>43</v>
      </c>
      <c r="F996" s="1" t="s">
        <v>38</v>
      </c>
      <c r="G996" s="1" t="s">
        <v>44</v>
      </c>
      <c r="H996" s="2">
        <v>45811</v>
      </c>
      <c r="I996" s="2">
        <v>45846</v>
      </c>
      <c r="J996" s="1">
        <v>23892.48</v>
      </c>
      <c r="K996" s="1">
        <v>1.0464</v>
      </c>
      <c r="L996" s="1">
        <v>25001.09</v>
      </c>
      <c r="M996" s="1">
        <v>990269</v>
      </c>
      <c r="N996" s="1">
        <v>17952</v>
      </c>
      <c r="O996" s="1">
        <v>139393.59</v>
      </c>
      <c r="P996" s="1">
        <v>2025</v>
      </c>
      <c r="Q996" s="1" t="s">
        <v>53</v>
      </c>
      <c r="R996" s="1" t="s">
        <v>46</v>
      </c>
    </row>
    <row r="997" spans="1:18" x14ac:dyDescent="0.35">
      <c r="A997" s="3" t="s">
        <v>50</v>
      </c>
      <c r="B997" s="3"/>
      <c r="C997" s="1" t="s">
        <v>19</v>
      </c>
      <c r="D997" s="1" t="s">
        <v>29</v>
      </c>
      <c r="E997" s="1" t="s">
        <v>63</v>
      </c>
      <c r="F997" s="1" t="s">
        <v>30</v>
      </c>
      <c r="G997" s="1" t="s">
        <v>31</v>
      </c>
      <c r="H997" s="2">
        <v>45812</v>
      </c>
      <c r="I997" s="2">
        <v>45866</v>
      </c>
      <c r="J997" s="1">
        <v>48389.78</v>
      </c>
      <c r="K997" s="1">
        <v>0.82179999999999997</v>
      </c>
      <c r="L997" s="1">
        <v>39766.720000000001</v>
      </c>
      <c r="M997" s="1">
        <v>507126</v>
      </c>
      <c r="N997" s="1">
        <v>8771</v>
      </c>
      <c r="O997" s="1">
        <v>163606.03</v>
      </c>
      <c r="P997" s="1">
        <v>2025</v>
      </c>
      <c r="Q997" s="1" t="s">
        <v>53</v>
      </c>
      <c r="R997" s="1" t="s">
        <v>46</v>
      </c>
    </row>
    <row r="998" spans="1:18" x14ac:dyDescent="0.35">
      <c r="A998" s="3" t="s">
        <v>111</v>
      </c>
      <c r="B998" s="3"/>
      <c r="C998" s="1" t="s">
        <v>48</v>
      </c>
      <c r="D998" s="1" t="s">
        <v>69</v>
      </c>
      <c r="E998" s="1" t="s">
        <v>43</v>
      </c>
      <c r="F998" s="1" t="s">
        <v>38</v>
      </c>
      <c r="G998" s="1" t="s">
        <v>44</v>
      </c>
      <c r="H998" s="2">
        <v>45813</v>
      </c>
      <c r="I998" s="2">
        <v>45836</v>
      </c>
      <c r="J998" s="1">
        <v>38902.85</v>
      </c>
      <c r="K998" s="1">
        <v>0.37969999999999998</v>
      </c>
      <c r="L998" s="1">
        <v>14771.41</v>
      </c>
      <c r="M998" s="1">
        <v>100581</v>
      </c>
      <c r="N998" s="1">
        <v>36347</v>
      </c>
      <c r="O998" s="1">
        <v>116902.81</v>
      </c>
      <c r="P998" s="1">
        <v>2025</v>
      </c>
      <c r="Q998" s="1" t="s">
        <v>53</v>
      </c>
      <c r="R998" s="1" t="s">
        <v>46</v>
      </c>
    </row>
    <row r="999" spans="1:18" x14ac:dyDescent="0.35">
      <c r="A999" s="3" t="s">
        <v>100</v>
      </c>
      <c r="B999" s="3"/>
      <c r="C999" s="1" t="s">
        <v>48</v>
      </c>
      <c r="D999" s="1" t="s">
        <v>20</v>
      </c>
      <c r="E999" s="1" t="s">
        <v>51</v>
      </c>
      <c r="F999" s="1" t="s">
        <v>30</v>
      </c>
      <c r="G999" s="1" t="s">
        <v>31</v>
      </c>
      <c r="H999" s="2">
        <v>45815</v>
      </c>
      <c r="I999" s="2">
        <v>45850</v>
      </c>
      <c r="J999" s="1">
        <v>9357.77</v>
      </c>
      <c r="K999" s="1">
        <v>0.99809999999999999</v>
      </c>
      <c r="L999" s="1">
        <v>9339.99</v>
      </c>
      <c r="M999" s="1">
        <v>640025</v>
      </c>
      <c r="N999" s="1">
        <v>9452</v>
      </c>
      <c r="O999" s="1">
        <v>199680.94</v>
      </c>
      <c r="P999" s="1">
        <v>2025</v>
      </c>
      <c r="Q999" s="1" t="s">
        <v>53</v>
      </c>
      <c r="R999" s="1" t="s">
        <v>46</v>
      </c>
    </row>
    <row r="1000" spans="1:18" x14ac:dyDescent="0.35">
      <c r="A1000" s="3" t="s">
        <v>102</v>
      </c>
      <c r="B1000" s="3"/>
      <c r="C1000" s="1" t="s">
        <v>19</v>
      </c>
      <c r="D1000" s="1" t="s">
        <v>20</v>
      </c>
      <c r="E1000" s="1" t="s">
        <v>59</v>
      </c>
      <c r="F1000" s="1" t="s">
        <v>38</v>
      </c>
      <c r="G1000" s="1" t="s">
        <v>49</v>
      </c>
      <c r="H1000" s="2">
        <v>45816</v>
      </c>
      <c r="I1000" s="2">
        <v>45861</v>
      </c>
      <c r="J1000" s="1">
        <v>9140.18</v>
      </c>
      <c r="K1000" s="1">
        <v>0.35880000000000001</v>
      </c>
      <c r="L1000" s="1">
        <v>3279.5</v>
      </c>
      <c r="M1000" s="1">
        <v>406077</v>
      </c>
      <c r="N1000" s="1">
        <v>8271</v>
      </c>
      <c r="O1000" s="1">
        <v>72806.740000000005</v>
      </c>
      <c r="P1000" s="1">
        <v>2025</v>
      </c>
      <c r="Q1000" s="1" t="s">
        <v>53</v>
      </c>
      <c r="R1000" s="1" t="s">
        <v>46</v>
      </c>
    </row>
    <row r="1001" spans="1:18" x14ac:dyDescent="0.35">
      <c r="A1001" s="3" t="s">
        <v>104</v>
      </c>
      <c r="B1001" s="3"/>
      <c r="C1001" s="1" t="s">
        <v>35</v>
      </c>
      <c r="D1001" s="1" t="s">
        <v>58</v>
      </c>
      <c r="E1001" s="1" t="s">
        <v>43</v>
      </c>
      <c r="F1001" s="1" t="s">
        <v>22</v>
      </c>
      <c r="G1001" s="1" t="s">
        <v>44</v>
      </c>
      <c r="H1001" s="2">
        <v>45820</v>
      </c>
      <c r="I1001" s="2">
        <v>45880</v>
      </c>
      <c r="J1001" s="1">
        <v>8735.2900000000009</v>
      </c>
      <c r="K1001" s="1">
        <v>0.3528</v>
      </c>
      <c r="L1001" s="1">
        <v>3081.81</v>
      </c>
      <c r="M1001" s="1">
        <v>570383</v>
      </c>
      <c r="N1001" s="1">
        <v>37806</v>
      </c>
      <c r="O1001" s="1">
        <v>64142.61</v>
      </c>
      <c r="P1001" s="1">
        <v>2025</v>
      </c>
      <c r="Q1001" s="1" t="s">
        <v>53</v>
      </c>
      <c r="R1001" s="1" t="s">
        <v>46</v>
      </c>
    </row>
    <row r="1002" spans="1:18" x14ac:dyDescent="0.35">
      <c r="A1002" s="3" t="s">
        <v>89</v>
      </c>
      <c r="B1002" s="3"/>
      <c r="C1002" s="1" t="s">
        <v>35</v>
      </c>
      <c r="D1002" s="1" t="s">
        <v>36</v>
      </c>
      <c r="E1002" s="1" t="s">
        <v>43</v>
      </c>
      <c r="F1002" s="1" t="s">
        <v>30</v>
      </c>
      <c r="G1002" s="1" t="s">
        <v>31</v>
      </c>
      <c r="H1002" s="2">
        <v>45820</v>
      </c>
      <c r="I1002" s="2">
        <v>45845</v>
      </c>
      <c r="J1002" s="1">
        <v>41514.28</v>
      </c>
      <c r="K1002" s="1">
        <v>0.82509999999999994</v>
      </c>
      <c r="L1002" s="1">
        <v>34253.43</v>
      </c>
      <c r="M1002" s="1">
        <v>325697</v>
      </c>
      <c r="N1002" s="1">
        <v>17890</v>
      </c>
      <c r="O1002" s="1">
        <v>172933.71</v>
      </c>
      <c r="P1002" s="1">
        <v>2025</v>
      </c>
      <c r="Q1002" s="1" t="s">
        <v>53</v>
      </c>
      <c r="R1002" s="1" t="s">
        <v>46</v>
      </c>
    </row>
    <row r="1003" spans="1:18" x14ac:dyDescent="0.35">
      <c r="A1003" s="3" t="s">
        <v>95</v>
      </c>
      <c r="B1003" s="3"/>
      <c r="C1003" s="1" t="s">
        <v>19</v>
      </c>
      <c r="D1003" s="1" t="s">
        <v>36</v>
      </c>
      <c r="E1003" s="1" t="s">
        <v>37</v>
      </c>
      <c r="F1003" s="1" t="s">
        <v>30</v>
      </c>
      <c r="G1003" s="1" t="s">
        <v>49</v>
      </c>
      <c r="H1003" s="2">
        <v>45820</v>
      </c>
      <c r="I1003" s="2">
        <v>45841</v>
      </c>
      <c r="J1003" s="1">
        <v>11132.15</v>
      </c>
      <c r="K1003" s="1">
        <v>0.25130000000000002</v>
      </c>
      <c r="L1003" s="1">
        <v>2797.51</v>
      </c>
      <c r="M1003" s="1">
        <v>271824</v>
      </c>
      <c r="N1003" s="1">
        <v>40640</v>
      </c>
      <c r="O1003" s="1">
        <v>92226.71</v>
      </c>
      <c r="P1003" s="1">
        <v>2025</v>
      </c>
      <c r="Q1003" s="1" t="s">
        <v>53</v>
      </c>
      <c r="R1003" s="1" t="s">
        <v>46</v>
      </c>
    </row>
    <row r="1004" spans="1:18" x14ac:dyDescent="0.35">
      <c r="A1004" s="3" t="s">
        <v>96</v>
      </c>
      <c r="B1004" s="3"/>
      <c r="C1004" s="1" t="s">
        <v>48</v>
      </c>
      <c r="D1004" s="1" t="s">
        <v>36</v>
      </c>
      <c r="E1004" s="1" t="s">
        <v>21</v>
      </c>
      <c r="F1004" s="1" t="s">
        <v>38</v>
      </c>
      <c r="G1004" s="1" t="s">
        <v>31</v>
      </c>
      <c r="H1004" s="2">
        <v>45822</v>
      </c>
      <c r="I1004" s="2">
        <v>45881</v>
      </c>
      <c r="J1004" s="1">
        <v>22575</v>
      </c>
      <c r="K1004" s="1">
        <v>0.63590000000000002</v>
      </c>
      <c r="L1004" s="1">
        <v>14355.44</v>
      </c>
      <c r="M1004" s="1">
        <v>489123</v>
      </c>
      <c r="N1004" s="1">
        <v>1105</v>
      </c>
      <c r="O1004" s="1">
        <v>181998.74</v>
      </c>
      <c r="P1004" s="1">
        <v>2025</v>
      </c>
      <c r="Q1004" s="1" t="s">
        <v>53</v>
      </c>
      <c r="R1004" s="1" t="s">
        <v>46</v>
      </c>
    </row>
    <row r="1005" spans="1:18" x14ac:dyDescent="0.35">
      <c r="A1005" s="3" t="s">
        <v>97</v>
      </c>
      <c r="B1005" s="3"/>
      <c r="C1005" s="1" t="s">
        <v>19</v>
      </c>
      <c r="D1005" s="1" t="s">
        <v>29</v>
      </c>
      <c r="E1005" s="1" t="s">
        <v>63</v>
      </c>
      <c r="F1005" s="1" t="s">
        <v>38</v>
      </c>
      <c r="G1005" s="1" t="s">
        <v>44</v>
      </c>
      <c r="H1005" s="2">
        <v>45822</v>
      </c>
      <c r="I1005" s="2">
        <v>45850</v>
      </c>
      <c r="J1005" s="1">
        <v>28172.5</v>
      </c>
      <c r="K1005" s="1">
        <v>0.1321</v>
      </c>
      <c r="L1005" s="1">
        <v>3721.59</v>
      </c>
      <c r="M1005" s="1">
        <v>896982</v>
      </c>
      <c r="N1005" s="1">
        <v>33910</v>
      </c>
      <c r="O1005" s="1">
        <v>213535.68</v>
      </c>
      <c r="P1005" s="1">
        <v>2025</v>
      </c>
      <c r="Q1005" s="1" t="s">
        <v>53</v>
      </c>
      <c r="R1005" s="1" t="s">
        <v>46</v>
      </c>
    </row>
    <row r="1006" spans="1:18" x14ac:dyDescent="0.35">
      <c r="A1006" s="3" t="s">
        <v>27</v>
      </c>
      <c r="B1006" s="3"/>
      <c r="C1006" s="1" t="s">
        <v>28</v>
      </c>
      <c r="D1006" s="1" t="s">
        <v>20</v>
      </c>
      <c r="E1006" s="1" t="s">
        <v>63</v>
      </c>
      <c r="F1006" s="1" t="s">
        <v>30</v>
      </c>
      <c r="G1006" s="1" t="s">
        <v>49</v>
      </c>
      <c r="H1006" s="2">
        <v>45824</v>
      </c>
      <c r="I1006" s="2">
        <v>45856</v>
      </c>
      <c r="J1006" s="1">
        <v>9125.36</v>
      </c>
      <c r="K1006" s="1">
        <v>0.51800000000000002</v>
      </c>
      <c r="L1006" s="1">
        <v>4726.9399999999996</v>
      </c>
      <c r="M1006" s="1">
        <v>735443</v>
      </c>
      <c r="N1006" s="1">
        <v>19906</v>
      </c>
      <c r="O1006" s="1">
        <v>127658.47</v>
      </c>
      <c r="P1006" s="1">
        <v>2025</v>
      </c>
      <c r="Q1006" s="1" t="s">
        <v>53</v>
      </c>
      <c r="R1006" s="1" t="s">
        <v>46</v>
      </c>
    </row>
    <row r="1007" spans="1:18" x14ac:dyDescent="0.35">
      <c r="A1007" s="3" t="s">
        <v>114</v>
      </c>
      <c r="B1007" s="3"/>
      <c r="C1007" s="1" t="s">
        <v>28</v>
      </c>
      <c r="D1007" s="1" t="s">
        <v>69</v>
      </c>
      <c r="E1007" s="1" t="s">
        <v>63</v>
      </c>
      <c r="F1007" s="1" t="s">
        <v>30</v>
      </c>
      <c r="G1007" s="1" t="s">
        <v>49</v>
      </c>
      <c r="H1007" s="2">
        <v>45826</v>
      </c>
      <c r="I1007" s="2">
        <v>45876</v>
      </c>
      <c r="J1007" s="1">
        <v>4203.5</v>
      </c>
      <c r="K1007" s="1">
        <v>0.18190000000000001</v>
      </c>
      <c r="L1007" s="1">
        <v>764.62</v>
      </c>
      <c r="M1007" s="1">
        <v>979047</v>
      </c>
      <c r="N1007" s="1">
        <v>8671</v>
      </c>
      <c r="O1007" s="1">
        <v>199750.04</v>
      </c>
      <c r="P1007" s="1">
        <v>2025</v>
      </c>
      <c r="Q1007" s="1" t="s">
        <v>53</v>
      </c>
      <c r="R1007" s="1" t="s">
        <v>46</v>
      </c>
    </row>
    <row r="1008" spans="1:18" x14ac:dyDescent="0.35">
      <c r="A1008" s="8" t="s">
        <v>93</v>
      </c>
      <c r="B1008" s="8"/>
      <c r="C1008" s="9" t="s">
        <v>48</v>
      </c>
      <c r="D1008" s="9" t="s">
        <v>36</v>
      </c>
      <c r="E1008" s="9" t="s">
        <v>63</v>
      </c>
      <c r="F1008" s="9" t="s">
        <v>38</v>
      </c>
      <c r="G1008" s="9" t="s">
        <v>23</v>
      </c>
      <c r="H1008" s="10">
        <v>45827</v>
      </c>
      <c r="I1008" s="10">
        <v>45875</v>
      </c>
      <c r="J1008" s="9">
        <v>19852.45</v>
      </c>
      <c r="K1008" s="9">
        <v>1.0622</v>
      </c>
      <c r="L1008" s="9">
        <v>21087.27</v>
      </c>
      <c r="M1008" s="9">
        <v>872752</v>
      </c>
      <c r="N1008" s="9">
        <v>7466</v>
      </c>
      <c r="O1008" s="9">
        <v>125496.04</v>
      </c>
      <c r="P1008" s="9">
        <v>2025</v>
      </c>
      <c r="Q1008" s="9" t="s">
        <v>53</v>
      </c>
      <c r="R1008" s="9" t="s">
        <v>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7188-4CCA-4474-ACE8-9901ED74DE26}">
  <dimension ref="A1:I1011"/>
  <sheetViews>
    <sheetView showGridLines="0" workbookViewId="0">
      <selection activeCell="C4" sqref="C4"/>
    </sheetView>
  </sheetViews>
  <sheetFormatPr defaultRowHeight="14.5" x14ac:dyDescent="0.35"/>
  <cols>
    <col min="1" max="1" width="16.453125" bestFit="1" customWidth="1"/>
    <col min="2" max="2" width="15" bestFit="1" customWidth="1"/>
    <col min="3" max="3" width="17.90625" bestFit="1" customWidth="1"/>
    <col min="4" max="4" width="15.453125" bestFit="1" customWidth="1"/>
    <col min="5" max="5" width="10" bestFit="1" customWidth="1"/>
    <col min="6" max="6" width="10.36328125" bestFit="1" customWidth="1"/>
    <col min="7" max="7" width="15.81640625" bestFit="1" customWidth="1"/>
    <col min="8" max="8" width="9.90625" bestFit="1" customWidth="1"/>
    <col min="9" max="9" width="16.7265625" bestFit="1" customWidth="1"/>
  </cols>
  <sheetData>
    <row r="1" spans="1:9" x14ac:dyDescent="0.35">
      <c r="A1" s="32" t="s">
        <v>124</v>
      </c>
      <c r="B1" s="32"/>
      <c r="C1" s="32"/>
      <c r="D1" s="32"/>
    </row>
    <row r="2" spans="1:9" x14ac:dyDescent="0.35">
      <c r="A2" s="17" t="str">
        <f>"Average Spend"</f>
        <v>Average Spend</v>
      </c>
      <c r="B2" s="18">
        <f>AVERAGE(Table14[USD_Spend])</f>
        <v>15870.820479999982</v>
      </c>
      <c r="C2" s="17" t="str">
        <f>"No. of Spend Outlier"</f>
        <v>No. of Spend Outlier</v>
      </c>
      <c r="D2" s="1">
        <f>COUNTIF(Table14[Spend_Outlier],"Outlier")</f>
        <v>8</v>
      </c>
    </row>
    <row r="3" spans="1:9" x14ac:dyDescent="0.35">
      <c r="A3" s="17" t="str">
        <f>"Average Sales"</f>
        <v>Average Sales</v>
      </c>
      <c r="B3" s="18">
        <f>AVERAGE(Table14[Sales])</f>
        <v>124560.06657999996</v>
      </c>
      <c r="C3" s="17" t="str">
        <f>"No. of Sales Outlier"</f>
        <v>No. of Sales Outlier</v>
      </c>
      <c r="D3" s="1">
        <f>COUNTIF(Table14[Sales Outlier],"Outlier")</f>
        <v>0</v>
      </c>
    </row>
    <row r="4" spans="1:9" x14ac:dyDescent="0.35">
      <c r="A4" s="17" t="str">
        <f>"Q3 Spend"</f>
        <v>Q3 Spend</v>
      </c>
      <c r="B4" s="18">
        <f>_xlfn.QUARTILE.INC(Table14[USD_Spend],3)</f>
        <v>24196.190000000002</v>
      </c>
      <c r="C4" s="17"/>
      <c r="D4" s="15"/>
    </row>
    <row r="5" spans="1:9" x14ac:dyDescent="0.35">
      <c r="A5" s="17" t="str">
        <f>"Q3 Sales"</f>
        <v>Q3 Sales</v>
      </c>
      <c r="B5" s="18">
        <f>_xlfn.QUARTILE.INC(Table14[Sales],3)</f>
        <v>181856.51500000001</v>
      </c>
      <c r="C5" s="17"/>
      <c r="D5" s="1"/>
    </row>
    <row r="6" spans="1:9" x14ac:dyDescent="0.35">
      <c r="A6" s="17" t="str">
        <f>"Q1 Spend"</f>
        <v>Q1 Spend</v>
      </c>
      <c r="B6" s="18">
        <f>_xlfn.QUARTILE.INC(Table14[USD_Spend],1)</f>
        <v>4601.8175000000001</v>
      </c>
    </row>
    <row r="7" spans="1:9" x14ac:dyDescent="0.35">
      <c r="A7" s="17" t="str">
        <f>"Q1 Sales"</f>
        <v>Q1 Sales</v>
      </c>
      <c r="B7" s="18">
        <f>_xlfn.QUARTILE.INC(Table14[Sales],1)</f>
        <v>69253.507500000007</v>
      </c>
    </row>
    <row r="8" spans="1:9" x14ac:dyDescent="0.35">
      <c r="A8" s="17" t="str">
        <f>"IQR Spend"</f>
        <v>IQR Spend</v>
      </c>
      <c r="B8" s="18">
        <f>B4-B6</f>
        <v>19594.372500000001</v>
      </c>
    </row>
    <row r="9" spans="1:9" x14ac:dyDescent="0.35">
      <c r="A9" s="17" t="str">
        <f>"IQR Sales"</f>
        <v>IQR Sales</v>
      </c>
      <c r="B9" s="18">
        <f>B5-B7</f>
        <v>112603.00750000001</v>
      </c>
    </row>
    <row r="11" spans="1:9" x14ac:dyDescent="0.35">
      <c r="A11" s="13" t="s">
        <v>0</v>
      </c>
      <c r="B11" s="14" t="s">
        <v>10</v>
      </c>
      <c r="C11" s="14" t="s">
        <v>122</v>
      </c>
      <c r="D11" s="14" t="s">
        <v>11</v>
      </c>
      <c r="E11" s="14" t="s">
        <v>12</v>
      </c>
      <c r="F11" s="14" t="s">
        <v>13</v>
      </c>
      <c r="G11" s="14" t="s">
        <v>123</v>
      </c>
      <c r="H11" s="14" t="s">
        <v>131</v>
      </c>
      <c r="I11" s="14" t="s">
        <v>146</v>
      </c>
    </row>
    <row r="12" spans="1:9" x14ac:dyDescent="0.35">
      <c r="A12" s="3" t="s">
        <v>103</v>
      </c>
      <c r="B12" s="15">
        <v>11480.43</v>
      </c>
      <c r="C12" s="1" t="str">
        <f>IF(OR(Table14[[#This Row],[USD_Spend]]&gt;($B$4+1.5*$B$8),Table14[[#This Row],[USD_Spend]]&lt;($B$6-1.5*$B$8)),"Outlier","Normal")</f>
        <v>Normal</v>
      </c>
      <c r="D12" s="1">
        <v>146828</v>
      </c>
      <c r="E12" s="1">
        <v>22431</v>
      </c>
      <c r="F12" s="15">
        <v>180649.72</v>
      </c>
      <c r="G12" s="15" t="str">
        <f>IF(OR(Table14[[#This Row],[Sales]]&gt;($B$5+1.5*$B$9),Table14[[#This Row],[Sales]]&lt;($B$7-1.5*$B$9)),"Outlier","Normal")</f>
        <v>Normal</v>
      </c>
      <c r="H12" s="21"/>
      <c r="I12" s="21">
        <f>Table1[[#This Row],[Sales]]/Table1[[#This Row],[USD_Spend]]</f>
        <v>5.6929813541814314</v>
      </c>
    </row>
    <row r="13" spans="1:9" x14ac:dyDescent="0.35">
      <c r="A13" s="3" t="s">
        <v>120</v>
      </c>
      <c r="B13" s="15">
        <v>23696.65</v>
      </c>
      <c r="C13" s="1" t="str">
        <f>IF(OR(Table14[[#This Row],[USD_Spend]]&gt;($B$4+1.5*$B$8),Table14[[#This Row],[USD_Spend]]&lt;($B$6-1.5*$B$8)),"Outlier","Normal")</f>
        <v>Normal</v>
      </c>
      <c r="D13" s="1">
        <v>313300</v>
      </c>
      <c r="E13" s="1">
        <v>42898</v>
      </c>
      <c r="F13" s="15">
        <v>243160.04</v>
      </c>
      <c r="G13" s="15" t="str">
        <f>IF(OR(Table14[[#This Row],[Sales]]&gt;($B$5+1.5*$B$9),Table14[[#This Row],[Sales]]&lt;($B$7-1.5*$B$9)),"Outlier","Normal")</f>
        <v>Normal</v>
      </c>
      <c r="H13" s="22"/>
      <c r="I13" s="22">
        <f>Table1[[#This Row],[Sales]]/Table1[[#This Row],[USD_Spend]]</f>
        <v>9.5244376734635061</v>
      </c>
    </row>
    <row r="14" spans="1:9" x14ac:dyDescent="0.35">
      <c r="A14" s="3" t="s">
        <v>96</v>
      </c>
      <c r="B14" s="15">
        <v>36694.839999999997</v>
      </c>
      <c r="C14" s="1" t="str">
        <f>IF(OR(Table14[[#This Row],[USD_Spend]]&gt;($B$4+1.5*$B$8),Table14[[#This Row],[USD_Spend]]&lt;($B$6-1.5*$B$8)),"Outlier","Normal")</f>
        <v>Normal</v>
      </c>
      <c r="D14" s="1">
        <v>64382</v>
      </c>
      <c r="E14" s="1">
        <v>21268</v>
      </c>
      <c r="F14" s="15">
        <v>110974.3</v>
      </c>
      <c r="G14" s="15" t="str">
        <f>IF(OR(Table14[[#This Row],[Sales]]&gt;($B$5+1.5*$B$9),Table14[[#This Row],[Sales]]&lt;($B$7-1.5*$B$9)),"Outlier","Normal")</f>
        <v>Normal</v>
      </c>
      <c r="H14" s="22"/>
      <c r="I14" s="22">
        <f>Table1[[#This Row],[Sales]]/Table1[[#This Row],[USD_Spend]]</f>
        <v>3.2401167557053916</v>
      </c>
    </row>
    <row r="15" spans="1:9" x14ac:dyDescent="0.35">
      <c r="A15" s="3" t="s">
        <v>96</v>
      </c>
      <c r="B15" s="15">
        <v>2894.08</v>
      </c>
      <c r="C15" s="1" t="str">
        <f>IF(OR(Table14[[#This Row],[USD_Spend]]&gt;($B$4+1.5*$B$8),Table14[[#This Row],[USD_Spend]]&lt;($B$6-1.5*$B$8)),"Outlier","Normal")</f>
        <v>Normal</v>
      </c>
      <c r="D15" s="1">
        <v>228677</v>
      </c>
      <c r="E15" s="1">
        <v>46629</v>
      </c>
      <c r="F15" s="15">
        <v>48638.18</v>
      </c>
      <c r="G15" s="15" t="str">
        <f>IF(OR(Table14[[#This Row],[Sales]]&gt;($B$5+1.5*$B$9),Table14[[#This Row],[Sales]]&lt;($B$7-1.5*$B$9)),"Outlier","Normal")</f>
        <v>Normal</v>
      </c>
      <c r="H15" s="22"/>
      <c r="I15" s="22">
        <f>Table1[[#This Row],[Sales]]/Table1[[#This Row],[USD_Spend]]</f>
        <v>7.377889217345281</v>
      </c>
    </row>
    <row r="16" spans="1:9" x14ac:dyDescent="0.35">
      <c r="A16" s="3" t="s">
        <v>106</v>
      </c>
      <c r="B16" s="15">
        <v>37828.129999999997</v>
      </c>
      <c r="C16" s="1" t="str">
        <f>IF(OR(Table14[[#This Row],[USD_Spend]]&gt;($B$4+1.5*$B$8),Table14[[#This Row],[USD_Spend]]&lt;($B$6-1.5*$B$8)),"Outlier","Normal")</f>
        <v>Normal</v>
      </c>
      <c r="D16" s="1">
        <v>126041</v>
      </c>
      <c r="E16" s="1">
        <v>12523</v>
      </c>
      <c r="F16" s="15">
        <v>74800.44</v>
      </c>
      <c r="G16" s="15" t="str">
        <f>IF(OR(Table14[[#This Row],[Sales]]&gt;($B$5+1.5*$B$9),Table14[[#This Row],[Sales]]&lt;($B$7-1.5*$B$9)),"Outlier","Normal")</f>
        <v>Normal</v>
      </c>
      <c r="H16" s="22"/>
      <c r="I16" s="22">
        <f>Table1[[#This Row],[Sales]]/Table1[[#This Row],[USD_Spend]]</f>
        <v>10.071770950744737</v>
      </c>
    </row>
    <row r="17" spans="1:9" x14ac:dyDescent="0.35">
      <c r="A17" s="3" t="s">
        <v>115</v>
      </c>
      <c r="B17" s="15">
        <v>8598.43</v>
      </c>
      <c r="C17" s="1" t="str">
        <f>IF(OR(Table14[[#This Row],[USD_Spend]]&gt;($B$4+1.5*$B$8),Table14[[#This Row],[USD_Spend]]&lt;($B$6-1.5*$B$8)),"Outlier","Normal")</f>
        <v>Normal</v>
      </c>
      <c r="D17" s="1">
        <v>122369</v>
      </c>
      <c r="E17" s="1">
        <v>437</v>
      </c>
      <c r="F17" s="15">
        <v>90681.82</v>
      </c>
      <c r="G17" s="15" t="str">
        <f>IF(OR(Table14[[#This Row],[Sales]]&gt;($B$5+1.5*$B$9),Table14[[#This Row],[Sales]]&lt;($B$7-1.5*$B$9)),"Outlier","Normal")</f>
        <v>Normal</v>
      </c>
      <c r="H17" s="22"/>
      <c r="I17" s="22">
        <f>Table1[[#This Row],[Sales]]/Table1[[#This Row],[USD_Spend]]</f>
        <v>0.89736036596087976</v>
      </c>
    </row>
    <row r="18" spans="1:9" x14ac:dyDescent="0.35">
      <c r="A18" s="3" t="s">
        <v>55</v>
      </c>
      <c r="B18" s="15">
        <v>24147.15</v>
      </c>
      <c r="C18" s="1" t="str">
        <f>IF(OR(Table14[[#This Row],[USD_Spend]]&gt;($B$4+1.5*$B$8),Table14[[#This Row],[USD_Spend]]&lt;($B$6-1.5*$B$8)),"Outlier","Normal")</f>
        <v>Normal</v>
      </c>
      <c r="D18" s="1">
        <v>290608</v>
      </c>
      <c r="E18" s="1">
        <v>43267</v>
      </c>
      <c r="F18" s="15">
        <v>69802.27</v>
      </c>
      <c r="G18" s="15" t="str">
        <f>IF(OR(Table14[[#This Row],[Sales]]&gt;($B$5+1.5*$B$9),Table14[[#This Row],[Sales]]&lt;($B$7-1.5*$B$9)),"Outlier","Normal")</f>
        <v>Normal</v>
      </c>
      <c r="H18" s="22"/>
      <c r="I18" s="22">
        <f>Table1[[#This Row],[Sales]]/Table1[[#This Row],[USD_Spend]]</f>
        <v>3.9013837626739791</v>
      </c>
    </row>
    <row r="19" spans="1:9" x14ac:dyDescent="0.35">
      <c r="A19" s="3" t="s">
        <v>107</v>
      </c>
      <c r="B19" s="15">
        <v>6070.99</v>
      </c>
      <c r="C19" s="1" t="str">
        <f>IF(OR(Table14[[#This Row],[USD_Spend]]&gt;($B$4+1.5*$B$8),Table14[[#This Row],[USD_Spend]]&lt;($B$6-1.5*$B$8)),"Outlier","Normal")</f>
        <v>Normal</v>
      </c>
      <c r="D19" s="1">
        <v>354625</v>
      </c>
      <c r="E19" s="1">
        <v>23530</v>
      </c>
      <c r="F19" s="15">
        <v>224159.27</v>
      </c>
      <c r="G19" s="15" t="str">
        <f>IF(OR(Table14[[#This Row],[Sales]]&gt;($B$5+1.5*$B$9),Table14[[#This Row],[Sales]]&lt;($B$7-1.5*$B$9)),"Outlier","Normal")</f>
        <v>Normal</v>
      </c>
      <c r="H19" s="22"/>
      <c r="I19" s="22">
        <f>Table1[[#This Row],[Sales]]/Table1[[#This Row],[USD_Spend]]</f>
        <v>14.830875853422503</v>
      </c>
    </row>
    <row r="20" spans="1:9" x14ac:dyDescent="0.35">
      <c r="A20" s="3" t="s">
        <v>78</v>
      </c>
      <c r="B20" s="15">
        <v>34140.35</v>
      </c>
      <c r="C20" s="1" t="str">
        <f>IF(OR(Table14[[#This Row],[USD_Spend]]&gt;($B$4+1.5*$B$8),Table14[[#This Row],[USD_Spend]]&lt;($B$6-1.5*$B$8)),"Outlier","Normal")</f>
        <v>Normal</v>
      </c>
      <c r="D20" s="1">
        <v>723612</v>
      </c>
      <c r="E20" s="1">
        <v>46577</v>
      </c>
      <c r="F20" s="15">
        <v>92666.15</v>
      </c>
      <c r="G20" s="15" t="str">
        <f>IF(OR(Table14[[#This Row],[Sales]]&gt;($B$5+1.5*$B$9),Table14[[#This Row],[Sales]]&lt;($B$7-1.5*$B$9)),"Outlier","Normal")</f>
        <v>Normal</v>
      </c>
      <c r="H20" s="22"/>
      <c r="I20" s="22">
        <f>Table1[[#This Row],[Sales]]/Table1[[#This Row],[USD_Spend]]</f>
        <v>10.821385321053153</v>
      </c>
    </row>
    <row r="21" spans="1:9" x14ac:dyDescent="0.35">
      <c r="A21" s="3" t="s">
        <v>70</v>
      </c>
      <c r="B21" s="15">
        <v>16097.33</v>
      </c>
      <c r="C21" s="1" t="str">
        <f>IF(OR(Table14[[#This Row],[USD_Spend]]&gt;($B$4+1.5*$B$8),Table14[[#This Row],[USD_Spend]]&lt;($B$6-1.5*$B$8)),"Outlier","Normal")</f>
        <v>Normal</v>
      </c>
      <c r="D21" s="1">
        <v>707640</v>
      </c>
      <c r="E21" s="1">
        <v>38271</v>
      </c>
      <c r="F21" s="15">
        <v>198355.76</v>
      </c>
      <c r="G21" s="15" t="str">
        <f>IF(OR(Table14[[#This Row],[Sales]]&gt;($B$5+1.5*$B$9),Table14[[#This Row],[Sales]]&lt;($B$7-1.5*$B$9)),"Outlier","Normal")</f>
        <v>Normal</v>
      </c>
      <c r="H21" s="22"/>
      <c r="I21" s="22">
        <f>Table1[[#This Row],[Sales]]/Table1[[#This Row],[USD_Spend]]</f>
        <v>3.0440036758305773</v>
      </c>
    </row>
    <row r="22" spans="1:9" x14ac:dyDescent="0.35">
      <c r="A22" s="3" t="s">
        <v>106</v>
      </c>
      <c r="B22" s="15">
        <v>21094.81</v>
      </c>
      <c r="C22" s="1" t="str">
        <f>IF(OR(Table14[[#This Row],[USD_Spend]]&gt;($B$4+1.5*$B$8),Table14[[#This Row],[USD_Spend]]&lt;($B$6-1.5*$B$8)),"Outlier","Normal")</f>
        <v>Normal</v>
      </c>
      <c r="D22" s="1">
        <v>812598</v>
      </c>
      <c r="E22" s="1">
        <v>12055</v>
      </c>
      <c r="F22" s="15">
        <v>120092.36</v>
      </c>
      <c r="G22" s="15" t="str">
        <f>IF(OR(Table14[[#This Row],[Sales]]&gt;($B$5+1.5*$B$9),Table14[[#This Row],[Sales]]&lt;($B$7-1.5*$B$9)),"Outlier","Normal")</f>
        <v>Normal</v>
      </c>
      <c r="H22" s="22"/>
      <c r="I22" s="22">
        <f>Table1[[#This Row],[Sales]]/Table1[[#This Row],[USD_Spend]]</f>
        <v>9.6370027781808609</v>
      </c>
    </row>
    <row r="23" spans="1:9" x14ac:dyDescent="0.35">
      <c r="A23" s="3" t="s">
        <v>18</v>
      </c>
      <c r="B23" s="15">
        <v>25264.68</v>
      </c>
      <c r="C23" s="1" t="str">
        <f>IF(OR(Table14[[#This Row],[USD_Spend]]&gt;($B$4+1.5*$B$8),Table14[[#This Row],[USD_Spend]]&lt;($B$6-1.5*$B$8)),"Outlier","Normal")</f>
        <v>Normal</v>
      </c>
      <c r="D23" s="1">
        <v>721451</v>
      </c>
      <c r="E23" s="1">
        <v>20788</v>
      </c>
      <c r="F23" s="15">
        <v>240631.87</v>
      </c>
      <c r="G23" s="15" t="str">
        <f>IF(OR(Table14[[#This Row],[Sales]]&gt;($B$5+1.5*$B$9),Table14[[#This Row],[Sales]]&lt;($B$7-1.5*$B$9)),"Outlier","Normal")</f>
        <v>Normal</v>
      </c>
      <c r="H23" s="22"/>
      <c r="I23" s="22">
        <f>Table1[[#This Row],[Sales]]/Table1[[#This Row],[USD_Spend]]</f>
        <v>71.466242493433199</v>
      </c>
    </row>
    <row r="24" spans="1:9" x14ac:dyDescent="0.35">
      <c r="A24" s="3" t="s">
        <v>99</v>
      </c>
      <c r="B24" s="15">
        <v>36935.24</v>
      </c>
      <c r="C24" s="1" t="str">
        <f>IF(OR(Table14[[#This Row],[USD_Spend]]&gt;($B$4+1.5*$B$8),Table14[[#This Row],[USD_Spend]]&lt;($B$6-1.5*$B$8)),"Outlier","Normal")</f>
        <v>Normal</v>
      </c>
      <c r="D24" s="1">
        <v>882496</v>
      </c>
      <c r="E24" s="1">
        <v>5340</v>
      </c>
      <c r="F24" s="15">
        <v>119674.49</v>
      </c>
      <c r="G24" s="15" t="str">
        <f>IF(OR(Table14[[#This Row],[Sales]]&gt;($B$5+1.5*$B$9),Table14[[#This Row],[Sales]]&lt;($B$7-1.5*$B$9)),"Outlier","Normal")</f>
        <v>Normal</v>
      </c>
      <c r="H24" s="22"/>
      <c r="I24" s="22">
        <f>Table1[[#This Row],[Sales]]/Table1[[#This Row],[USD_Spend]]</f>
        <v>9.8578001675728366</v>
      </c>
    </row>
    <row r="25" spans="1:9" x14ac:dyDescent="0.35">
      <c r="A25" s="3" t="s">
        <v>103</v>
      </c>
      <c r="B25" s="15">
        <v>11978.59</v>
      </c>
      <c r="C25" s="1" t="str">
        <f>IF(OR(Table14[[#This Row],[USD_Spend]]&gt;($B$4+1.5*$B$8),Table14[[#This Row],[USD_Spend]]&lt;($B$6-1.5*$B$8)),"Outlier","Normal")</f>
        <v>Normal</v>
      </c>
      <c r="D25" s="1">
        <v>518453</v>
      </c>
      <c r="E25" s="1">
        <v>27100</v>
      </c>
      <c r="F25" s="15">
        <v>88376.71</v>
      </c>
      <c r="G25" s="15" t="str">
        <f>IF(OR(Table14[[#This Row],[Sales]]&gt;($B$5+1.5*$B$9),Table14[[#This Row],[Sales]]&lt;($B$7-1.5*$B$9)),"Outlier","Normal")</f>
        <v>Normal</v>
      </c>
      <c r="H25" s="22"/>
      <c r="I25" s="22">
        <f>Table1[[#This Row],[Sales]]/Table1[[#This Row],[USD_Spend]]</f>
        <v>6.0616286120553529</v>
      </c>
    </row>
    <row r="26" spans="1:9" x14ac:dyDescent="0.35">
      <c r="A26" s="3" t="s">
        <v>99</v>
      </c>
      <c r="B26" s="15">
        <v>12819.95</v>
      </c>
      <c r="C26" s="1" t="str">
        <f>IF(OR(Table14[[#This Row],[USD_Spend]]&gt;($B$4+1.5*$B$8),Table14[[#This Row],[USD_Spend]]&lt;($B$6-1.5*$B$8)),"Outlier","Normal")</f>
        <v>Normal</v>
      </c>
      <c r="D26" s="1">
        <v>837630</v>
      </c>
      <c r="E26" s="1">
        <v>26181</v>
      </c>
      <c r="F26" s="15">
        <v>129119.6</v>
      </c>
      <c r="G26" s="15" t="str">
        <f>IF(OR(Table14[[#This Row],[Sales]]&gt;($B$5+1.5*$B$9),Table14[[#This Row],[Sales]]&lt;($B$7-1.5*$B$9)),"Outlier","Normal")</f>
        <v>Normal</v>
      </c>
      <c r="H26" s="22"/>
      <c r="I26" s="22">
        <f>Table1[[#This Row],[Sales]]/Table1[[#This Row],[USD_Spend]]</f>
        <v>39.668565333921784</v>
      </c>
    </row>
    <row r="27" spans="1:9" x14ac:dyDescent="0.35">
      <c r="A27" s="3" t="s">
        <v>87</v>
      </c>
      <c r="B27" s="15">
        <v>34633.21</v>
      </c>
      <c r="C27" s="1" t="str">
        <f>IF(OR(Table14[[#This Row],[USD_Spend]]&gt;($B$4+1.5*$B$8),Table14[[#This Row],[USD_Spend]]&lt;($B$6-1.5*$B$8)),"Outlier","Normal")</f>
        <v>Normal</v>
      </c>
      <c r="D27" s="1">
        <v>994630</v>
      </c>
      <c r="E27" s="1">
        <v>38324</v>
      </c>
      <c r="F27" s="15">
        <v>31078.47</v>
      </c>
      <c r="G27" s="15" t="str">
        <f>IF(OR(Table14[[#This Row],[Sales]]&gt;($B$5+1.5*$B$9),Table14[[#This Row],[Sales]]&lt;($B$7-1.5*$B$9)),"Outlier","Normal")</f>
        <v>Normal</v>
      </c>
      <c r="H27" s="22"/>
      <c r="I27" s="22">
        <f>Table1[[#This Row],[Sales]]/Table1[[#This Row],[USD_Spend]]</f>
        <v>2.9113675153485152</v>
      </c>
    </row>
    <row r="28" spans="1:9" x14ac:dyDescent="0.35">
      <c r="A28" s="3" t="s">
        <v>114</v>
      </c>
      <c r="B28" s="15">
        <v>19819.150000000001</v>
      </c>
      <c r="C28" s="1" t="str">
        <f>IF(OR(Table14[[#This Row],[USD_Spend]]&gt;($B$4+1.5*$B$8),Table14[[#This Row],[USD_Spend]]&lt;($B$6-1.5*$B$8)),"Outlier","Normal")</f>
        <v>Normal</v>
      </c>
      <c r="D28" s="1">
        <v>764987</v>
      </c>
      <c r="E28" s="1">
        <v>27466</v>
      </c>
      <c r="F28" s="15">
        <v>77322.11</v>
      </c>
      <c r="G28" s="15" t="str">
        <f>IF(OR(Table14[[#This Row],[Sales]]&gt;($B$5+1.5*$B$9),Table14[[#This Row],[Sales]]&lt;($B$7-1.5*$B$9)),"Outlier","Normal")</f>
        <v>Normal</v>
      </c>
      <c r="H28" s="22"/>
      <c r="I28" s="22">
        <f>Table1[[#This Row],[Sales]]/Table1[[#This Row],[USD_Spend]]</f>
        <v>3.7852624338081431</v>
      </c>
    </row>
    <row r="29" spans="1:9" x14ac:dyDescent="0.35">
      <c r="A29" s="3" t="s">
        <v>50</v>
      </c>
      <c r="B29" s="15">
        <v>15035.05</v>
      </c>
      <c r="C29" s="1" t="str">
        <f>IF(OR(Table14[[#This Row],[USD_Spend]]&gt;($B$4+1.5*$B$8),Table14[[#This Row],[USD_Spend]]&lt;($B$6-1.5*$B$8)),"Outlier","Normal")</f>
        <v>Normal</v>
      </c>
      <c r="D29" s="1">
        <v>155766</v>
      </c>
      <c r="E29" s="1">
        <v>29062</v>
      </c>
      <c r="F29" s="15">
        <v>222982.96</v>
      </c>
      <c r="G29" s="15" t="str">
        <f>IF(OR(Table14[[#This Row],[Sales]]&gt;($B$5+1.5*$B$9),Table14[[#This Row],[Sales]]&lt;($B$7-1.5*$B$9)),"Outlier","Normal")</f>
        <v>Normal</v>
      </c>
      <c r="H29" s="22"/>
      <c r="I29" s="22">
        <f>Table1[[#This Row],[Sales]]/Table1[[#This Row],[USD_Spend]]</f>
        <v>61.039884616258206</v>
      </c>
    </row>
    <row r="30" spans="1:9" x14ac:dyDescent="0.35">
      <c r="A30" s="3" t="s">
        <v>108</v>
      </c>
      <c r="B30" s="15">
        <v>19207.099999999999</v>
      </c>
      <c r="C30" s="1" t="str">
        <f>IF(OR(Table14[[#This Row],[USD_Spend]]&gt;($B$4+1.5*$B$8),Table14[[#This Row],[USD_Spend]]&lt;($B$6-1.5*$B$8)),"Outlier","Normal")</f>
        <v>Normal</v>
      </c>
      <c r="D30" s="1">
        <v>176309</v>
      </c>
      <c r="E30" s="1">
        <v>11550</v>
      </c>
      <c r="F30" s="15">
        <v>207847.43</v>
      </c>
      <c r="G30" s="15" t="str">
        <f>IF(OR(Table14[[#This Row],[Sales]]&gt;($B$5+1.5*$B$9),Table14[[#This Row],[Sales]]&lt;($B$7-1.5*$B$9)),"Outlier","Normal")</f>
        <v>Normal</v>
      </c>
      <c r="H30" s="22"/>
      <c r="I30" s="22">
        <f>Table1[[#This Row],[Sales]]/Table1[[#This Row],[USD_Spend]]</f>
        <v>12.654553375195807</v>
      </c>
    </row>
    <row r="31" spans="1:9" x14ac:dyDescent="0.35">
      <c r="A31" s="3" t="s">
        <v>109</v>
      </c>
      <c r="B31" s="15">
        <v>47793.279999999999</v>
      </c>
      <c r="C31" s="1" t="str">
        <f>IF(OR(Table14[[#This Row],[USD_Spend]]&gt;($B$4+1.5*$B$8),Table14[[#This Row],[USD_Spend]]&lt;($B$6-1.5*$B$8)),"Outlier","Normal")</f>
        <v>Normal</v>
      </c>
      <c r="D31" s="1">
        <v>613727</v>
      </c>
      <c r="E31" s="1">
        <v>28233</v>
      </c>
      <c r="F31" s="15">
        <v>145482.92000000001</v>
      </c>
      <c r="G31" s="15" t="str">
        <f>IF(OR(Table14[[#This Row],[Sales]]&gt;($B$5+1.5*$B$9),Table14[[#This Row],[Sales]]&lt;($B$7-1.5*$B$9)),"Outlier","Normal")</f>
        <v>Normal</v>
      </c>
      <c r="H31" s="22"/>
      <c r="I31" s="22">
        <f>Table1[[#This Row],[Sales]]/Table1[[#This Row],[USD_Spend]]</f>
        <v>3.1786201994649592</v>
      </c>
    </row>
    <row r="32" spans="1:9" x14ac:dyDescent="0.35">
      <c r="A32" s="3" t="s">
        <v>72</v>
      </c>
      <c r="B32" s="15">
        <v>19915.91</v>
      </c>
      <c r="C32" s="1" t="str">
        <f>IF(OR(Table14[[#This Row],[USD_Spend]]&gt;($B$4+1.5*$B$8),Table14[[#This Row],[USD_Spend]]&lt;($B$6-1.5*$B$8)),"Outlier","Normal")</f>
        <v>Normal</v>
      </c>
      <c r="D32" s="1">
        <v>116440</v>
      </c>
      <c r="E32" s="1">
        <v>16242</v>
      </c>
      <c r="F32" s="15">
        <v>191929.68</v>
      </c>
      <c r="G32" s="15" t="str">
        <f>IF(OR(Table14[[#This Row],[Sales]]&gt;($B$5+1.5*$B$9),Table14[[#This Row],[Sales]]&lt;($B$7-1.5*$B$9)),"Outlier","Normal")</f>
        <v>Normal</v>
      </c>
      <c r="H32" s="22"/>
      <c r="I32" s="22">
        <f>Table1[[#This Row],[Sales]]/Table1[[#This Row],[USD_Spend]]</f>
        <v>31.544550297530222</v>
      </c>
    </row>
    <row r="33" spans="1:9" x14ac:dyDescent="0.35">
      <c r="A33" s="3" t="s">
        <v>105</v>
      </c>
      <c r="B33" s="15">
        <v>2154.7800000000002</v>
      </c>
      <c r="C33" s="1" t="str">
        <f>IF(OR(Table14[[#This Row],[USD_Spend]]&gt;($B$4+1.5*$B$8),Table14[[#This Row],[USD_Spend]]&lt;($B$6-1.5*$B$8)),"Outlier","Normal")</f>
        <v>Normal</v>
      </c>
      <c r="D33" s="1">
        <v>215703</v>
      </c>
      <c r="E33" s="1">
        <v>35108</v>
      </c>
      <c r="F33" s="15">
        <v>153994.03</v>
      </c>
      <c r="G33" s="15" t="str">
        <f>IF(OR(Table14[[#This Row],[Sales]]&gt;($B$5+1.5*$B$9),Table14[[#This Row],[Sales]]&lt;($B$7-1.5*$B$9)),"Outlier","Normal")</f>
        <v>Normal</v>
      </c>
      <c r="H33" s="22"/>
      <c r="I33" s="22">
        <f>Table1[[#This Row],[Sales]]/Table1[[#This Row],[USD_Spend]]</f>
        <v>2.268990238060729</v>
      </c>
    </row>
    <row r="34" spans="1:9" x14ac:dyDescent="0.35">
      <c r="A34" s="3" t="s">
        <v>114</v>
      </c>
      <c r="B34" s="15">
        <v>24717.61</v>
      </c>
      <c r="C34" s="1" t="str">
        <f>IF(OR(Table14[[#This Row],[USD_Spend]]&gt;($B$4+1.5*$B$8),Table14[[#This Row],[USD_Spend]]&lt;($B$6-1.5*$B$8)),"Outlier","Normal")</f>
        <v>Normal</v>
      </c>
      <c r="D34" s="1">
        <v>960895</v>
      </c>
      <c r="E34" s="1">
        <v>5931</v>
      </c>
      <c r="F34" s="15">
        <v>243661.26</v>
      </c>
      <c r="G34" s="15" t="str">
        <f>IF(OR(Table14[[#This Row],[Sales]]&gt;($B$5+1.5*$B$9),Table14[[#This Row],[Sales]]&lt;($B$7-1.5*$B$9)),"Outlier","Normal")</f>
        <v>Normal</v>
      </c>
      <c r="H34" s="22"/>
      <c r="I34" s="22">
        <f>Table1[[#This Row],[Sales]]/Table1[[#This Row],[USD_Spend]]</f>
        <v>7.9005385548678753</v>
      </c>
    </row>
    <row r="35" spans="1:9" x14ac:dyDescent="0.35">
      <c r="A35" s="3" t="s">
        <v>70</v>
      </c>
      <c r="B35" s="15">
        <v>18833.46</v>
      </c>
      <c r="C35" s="1" t="str">
        <f>IF(OR(Table14[[#This Row],[USD_Spend]]&gt;($B$4+1.5*$B$8),Table14[[#This Row],[USD_Spend]]&lt;($B$6-1.5*$B$8)),"Outlier","Normal")</f>
        <v>Normal</v>
      </c>
      <c r="D35" s="1">
        <v>851814</v>
      </c>
      <c r="E35" s="1">
        <v>33440</v>
      </c>
      <c r="F35" s="15">
        <v>114161.44</v>
      </c>
      <c r="G35" s="15" t="str">
        <f>IF(OR(Table14[[#This Row],[Sales]]&gt;($B$5+1.5*$B$9),Table14[[#This Row],[Sales]]&lt;($B$7-1.5*$B$9)),"Outlier","Normal")</f>
        <v>Normal</v>
      </c>
      <c r="H35" s="22"/>
      <c r="I35" s="22">
        <f>Table1[[#This Row],[Sales]]/Table1[[#This Row],[USD_Spend]]</f>
        <v>38.940916164468725</v>
      </c>
    </row>
    <row r="36" spans="1:9" x14ac:dyDescent="0.35">
      <c r="A36" s="3" t="s">
        <v>96</v>
      </c>
      <c r="B36" s="15">
        <v>4350.42</v>
      </c>
      <c r="C36" s="1" t="str">
        <f>IF(OR(Table14[[#This Row],[USD_Spend]]&gt;($B$4+1.5*$B$8),Table14[[#This Row],[USD_Spend]]&lt;($B$6-1.5*$B$8)),"Outlier","Normal")</f>
        <v>Normal</v>
      </c>
      <c r="D36" s="1">
        <v>567286</v>
      </c>
      <c r="E36" s="1">
        <v>7308</v>
      </c>
      <c r="F36" s="15">
        <v>172574.92</v>
      </c>
      <c r="G36" s="15" t="str">
        <f>IF(OR(Table14[[#This Row],[Sales]]&gt;($B$5+1.5*$B$9),Table14[[#This Row],[Sales]]&lt;($B$7-1.5*$B$9)),"Outlier","Normal")</f>
        <v>Normal</v>
      </c>
      <c r="H36" s="22"/>
      <c r="I36" s="22">
        <f>Table1[[#This Row],[Sales]]/Table1[[#This Row],[USD_Spend]]</f>
        <v>4.127500537055667</v>
      </c>
    </row>
    <row r="37" spans="1:9" x14ac:dyDescent="0.35">
      <c r="A37" s="3" t="s">
        <v>81</v>
      </c>
      <c r="B37" s="15">
        <v>12638.03</v>
      </c>
      <c r="C37" s="1" t="str">
        <f>IF(OR(Table14[[#This Row],[USD_Spend]]&gt;($B$4+1.5*$B$8),Table14[[#This Row],[USD_Spend]]&lt;($B$6-1.5*$B$8)),"Outlier","Normal")</f>
        <v>Normal</v>
      </c>
      <c r="D37" s="1">
        <v>852700</v>
      </c>
      <c r="E37" s="1">
        <v>36252</v>
      </c>
      <c r="F37" s="15">
        <v>36793.949999999997</v>
      </c>
      <c r="G37" s="15" t="str">
        <f>IF(OR(Table14[[#This Row],[Sales]]&gt;($B$5+1.5*$B$9),Table14[[#This Row],[Sales]]&lt;($B$7-1.5*$B$9)),"Outlier","Normal")</f>
        <v>Normal</v>
      </c>
      <c r="H37" s="22"/>
      <c r="I37" s="22">
        <f>Table1[[#This Row],[Sales]]/Table1[[#This Row],[USD_Spend]]</f>
        <v>66.607150063771869</v>
      </c>
    </row>
    <row r="38" spans="1:9" x14ac:dyDescent="0.35">
      <c r="A38" s="3" t="s">
        <v>102</v>
      </c>
      <c r="B38" s="15">
        <v>40152.22</v>
      </c>
      <c r="C38" s="1" t="str">
        <f>IF(OR(Table14[[#This Row],[USD_Spend]]&gt;($B$4+1.5*$B$8),Table14[[#This Row],[USD_Spend]]&lt;($B$6-1.5*$B$8)),"Outlier","Normal")</f>
        <v>Normal</v>
      </c>
      <c r="D38" s="1">
        <v>554172</v>
      </c>
      <c r="E38" s="1">
        <v>48678</v>
      </c>
      <c r="F38" s="15">
        <v>151986.69</v>
      </c>
      <c r="G38" s="15" t="str">
        <f>IF(OR(Table14[[#This Row],[Sales]]&gt;($B$5+1.5*$B$9),Table14[[#This Row],[Sales]]&lt;($B$7-1.5*$B$9)),"Outlier","Normal")</f>
        <v>Normal</v>
      </c>
      <c r="H38" s="22"/>
      <c r="I38" s="22">
        <f>Table1[[#This Row],[Sales]]/Table1[[#This Row],[USD_Spend]]</f>
        <v>71.513799834880359</v>
      </c>
    </row>
    <row r="39" spans="1:9" x14ac:dyDescent="0.35">
      <c r="A39" s="3" t="s">
        <v>72</v>
      </c>
      <c r="B39" s="15">
        <v>3522.16</v>
      </c>
      <c r="C39" s="1" t="str">
        <f>IF(OR(Table14[[#This Row],[USD_Spend]]&gt;($B$4+1.5*$B$8),Table14[[#This Row],[USD_Spend]]&lt;($B$6-1.5*$B$8)),"Outlier","Normal")</f>
        <v>Normal</v>
      </c>
      <c r="D39" s="1">
        <v>827711</v>
      </c>
      <c r="E39" s="1">
        <v>14145</v>
      </c>
      <c r="F39" s="15">
        <v>214992.24</v>
      </c>
      <c r="G39" s="15" t="str">
        <f>IF(OR(Table14[[#This Row],[Sales]]&gt;($B$5+1.5*$B$9),Table14[[#This Row],[Sales]]&lt;($B$7-1.5*$B$9)),"Outlier","Normal")</f>
        <v>Normal</v>
      </c>
      <c r="H39" s="22"/>
      <c r="I39" s="22">
        <f>Table1[[#This Row],[Sales]]/Table1[[#This Row],[USD_Spend]]</f>
        <v>1.0158452630676726</v>
      </c>
    </row>
    <row r="40" spans="1:9" x14ac:dyDescent="0.35">
      <c r="A40" s="3" t="s">
        <v>78</v>
      </c>
      <c r="B40" s="15">
        <v>18341.009999999998</v>
      </c>
      <c r="C40" s="1" t="str">
        <f>IF(OR(Table14[[#This Row],[USD_Spend]]&gt;($B$4+1.5*$B$8),Table14[[#This Row],[USD_Spend]]&lt;($B$6-1.5*$B$8)),"Outlier","Normal")</f>
        <v>Normal</v>
      </c>
      <c r="D40" s="1">
        <v>288479</v>
      </c>
      <c r="E40" s="1">
        <v>7854</v>
      </c>
      <c r="F40" s="15">
        <v>232097.29</v>
      </c>
      <c r="G40" s="15" t="str">
        <f>IF(OR(Table14[[#This Row],[Sales]]&gt;($B$5+1.5*$B$9),Table14[[#This Row],[Sales]]&lt;($B$7-1.5*$B$9)),"Outlier","Normal")</f>
        <v>Normal</v>
      </c>
      <c r="H40" s="22"/>
      <c r="I40" s="22">
        <f>Table1[[#This Row],[Sales]]/Table1[[#This Row],[USD_Spend]]</f>
        <v>5.7214085199062152</v>
      </c>
    </row>
    <row r="41" spans="1:9" x14ac:dyDescent="0.35">
      <c r="A41" s="3" t="s">
        <v>91</v>
      </c>
      <c r="B41" s="15">
        <v>14294.24</v>
      </c>
      <c r="C41" s="1" t="str">
        <f>IF(OR(Table14[[#This Row],[USD_Spend]]&gt;($B$4+1.5*$B$8),Table14[[#This Row],[USD_Spend]]&lt;($B$6-1.5*$B$8)),"Outlier","Normal")</f>
        <v>Normal</v>
      </c>
      <c r="D41" s="1">
        <v>433956</v>
      </c>
      <c r="E41" s="1">
        <v>47559</v>
      </c>
      <c r="F41" s="15">
        <v>45435.96</v>
      </c>
      <c r="G41" s="15" t="str">
        <f>IF(OR(Table14[[#This Row],[Sales]]&gt;($B$5+1.5*$B$9),Table14[[#This Row],[Sales]]&lt;($B$7-1.5*$B$9)),"Outlier","Normal")</f>
        <v>Normal</v>
      </c>
      <c r="H41" s="22"/>
      <c r="I41" s="22">
        <f>Table1[[#This Row],[Sales]]/Table1[[#This Row],[USD_Spend]]</f>
        <v>3.4124822526672354</v>
      </c>
    </row>
    <row r="42" spans="1:9" x14ac:dyDescent="0.35">
      <c r="A42" s="3" t="s">
        <v>72</v>
      </c>
      <c r="B42" s="15">
        <v>7572.34</v>
      </c>
      <c r="C42" s="1" t="str">
        <f>IF(OR(Table14[[#This Row],[USD_Spend]]&gt;($B$4+1.5*$B$8),Table14[[#This Row],[USD_Spend]]&lt;($B$6-1.5*$B$8)),"Outlier","Normal")</f>
        <v>Normal</v>
      </c>
      <c r="D42" s="1">
        <v>731403</v>
      </c>
      <c r="E42" s="1">
        <v>39169</v>
      </c>
      <c r="F42" s="15">
        <v>238866.06</v>
      </c>
      <c r="G42" s="15" t="str">
        <f>IF(OR(Table14[[#This Row],[Sales]]&gt;($B$5+1.5*$B$9),Table14[[#This Row],[Sales]]&lt;($B$7-1.5*$B$9)),"Outlier","Normal")</f>
        <v>Normal</v>
      </c>
      <c r="H42" s="22"/>
      <c r="I42" s="22">
        <f>Table1[[#This Row],[Sales]]/Table1[[#This Row],[USD_Spend]]</f>
        <v>5.7493742739727765</v>
      </c>
    </row>
    <row r="43" spans="1:9" x14ac:dyDescent="0.35">
      <c r="A43" s="3" t="s">
        <v>103</v>
      </c>
      <c r="B43" s="15">
        <v>34428.61</v>
      </c>
      <c r="C43" s="1" t="str">
        <f>IF(OR(Table14[[#This Row],[USD_Spend]]&gt;($B$4+1.5*$B$8),Table14[[#This Row],[USD_Spend]]&lt;($B$6-1.5*$B$8)),"Outlier","Normal")</f>
        <v>Normal</v>
      </c>
      <c r="D43" s="1">
        <v>888721</v>
      </c>
      <c r="E43" s="1">
        <v>39636</v>
      </c>
      <c r="F43" s="15">
        <v>78118.179999999993</v>
      </c>
      <c r="G43" s="15" t="str">
        <f>IF(OR(Table14[[#This Row],[Sales]]&gt;($B$5+1.5*$B$9),Table14[[#This Row],[Sales]]&lt;($B$7-1.5*$B$9)),"Outlier","Normal")</f>
        <v>Normal</v>
      </c>
      <c r="H43" s="22"/>
      <c r="I43" s="22">
        <f>Table1[[#This Row],[Sales]]/Table1[[#This Row],[USD_Spend]]</f>
        <v>64.928606969501914</v>
      </c>
    </row>
    <row r="44" spans="1:9" x14ac:dyDescent="0.35">
      <c r="A44" s="3" t="s">
        <v>86</v>
      </c>
      <c r="B44" s="15">
        <v>20209.64</v>
      </c>
      <c r="C44" s="1" t="str">
        <f>IF(OR(Table14[[#This Row],[USD_Spend]]&gt;($B$4+1.5*$B$8),Table14[[#This Row],[USD_Spend]]&lt;($B$6-1.5*$B$8)),"Outlier","Normal")</f>
        <v>Normal</v>
      </c>
      <c r="D44" s="1">
        <v>402505</v>
      </c>
      <c r="E44" s="1">
        <v>39849</v>
      </c>
      <c r="F44" s="15">
        <v>159667.04</v>
      </c>
      <c r="G44" s="15" t="str">
        <f>IF(OR(Table14[[#This Row],[Sales]]&gt;($B$5+1.5*$B$9),Table14[[#This Row],[Sales]]&lt;($B$7-1.5*$B$9)),"Outlier","Normal")</f>
        <v>Normal</v>
      </c>
      <c r="H44" s="22"/>
      <c r="I44" s="22">
        <f>Table1[[#This Row],[Sales]]/Table1[[#This Row],[USD_Spend]]</f>
        <v>44.046964460665571</v>
      </c>
    </row>
    <row r="45" spans="1:9" x14ac:dyDescent="0.35">
      <c r="A45" s="3" t="s">
        <v>104</v>
      </c>
      <c r="B45" s="15">
        <v>4890.17</v>
      </c>
      <c r="C45" s="1" t="str">
        <f>IF(OR(Table14[[#This Row],[USD_Spend]]&gt;($B$4+1.5*$B$8),Table14[[#This Row],[USD_Spend]]&lt;($B$6-1.5*$B$8)),"Outlier","Normal")</f>
        <v>Normal</v>
      </c>
      <c r="D45" s="1">
        <v>24760</v>
      </c>
      <c r="E45" s="1">
        <v>21216</v>
      </c>
      <c r="F45" s="15">
        <v>190427.7</v>
      </c>
      <c r="G45" s="15" t="str">
        <f>IF(OR(Table14[[#This Row],[Sales]]&gt;($B$5+1.5*$B$9),Table14[[#This Row],[Sales]]&lt;($B$7-1.5*$B$9)),"Outlier","Normal")</f>
        <v>Normal</v>
      </c>
      <c r="H45" s="22"/>
      <c r="I45" s="22">
        <f>Table1[[#This Row],[Sales]]/Table1[[#This Row],[USD_Spend]]</f>
        <v>160.54296707159878</v>
      </c>
    </row>
    <row r="46" spans="1:9" x14ac:dyDescent="0.35">
      <c r="A46" s="3" t="s">
        <v>89</v>
      </c>
      <c r="B46" s="15">
        <v>17037.34</v>
      </c>
      <c r="C46" s="1" t="str">
        <f>IF(OR(Table14[[#This Row],[USD_Spend]]&gt;($B$4+1.5*$B$8),Table14[[#This Row],[USD_Spend]]&lt;($B$6-1.5*$B$8)),"Outlier","Normal")</f>
        <v>Normal</v>
      </c>
      <c r="D46" s="1">
        <v>549764</v>
      </c>
      <c r="E46" s="1">
        <v>27701</v>
      </c>
      <c r="F46" s="15">
        <v>70321.63</v>
      </c>
      <c r="G46" s="15" t="str">
        <f>IF(OR(Table14[[#This Row],[Sales]]&gt;($B$5+1.5*$B$9),Table14[[#This Row],[Sales]]&lt;($B$7-1.5*$B$9)),"Outlier","Normal")</f>
        <v>Normal</v>
      </c>
      <c r="H46" s="22"/>
      <c r="I46" s="22">
        <f>Table1[[#This Row],[Sales]]/Table1[[#This Row],[USD_Spend]]</f>
        <v>37.314229929941426</v>
      </c>
    </row>
    <row r="47" spans="1:9" x14ac:dyDescent="0.35">
      <c r="A47" s="3" t="s">
        <v>70</v>
      </c>
      <c r="B47" s="15">
        <v>2626.55</v>
      </c>
      <c r="C47" s="1" t="str">
        <f>IF(OR(Table14[[#This Row],[USD_Spend]]&gt;($B$4+1.5*$B$8),Table14[[#This Row],[USD_Spend]]&lt;($B$6-1.5*$B$8)),"Outlier","Normal")</f>
        <v>Normal</v>
      </c>
      <c r="D47" s="1">
        <v>648221</v>
      </c>
      <c r="E47" s="1">
        <v>44717</v>
      </c>
      <c r="F47" s="15">
        <v>174947.01</v>
      </c>
      <c r="G47" s="15" t="str">
        <f>IF(OR(Table14[[#This Row],[Sales]]&gt;($B$5+1.5*$B$9),Table14[[#This Row],[Sales]]&lt;($B$7-1.5*$B$9)),"Outlier","Normal")</f>
        <v>Normal</v>
      </c>
      <c r="H47" s="22"/>
      <c r="I47" s="22">
        <f>Table1[[#This Row],[Sales]]/Table1[[#This Row],[USD_Spend]]</f>
        <v>27.078854508934906</v>
      </c>
    </row>
    <row r="48" spans="1:9" x14ac:dyDescent="0.35">
      <c r="A48" s="3" t="s">
        <v>113</v>
      </c>
      <c r="B48" s="15">
        <v>2592.06</v>
      </c>
      <c r="C48" s="1" t="str">
        <f>IF(OR(Table14[[#This Row],[USD_Spend]]&gt;($B$4+1.5*$B$8),Table14[[#This Row],[USD_Spend]]&lt;($B$6-1.5*$B$8)),"Outlier","Normal")</f>
        <v>Normal</v>
      </c>
      <c r="D48" s="1">
        <v>170633</v>
      </c>
      <c r="E48" s="1">
        <v>46344</v>
      </c>
      <c r="F48" s="15">
        <v>185368.06</v>
      </c>
      <c r="G48" s="15" t="str">
        <f>IF(OR(Table14[[#This Row],[Sales]]&gt;($B$5+1.5*$B$9),Table14[[#This Row],[Sales]]&lt;($B$7-1.5*$B$9)),"Outlier","Normal")</f>
        <v>Normal</v>
      </c>
      <c r="H48" s="22"/>
      <c r="I48" s="22">
        <f>Table1[[#This Row],[Sales]]/Table1[[#This Row],[USD_Spend]]</f>
        <v>2.8302278124382307</v>
      </c>
    </row>
    <row r="49" spans="1:9" x14ac:dyDescent="0.35">
      <c r="A49" s="3" t="s">
        <v>119</v>
      </c>
      <c r="B49" s="15">
        <v>51451.97</v>
      </c>
      <c r="C49" s="1" t="str">
        <f>IF(OR(Table14[[#This Row],[USD_Spend]]&gt;($B$4+1.5*$B$8),Table14[[#This Row],[USD_Spend]]&lt;($B$6-1.5*$B$8)),"Outlier","Normal")</f>
        <v>Normal</v>
      </c>
      <c r="D49" s="1">
        <v>867115</v>
      </c>
      <c r="E49" s="1">
        <v>12580</v>
      </c>
      <c r="F49" s="15">
        <v>52267.24</v>
      </c>
      <c r="G49" s="15" t="str">
        <f>IF(OR(Table14[[#This Row],[Sales]]&gt;($B$5+1.5*$B$9),Table14[[#This Row],[Sales]]&lt;($B$7-1.5*$B$9)),"Outlier","Normal")</f>
        <v>Normal</v>
      </c>
      <c r="H49" s="22"/>
      <c r="I49" s="22">
        <f>Table1[[#This Row],[Sales]]/Table1[[#This Row],[USD_Spend]]</f>
        <v>894.67472538250308</v>
      </c>
    </row>
    <row r="50" spans="1:9" x14ac:dyDescent="0.35">
      <c r="A50" s="3" t="s">
        <v>87</v>
      </c>
      <c r="B50" s="15">
        <v>13921.28</v>
      </c>
      <c r="C50" s="1" t="str">
        <f>IF(OR(Table14[[#This Row],[USD_Spend]]&gt;($B$4+1.5*$B$8),Table14[[#This Row],[USD_Spend]]&lt;($B$6-1.5*$B$8)),"Outlier","Normal")</f>
        <v>Normal</v>
      </c>
      <c r="D50" s="1">
        <v>584122</v>
      </c>
      <c r="E50" s="1">
        <v>5678</v>
      </c>
      <c r="F50" s="15">
        <v>79649.33</v>
      </c>
      <c r="G50" s="15" t="str">
        <f>IF(OR(Table14[[#This Row],[Sales]]&gt;($B$5+1.5*$B$9),Table14[[#This Row],[Sales]]&lt;($B$7-1.5*$B$9)),"Outlier","Normal")</f>
        <v>Normal</v>
      </c>
      <c r="H50" s="22"/>
      <c r="I50" s="22">
        <f>Table1[[#This Row],[Sales]]/Table1[[#This Row],[USD_Spend]]</f>
        <v>10.989609212029729</v>
      </c>
    </row>
    <row r="51" spans="1:9" x14ac:dyDescent="0.35">
      <c r="A51" s="3" t="s">
        <v>91</v>
      </c>
      <c r="B51" s="15">
        <v>41618.93</v>
      </c>
      <c r="C51" s="1" t="str">
        <f>IF(OR(Table14[[#This Row],[USD_Spend]]&gt;($B$4+1.5*$B$8),Table14[[#This Row],[USD_Spend]]&lt;($B$6-1.5*$B$8)),"Outlier","Normal")</f>
        <v>Normal</v>
      </c>
      <c r="D51" s="1">
        <v>328677</v>
      </c>
      <c r="E51" s="1">
        <v>32481</v>
      </c>
      <c r="F51" s="15">
        <v>142023.85999999999</v>
      </c>
      <c r="G51" s="15" t="str">
        <f>IF(OR(Table14[[#This Row],[Sales]]&gt;($B$5+1.5*$B$9),Table14[[#This Row],[Sales]]&lt;($B$7-1.5*$B$9)),"Outlier","Normal")</f>
        <v>Normal</v>
      </c>
      <c r="H51" s="22"/>
      <c r="I51" s="22">
        <f>Table1[[#This Row],[Sales]]/Table1[[#This Row],[USD_Spend]]</f>
        <v>20.665567513377059</v>
      </c>
    </row>
    <row r="52" spans="1:9" x14ac:dyDescent="0.35">
      <c r="A52" s="3" t="s">
        <v>94</v>
      </c>
      <c r="B52" s="15">
        <v>22158.26</v>
      </c>
      <c r="C52" s="1" t="str">
        <f>IF(OR(Table14[[#This Row],[USD_Spend]]&gt;($B$4+1.5*$B$8),Table14[[#This Row],[USD_Spend]]&lt;($B$6-1.5*$B$8)),"Outlier","Normal")</f>
        <v>Normal</v>
      </c>
      <c r="D52" s="1">
        <v>814829</v>
      </c>
      <c r="E52" s="1">
        <v>39347</v>
      </c>
      <c r="F52" s="15">
        <v>127396.13</v>
      </c>
      <c r="G52" s="15" t="str">
        <f>IF(OR(Table14[[#This Row],[Sales]]&gt;($B$5+1.5*$B$9),Table14[[#This Row],[Sales]]&lt;($B$7-1.5*$B$9)),"Outlier","Normal")</f>
        <v>Normal</v>
      </c>
      <c r="H52" s="22"/>
      <c r="I52" s="22">
        <f>Table1[[#This Row],[Sales]]/Table1[[#This Row],[USD_Spend]]</f>
        <v>8.571226642704783</v>
      </c>
    </row>
    <row r="53" spans="1:9" x14ac:dyDescent="0.35">
      <c r="A53" s="3" t="s">
        <v>84</v>
      </c>
      <c r="B53" s="15">
        <v>2873.95</v>
      </c>
      <c r="C53" s="1" t="str">
        <f>IF(OR(Table14[[#This Row],[USD_Spend]]&gt;($B$4+1.5*$B$8),Table14[[#This Row],[USD_Spend]]&lt;($B$6-1.5*$B$8)),"Outlier","Normal")</f>
        <v>Normal</v>
      </c>
      <c r="D53" s="1">
        <v>284680</v>
      </c>
      <c r="E53" s="1">
        <v>10689</v>
      </c>
      <c r="F53" s="15">
        <v>186601.57</v>
      </c>
      <c r="G53" s="15" t="str">
        <f>IF(OR(Table14[[#This Row],[Sales]]&gt;($B$5+1.5*$B$9),Table14[[#This Row],[Sales]]&lt;($B$7-1.5*$B$9)),"Outlier","Normal")</f>
        <v>Normal</v>
      </c>
      <c r="H53" s="22"/>
      <c r="I53" s="22">
        <f>Table1[[#This Row],[Sales]]/Table1[[#This Row],[USD_Spend]]</f>
        <v>8.5051389209208335</v>
      </c>
    </row>
    <row r="54" spans="1:9" x14ac:dyDescent="0.35">
      <c r="A54" s="3" t="s">
        <v>57</v>
      </c>
      <c r="B54" s="15">
        <v>4644.1499999999996</v>
      </c>
      <c r="C54" s="1" t="str">
        <f>IF(OR(Table14[[#This Row],[USD_Spend]]&gt;($B$4+1.5*$B$8),Table14[[#This Row],[USD_Spend]]&lt;($B$6-1.5*$B$8)),"Outlier","Normal")</f>
        <v>Normal</v>
      </c>
      <c r="D54" s="1">
        <v>209429</v>
      </c>
      <c r="E54" s="1">
        <v>48643</v>
      </c>
      <c r="F54" s="15">
        <v>204560.71</v>
      </c>
      <c r="G54" s="15" t="str">
        <f>IF(OR(Table14[[#This Row],[Sales]]&gt;($B$5+1.5*$B$9),Table14[[#This Row],[Sales]]&lt;($B$7-1.5*$B$9)),"Outlier","Normal")</f>
        <v>Normal</v>
      </c>
      <c r="H54" s="22"/>
      <c r="I54" s="22">
        <f>Table1[[#This Row],[Sales]]/Table1[[#This Row],[USD_Spend]]</f>
        <v>5.1231852266650941</v>
      </c>
    </row>
    <row r="55" spans="1:9" x14ac:dyDescent="0.35">
      <c r="A55" s="3" t="s">
        <v>117</v>
      </c>
      <c r="B55" s="15">
        <v>1536.06</v>
      </c>
      <c r="C55" s="1" t="str">
        <f>IF(OR(Table14[[#This Row],[USD_Spend]]&gt;($B$4+1.5*$B$8),Table14[[#This Row],[USD_Spend]]&lt;($B$6-1.5*$B$8)),"Outlier","Normal")</f>
        <v>Normal</v>
      </c>
      <c r="D55" s="1">
        <v>73182</v>
      </c>
      <c r="E55" s="1">
        <v>4623</v>
      </c>
      <c r="F55" s="15">
        <v>246603.63</v>
      </c>
      <c r="G55" s="15" t="str">
        <f>IF(OR(Table14[[#This Row],[Sales]]&gt;($B$5+1.5*$B$9),Table14[[#This Row],[Sales]]&lt;($B$7-1.5*$B$9)),"Outlier","Normal")</f>
        <v>Normal</v>
      </c>
      <c r="H55" s="22"/>
      <c r="I55" s="22">
        <f>Table1[[#This Row],[Sales]]/Table1[[#This Row],[USD_Spend]]</f>
        <v>103.72092300901592</v>
      </c>
    </row>
    <row r="56" spans="1:9" x14ac:dyDescent="0.35">
      <c r="A56" s="3" t="s">
        <v>50</v>
      </c>
      <c r="B56" s="15">
        <v>3134.52</v>
      </c>
      <c r="C56" s="1" t="str">
        <f>IF(OR(Table14[[#This Row],[USD_Spend]]&gt;($B$4+1.5*$B$8),Table14[[#This Row],[USD_Spend]]&lt;($B$6-1.5*$B$8)),"Outlier","Normal")</f>
        <v>Normal</v>
      </c>
      <c r="D56" s="1">
        <v>506756</v>
      </c>
      <c r="E56" s="1">
        <v>34134</v>
      </c>
      <c r="F56" s="15">
        <v>116962.2</v>
      </c>
      <c r="G56" s="15" t="str">
        <f>IF(OR(Table14[[#This Row],[Sales]]&gt;($B$5+1.5*$B$9),Table14[[#This Row],[Sales]]&lt;($B$7-1.5*$B$9)),"Outlier","Normal")</f>
        <v>Normal</v>
      </c>
      <c r="H56" s="22"/>
      <c r="I56" s="22">
        <f>Table1[[#This Row],[Sales]]/Table1[[#This Row],[USD_Spend]]</f>
        <v>29.281439650436312</v>
      </c>
    </row>
    <row r="57" spans="1:9" x14ac:dyDescent="0.35">
      <c r="A57" s="3" t="s">
        <v>88</v>
      </c>
      <c r="B57" s="15">
        <v>7328.56</v>
      </c>
      <c r="C57" s="1" t="str">
        <f>IF(OR(Table14[[#This Row],[USD_Spend]]&gt;($B$4+1.5*$B$8),Table14[[#This Row],[USD_Spend]]&lt;($B$6-1.5*$B$8)),"Outlier","Normal")</f>
        <v>Normal</v>
      </c>
      <c r="D57" s="1">
        <v>571479</v>
      </c>
      <c r="E57" s="1">
        <v>19379</v>
      </c>
      <c r="F57" s="15">
        <v>198449.01</v>
      </c>
      <c r="G57" s="15" t="str">
        <f>IF(OR(Table14[[#This Row],[Sales]]&gt;($B$5+1.5*$B$9),Table14[[#This Row],[Sales]]&lt;($B$7-1.5*$B$9)),"Outlier","Normal")</f>
        <v>Normal</v>
      </c>
      <c r="H57" s="22"/>
      <c r="I57" s="22">
        <f>Table1[[#This Row],[Sales]]/Table1[[#This Row],[USD_Spend]]</f>
        <v>50.186211526876569</v>
      </c>
    </row>
    <row r="58" spans="1:9" x14ac:dyDescent="0.35">
      <c r="A58" s="3" t="s">
        <v>104</v>
      </c>
      <c r="B58" s="15">
        <v>14367.96</v>
      </c>
      <c r="C58" s="1" t="str">
        <f>IF(OR(Table14[[#This Row],[USD_Spend]]&gt;($B$4+1.5*$B$8),Table14[[#This Row],[USD_Spend]]&lt;($B$6-1.5*$B$8)),"Outlier","Normal")</f>
        <v>Normal</v>
      </c>
      <c r="D58" s="1">
        <v>403049</v>
      </c>
      <c r="E58" s="1">
        <v>28325</v>
      </c>
      <c r="F58" s="15">
        <v>40664.6</v>
      </c>
      <c r="G58" s="15" t="str">
        <f>IF(OR(Table14[[#This Row],[Sales]]&gt;($B$5+1.5*$B$9),Table14[[#This Row],[Sales]]&lt;($B$7-1.5*$B$9)),"Outlier","Normal")</f>
        <v>Normal</v>
      </c>
      <c r="H58" s="22"/>
      <c r="I58" s="22">
        <f>Table1[[#This Row],[Sales]]/Table1[[#This Row],[USD_Spend]]</f>
        <v>79.200853207203266</v>
      </c>
    </row>
    <row r="59" spans="1:9" x14ac:dyDescent="0.35">
      <c r="A59" s="3" t="s">
        <v>62</v>
      </c>
      <c r="B59" s="15">
        <v>203.92</v>
      </c>
      <c r="C59" s="1" t="str">
        <f>IF(OR(Table14[[#This Row],[USD_Spend]]&gt;($B$4+1.5*$B$8),Table14[[#This Row],[USD_Spend]]&lt;($B$6-1.5*$B$8)),"Outlier","Normal")</f>
        <v>Normal</v>
      </c>
      <c r="D59" s="1">
        <v>348542</v>
      </c>
      <c r="E59" s="1">
        <v>45162</v>
      </c>
      <c r="F59" s="15">
        <v>182442.07</v>
      </c>
      <c r="G59" s="15" t="str">
        <f>IF(OR(Table14[[#This Row],[Sales]]&gt;($B$5+1.5*$B$9),Table14[[#This Row],[Sales]]&lt;($B$7-1.5*$B$9)),"Outlier","Normal")</f>
        <v>Normal</v>
      </c>
      <c r="H59" s="22"/>
      <c r="I59" s="22">
        <f>Table1[[#This Row],[Sales]]/Table1[[#This Row],[USD_Spend]]</f>
        <v>19.593159750488571</v>
      </c>
    </row>
    <row r="60" spans="1:9" x14ac:dyDescent="0.35">
      <c r="A60" s="3" t="s">
        <v>105</v>
      </c>
      <c r="B60" s="15">
        <v>11447.64</v>
      </c>
      <c r="C60" s="1" t="str">
        <f>IF(OR(Table14[[#This Row],[USD_Spend]]&gt;($B$4+1.5*$B$8),Table14[[#This Row],[USD_Spend]]&lt;($B$6-1.5*$B$8)),"Outlier","Normal")</f>
        <v>Normal</v>
      </c>
      <c r="D60" s="1">
        <v>184418</v>
      </c>
      <c r="E60" s="1">
        <v>27233</v>
      </c>
      <c r="F60" s="15">
        <v>125805.09</v>
      </c>
      <c r="G60" s="15" t="str">
        <f>IF(OR(Table14[[#This Row],[Sales]]&gt;($B$5+1.5*$B$9),Table14[[#This Row],[Sales]]&lt;($B$7-1.5*$B$9)),"Outlier","Normal")</f>
        <v>Normal</v>
      </c>
      <c r="H60" s="22"/>
      <c r="I60" s="22">
        <f>Table1[[#This Row],[Sales]]/Table1[[#This Row],[USD_Spend]]</f>
        <v>9.3353120013719249</v>
      </c>
    </row>
    <row r="61" spans="1:9" x14ac:dyDescent="0.35">
      <c r="A61" s="3" t="s">
        <v>119</v>
      </c>
      <c r="B61" s="15">
        <v>1655.82</v>
      </c>
      <c r="C61" s="1" t="str">
        <f>IF(OR(Table14[[#This Row],[USD_Spend]]&gt;($B$4+1.5*$B$8),Table14[[#This Row],[USD_Spend]]&lt;($B$6-1.5*$B$8)),"Outlier","Normal")</f>
        <v>Normal</v>
      </c>
      <c r="D61" s="1">
        <v>297745</v>
      </c>
      <c r="E61" s="1">
        <v>27706</v>
      </c>
      <c r="F61" s="15">
        <v>34218.46</v>
      </c>
      <c r="G61" s="15" t="str">
        <f>IF(OR(Table14[[#This Row],[Sales]]&gt;($B$5+1.5*$B$9),Table14[[#This Row],[Sales]]&lt;($B$7-1.5*$B$9)),"Outlier","Normal")</f>
        <v>Normal</v>
      </c>
      <c r="H61" s="22"/>
      <c r="I61" s="22">
        <f>Table1[[#This Row],[Sales]]/Table1[[#This Row],[USD_Spend]]</f>
        <v>4.957677962867308</v>
      </c>
    </row>
    <row r="62" spans="1:9" x14ac:dyDescent="0.35">
      <c r="A62" s="3" t="s">
        <v>77</v>
      </c>
      <c r="B62" s="15">
        <v>17594.61</v>
      </c>
      <c r="C62" s="1" t="str">
        <f>IF(OR(Table14[[#This Row],[USD_Spend]]&gt;($B$4+1.5*$B$8),Table14[[#This Row],[USD_Spend]]&lt;($B$6-1.5*$B$8)),"Outlier","Normal")</f>
        <v>Normal</v>
      </c>
      <c r="D62" s="1">
        <v>477262</v>
      </c>
      <c r="E62" s="1">
        <v>49438</v>
      </c>
      <c r="F62" s="15">
        <v>150807.39000000001</v>
      </c>
      <c r="G62" s="15" t="str">
        <f>IF(OR(Table14[[#This Row],[Sales]]&gt;($B$5+1.5*$B$9),Table14[[#This Row],[Sales]]&lt;($B$7-1.5*$B$9)),"Outlier","Normal")</f>
        <v>Normal</v>
      </c>
      <c r="H62" s="22"/>
      <c r="I62" s="22">
        <f>Table1[[#This Row],[Sales]]/Table1[[#This Row],[USD_Spend]]</f>
        <v>1.8689080466832984</v>
      </c>
    </row>
    <row r="63" spans="1:9" x14ac:dyDescent="0.35">
      <c r="A63" s="3" t="s">
        <v>72</v>
      </c>
      <c r="B63" s="15">
        <v>11143.39</v>
      </c>
      <c r="C63" s="1" t="str">
        <f>IF(OR(Table14[[#This Row],[USD_Spend]]&gt;($B$4+1.5*$B$8),Table14[[#This Row],[USD_Spend]]&lt;($B$6-1.5*$B$8)),"Outlier","Normal")</f>
        <v>Normal</v>
      </c>
      <c r="D63" s="1">
        <v>52859</v>
      </c>
      <c r="E63" s="1">
        <v>24058</v>
      </c>
      <c r="F63" s="15">
        <v>94776.08</v>
      </c>
      <c r="G63" s="15" t="str">
        <f>IF(OR(Table14[[#This Row],[Sales]]&gt;($B$5+1.5*$B$9),Table14[[#This Row],[Sales]]&lt;($B$7-1.5*$B$9)),"Outlier","Normal")</f>
        <v>Normal</v>
      </c>
      <c r="H63" s="22"/>
      <c r="I63" s="22">
        <f>Table1[[#This Row],[Sales]]/Table1[[#This Row],[USD_Spend]]</f>
        <v>4.6882861647857883</v>
      </c>
    </row>
    <row r="64" spans="1:9" x14ac:dyDescent="0.35">
      <c r="A64" s="3" t="s">
        <v>95</v>
      </c>
      <c r="B64" s="15">
        <v>23750.9</v>
      </c>
      <c r="C64" s="1" t="str">
        <f>IF(OR(Table14[[#This Row],[USD_Spend]]&gt;($B$4+1.5*$B$8),Table14[[#This Row],[USD_Spend]]&lt;($B$6-1.5*$B$8)),"Outlier","Normal")</f>
        <v>Normal</v>
      </c>
      <c r="D64" s="1">
        <v>791886</v>
      </c>
      <c r="E64" s="1">
        <v>4265</v>
      </c>
      <c r="F64" s="15">
        <v>121680.26</v>
      </c>
      <c r="G64" s="15" t="str">
        <f>IF(OR(Table14[[#This Row],[Sales]]&gt;($B$5+1.5*$B$9),Table14[[#This Row],[Sales]]&lt;($B$7-1.5*$B$9)),"Outlier","Normal")</f>
        <v>Normal</v>
      </c>
      <c r="H64" s="22"/>
      <c r="I64" s="22">
        <f>Table1[[#This Row],[Sales]]/Table1[[#This Row],[USD_Spend]]</f>
        <v>166.75255427011567</v>
      </c>
    </row>
    <row r="65" spans="1:9" x14ac:dyDescent="0.35">
      <c r="A65" s="3" t="s">
        <v>64</v>
      </c>
      <c r="B65" s="15">
        <v>1223.3900000000001</v>
      </c>
      <c r="C65" s="1" t="str">
        <f>IF(OR(Table14[[#This Row],[USD_Spend]]&gt;($B$4+1.5*$B$8),Table14[[#This Row],[USD_Spend]]&lt;($B$6-1.5*$B$8)),"Outlier","Normal")</f>
        <v>Normal</v>
      </c>
      <c r="D65" s="1">
        <v>894769</v>
      </c>
      <c r="E65" s="1">
        <v>31191</v>
      </c>
      <c r="F65" s="15">
        <v>126891.14</v>
      </c>
      <c r="G65" s="15" t="str">
        <f>IF(OR(Table14[[#This Row],[Sales]]&gt;($B$5+1.5*$B$9),Table14[[#This Row],[Sales]]&lt;($B$7-1.5*$B$9)),"Outlier","Normal")</f>
        <v>Normal</v>
      </c>
      <c r="H65" s="22"/>
      <c r="I65" s="22">
        <f>Table1[[#This Row],[Sales]]/Table1[[#This Row],[USD_Spend]]</f>
        <v>12.577138044909614</v>
      </c>
    </row>
    <row r="66" spans="1:9" x14ac:dyDescent="0.35">
      <c r="A66" s="3" t="s">
        <v>109</v>
      </c>
      <c r="B66" s="15">
        <v>2348.0700000000002</v>
      </c>
      <c r="C66" s="1" t="str">
        <f>IF(OR(Table14[[#This Row],[USD_Spend]]&gt;($B$4+1.5*$B$8),Table14[[#This Row],[USD_Spend]]&lt;($B$6-1.5*$B$8)),"Outlier","Normal")</f>
        <v>Normal</v>
      </c>
      <c r="D66" s="1">
        <v>47604</v>
      </c>
      <c r="E66" s="1">
        <v>30918</v>
      </c>
      <c r="F66" s="15">
        <v>68754.87</v>
      </c>
      <c r="G66" s="15" t="str">
        <f>IF(OR(Table14[[#This Row],[Sales]]&gt;($B$5+1.5*$B$9),Table14[[#This Row],[Sales]]&lt;($B$7-1.5*$B$9)),"Outlier","Normal")</f>
        <v>Normal</v>
      </c>
      <c r="H66" s="22"/>
      <c r="I66" s="22">
        <f>Table1[[#This Row],[Sales]]/Table1[[#This Row],[USD_Spend]]</f>
        <v>1.8223361498175541</v>
      </c>
    </row>
    <row r="67" spans="1:9" x14ac:dyDescent="0.35">
      <c r="A67" s="3" t="s">
        <v>86</v>
      </c>
      <c r="B67" s="15">
        <v>4349.1400000000003</v>
      </c>
      <c r="C67" s="1" t="str">
        <f>IF(OR(Table14[[#This Row],[USD_Spend]]&gt;($B$4+1.5*$B$8),Table14[[#This Row],[USD_Spend]]&lt;($B$6-1.5*$B$8)),"Outlier","Normal")</f>
        <v>Normal</v>
      </c>
      <c r="D67" s="1">
        <v>509988</v>
      </c>
      <c r="E67" s="1">
        <v>39023</v>
      </c>
      <c r="F67" s="15">
        <v>218266.86</v>
      </c>
      <c r="G67" s="15" t="str">
        <f>IF(OR(Table14[[#This Row],[Sales]]&gt;($B$5+1.5*$B$9),Table14[[#This Row],[Sales]]&lt;($B$7-1.5*$B$9)),"Outlier","Normal")</f>
        <v>Normal</v>
      </c>
      <c r="H67" s="22"/>
      <c r="I67" s="22">
        <f>Table1[[#This Row],[Sales]]/Table1[[#This Row],[USD_Spend]]</f>
        <v>4.4762309788313415</v>
      </c>
    </row>
    <row r="68" spans="1:9" x14ac:dyDescent="0.35">
      <c r="A68" s="3" t="s">
        <v>99</v>
      </c>
      <c r="B68" s="15">
        <v>3061.39</v>
      </c>
      <c r="C68" s="1" t="str">
        <f>IF(OR(Table14[[#This Row],[USD_Spend]]&gt;($B$4+1.5*$B$8),Table14[[#This Row],[USD_Spend]]&lt;($B$6-1.5*$B$8)),"Outlier","Normal")</f>
        <v>Normal</v>
      </c>
      <c r="D68" s="1">
        <v>435151</v>
      </c>
      <c r="E68" s="1">
        <v>39379</v>
      </c>
      <c r="F68" s="15">
        <v>242464.7</v>
      </c>
      <c r="G68" s="15" t="str">
        <f>IF(OR(Table14[[#This Row],[Sales]]&gt;($B$5+1.5*$B$9),Table14[[#This Row],[Sales]]&lt;($B$7-1.5*$B$9)),"Outlier","Normal")</f>
        <v>Normal</v>
      </c>
      <c r="H68" s="22"/>
      <c r="I68" s="22">
        <f>Table1[[#This Row],[Sales]]/Table1[[#This Row],[USD_Spend]]</f>
        <v>7.2985811481723912</v>
      </c>
    </row>
    <row r="69" spans="1:9" x14ac:dyDescent="0.35">
      <c r="A69" s="3" t="s">
        <v>81</v>
      </c>
      <c r="B69" s="15">
        <v>7788.02</v>
      </c>
      <c r="C69" s="1" t="str">
        <f>IF(OR(Table14[[#This Row],[USD_Spend]]&gt;($B$4+1.5*$B$8),Table14[[#This Row],[USD_Spend]]&lt;($B$6-1.5*$B$8)),"Outlier","Normal")</f>
        <v>Normal</v>
      </c>
      <c r="D69" s="1">
        <v>339384</v>
      </c>
      <c r="E69" s="1">
        <v>23015</v>
      </c>
      <c r="F69" s="15">
        <v>152591.92000000001</v>
      </c>
      <c r="G69" s="15" t="str">
        <f>IF(OR(Table14[[#This Row],[Sales]]&gt;($B$5+1.5*$B$9),Table14[[#This Row],[Sales]]&lt;($B$7-1.5*$B$9)),"Outlier","Normal")</f>
        <v>Normal</v>
      </c>
      <c r="H69" s="22"/>
      <c r="I69" s="22">
        <f>Table1[[#This Row],[Sales]]/Table1[[#This Row],[USD_Spend]]</f>
        <v>62.33645468390943</v>
      </c>
    </row>
    <row r="70" spans="1:9" x14ac:dyDescent="0.35">
      <c r="A70" s="3" t="s">
        <v>83</v>
      </c>
      <c r="B70" s="15">
        <v>10729.44</v>
      </c>
      <c r="C70" s="1" t="str">
        <f>IF(OR(Table14[[#This Row],[USD_Spend]]&gt;($B$4+1.5*$B$8),Table14[[#This Row],[USD_Spend]]&lt;($B$6-1.5*$B$8)),"Outlier","Normal")</f>
        <v>Normal</v>
      </c>
      <c r="D70" s="1">
        <v>565736</v>
      </c>
      <c r="E70" s="1">
        <v>8887</v>
      </c>
      <c r="F70" s="15">
        <v>100162.67</v>
      </c>
      <c r="G70" s="15" t="str">
        <f>IF(OR(Table14[[#This Row],[Sales]]&gt;($B$5+1.5*$B$9),Table14[[#This Row],[Sales]]&lt;($B$7-1.5*$B$9)),"Outlier","Normal")</f>
        <v>Normal</v>
      </c>
      <c r="H70" s="22"/>
      <c r="I70" s="22">
        <f>Table1[[#This Row],[Sales]]/Table1[[#This Row],[USD_Spend]]</f>
        <v>0.38155908542727013</v>
      </c>
    </row>
    <row r="71" spans="1:9" x14ac:dyDescent="0.35">
      <c r="A71" s="3" t="s">
        <v>70</v>
      </c>
      <c r="B71" s="15">
        <v>20017.939999999999</v>
      </c>
      <c r="C71" s="1" t="str">
        <f>IF(OR(Table14[[#This Row],[USD_Spend]]&gt;($B$4+1.5*$B$8),Table14[[#This Row],[USD_Spend]]&lt;($B$6-1.5*$B$8)),"Outlier","Normal")</f>
        <v>Normal</v>
      </c>
      <c r="D71" s="1">
        <v>29764</v>
      </c>
      <c r="E71" s="1">
        <v>25173</v>
      </c>
      <c r="F71" s="15">
        <v>99242.5</v>
      </c>
      <c r="G71" s="15" t="str">
        <f>IF(OR(Table14[[#This Row],[Sales]]&gt;($B$5+1.5*$B$9),Table14[[#This Row],[Sales]]&lt;($B$7-1.5*$B$9)),"Outlier","Normal")</f>
        <v>Normal</v>
      </c>
      <c r="H71" s="22"/>
      <c r="I71" s="22">
        <f>Table1[[#This Row],[Sales]]/Table1[[#This Row],[USD_Spend]]</f>
        <v>8.6593537370181242</v>
      </c>
    </row>
    <row r="72" spans="1:9" x14ac:dyDescent="0.35">
      <c r="A72" s="3" t="s">
        <v>113</v>
      </c>
      <c r="B72" s="15">
        <v>9764.52</v>
      </c>
      <c r="C72" s="1" t="str">
        <f>IF(OR(Table14[[#This Row],[USD_Spend]]&gt;($B$4+1.5*$B$8),Table14[[#This Row],[USD_Spend]]&lt;($B$6-1.5*$B$8)),"Outlier","Normal")</f>
        <v>Normal</v>
      </c>
      <c r="D72" s="1">
        <v>506405</v>
      </c>
      <c r="E72" s="1">
        <v>14086</v>
      </c>
      <c r="F72" s="15">
        <v>18248.990000000002</v>
      </c>
      <c r="G72" s="15" t="str">
        <f>IF(OR(Table14[[#This Row],[Sales]]&gt;($B$5+1.5*$B$9),Table14[[#This Row],[Sales]]&lt;($B$7-1.5*$B$9)),"Outlier","Normal")</f>
        <v>Normal</v>
      </c>
      <c r="H72" s="22"/>
      <c r="I72" s="22">
        <f>Table1[[#This Row],[Sales]]/Table1[[#This Row],[USD_Spend]]</f>
        <v>30.518553639046218</v>
      </c>
    </row>
    <row r="73" spans="1:9" x14ac:dyDescent="0.35">
      <c r="A73" s="3" t="s">
        <v>86</v>
      </c>
      <c r="B73" s="15">
        <v>43545.26</v>
      </c>
      <c r="C73" s="1" t="str">
        <f>IF(OR(Table14[[#This Row],[USD_Spend]]&gt;($B$4+1.5*$B$8),Table14[[#This Row],[USD_Spend]]&lt;($B$6-1.5*$B$8)),"Outlier","Normal")</f>
        <v>Normal</v>
      </c>
      <c r="D73" s="1">
        <v>203871</v>
      </c>
      <c r="E73" s="1">
        <v>26663</v>
      </c>
      <c r="F73" s="15">
        <v>204152.64</v>
      </c>
      <c r="G73" s="15" t="str">
        <f>IF(OR(Table14[[#This Row],[Sales]]&gt;($B$5+1.5*$B$9),Table14[[#This Row],[Sales]]&lt;($B$7-1.5*$B$9)),"Outlier","Normal")</f>
        <v>Normal</v>
      </c>
      <c r="H73" s="22"/>
      <c r="I73" s="22">
        <f>Table1[[#This Row],[Sales]]/Table1[[#This Row],[USD_Spend]]</f>
        <v>3.1013511743557669</v>
      </c>
    </row>
    <row r="74" spans="1:9" x14ac:dyDescent="0.35">
      <c r="A74" s="3" t="s">
        <v>78</v>
      </c>
      <c r="B74" s="15">
        <v>1153.95</v>
      </c>
      <c r="C74" s="1" t="str">
        <f>IF(OR(Table14[[#This Row],[USD_Spend]]&gt;($B$4+1.5*$B$8),Table14[[#This Row],[USD_Spend]]&lt;($B$6-1.5*$B$8)),"Outlier","Normal")</f>
        <v>Normal</v>
      </c>
      <c r="D74" s="1">
        <v>426297</v>
      </c>
      <c r="E74" s="1">
        <v>34439</v>
      </c>
      <c r="F74" s="15">
        <v>192424.11</v>
      </c>
      <c r="G74" s="15" t="str">
        <f>IF(OR(Table14[[#This Row],[Sales]]&gt;($B$5+1.5*$B$9),Table14[[#This Row],[Sales]]&lt;($B$7-1.5*$B$9)),"Outlier","Normal")</f>
        <v>Normal</v>
      </c>
      <c r="H74" s="22"/>
      <c r="I74" s="22">
        <f>Table1[[#This Row],[Sales]]/Table1[[#This Row],[USD_Spend]]</f>
        <v>1.1841129189785546</v>
      </c>
    </row>
    <row r="75" spans="1:9" x14ac:dyDescent="0.35">
      <c r="A75" s="3" t="s">
        <v>86</v>
      </c>
      <c r="B75" s="15">
        <v>17526.759999999998</v>
      </c>
      <c r="C75" s="1" t="str">
        <f>IF(OR(Table14[[#This Row],[USD_Spend]]&gt;($B$4+1.5*$B$8),Table14[[#This Row],[USD_Spend]]&lt;($B$6-1.5*$B$8)),"Outlier","Normal")</f>
        <v>Normal</v>
      </c>
      <c r="D75" s="1">
        <v>828430</v>
      </c>
      <c r="E75" s="1">
        <v>34459</v>
      </c>
      <c r="F75" s="15">
        <v>220436.48000000001</v>
      </c>
      <c r="G75" s="15" t="str">
        <f>IF(OR(Table14[[#This Row],[Sales]]&gt;($B$5+1.5*$B$9),Table14[[#This Row],[Sales]]&lt;($B$7-1.5*$B$9)),"Outlier","Normal")</f>
        <v>Normal</v>
      </c>
      <c r="H75" s="22"/>
      <c r="I75" s="22">
        <f>Table1[[#This Row],[Sales]]/Table1[[#This Row],[USD_Spend]]</f>
        <v>4.7021725616975667</v>
      </c>
    </row>
    <row r="76" spans="1:9" x14ac:dyDescent="0.35">
      <c r="A76" s="3" t="s">
        <v>57</v>
      </c>
      <c r="B76" s="15">
        <v>31329.84</v>
      </c>
      <c r="C76" s="1" t="str">
        <f>IF(OR(Table14[[#This Row],[USD_Spend]]&gt;($B$4+1.5*$B$8),Table14[[#This Row],[USD_Spend]]&lt;($B$6-1.5*$B$8)),"Outlier","Normal")</f>
        <v>Normal</v>
      </c>
      <c r="D76" s="1">
        <v>762787</v>
      </c>
      <c r="E76" s="1">
        <v>20722</v>
      </c>
      <c r="F76" s="15">
        <v>57093.5</v>
      </c>
      <c r="G76" s="15" t="str">
        <f>IF(OR(Table14[[#This Row],[Sales]]&gt;($B$5+1.5*$B$9),Table14[[#This Row],[Sales]]&lt;($B$7-1.5*$B$9)),"Outlier","Normal")</f>
        <v>Normal</v>
      </c>
      <c r="H76" s="22"/>
      <c r="I76" s="22">
        <f>Table1[[#This Row],[Sales]]/Table1[[#This Row],[USD_Spend]]</f>
        <v>59.093044033184434</v>
      </c>
    </row>
    <row r="77" spans="1:9" x14ac:dyDescent="0.35">
      <c r="A77" s="3" t="s">
        <v>107</v>
      </c>
      <c r="B77" s="15">
        <v>23102.55</v>
      </c>
      <c r="C77" s="1" t="str">
        <f>IF(OR(Table14[[#This Row],[USD_Spend]]&gt;($B$4+1.5*$B$8),Table14[[#This Row],[USD_Spend]]&lt;($B$6-1.5*$B$8)),"Outlier","Normal")</f>
        <v>Normal</v>
      </c>
      <c r="D77" s="1">
        <v>319242</v>
      </c>
      <c r="E77" s="1">
        <v>25099</v>
      </c>
      <c r="F77" s="15">
        <v>103412.35</v>
      </c>
      <c r="G77" s="15" t="str">
        <f>IF(OR(Table14[[#This Row],[Sales]]&gt;($B$5+1.5*$B$9),Table14[[#This Row],[Sales]]&lt;($B$7-1.5*$B$9)),"Outlier","Normal")</f>
        <v>Normal</v>
      </c>
      <c r="H77" s="22"/>
      <c r="I77" s="22">
        <f>Table1[[#This Row],[Sales]]/Table1[[#This Row],[USD_Spend]]</f>
        <v>3.0339157183095593</v>
      </c>
    </row>
    <row r="78" spans="1:9" x14ac:dyDescent="0.35">
      <c r="A78" s="3" t="s">
        <v>94</v>
      </c>
      <c r="B78" s="15">
        <v>8983.32</v>
      </c>
      <c r="C78" s="1" t="str">
        <f>IF(OR(Table14[[#This Row],[USD_Spend]]&gt;($B$4+1.5*$B$8),Table14[[#This Row],[USD_Spend]]&lt;($B$6-1.5*$B$8)),"Outlier","Normal")</f>
        <v>Normal</v>
      </c>
      <c r="D78" s="1">
        <v>555073</v>
      </c>
      <c r="E78" s="1">
        <v>6448</v>
      </c>
      <c r="F78" s="15">
        <v>65565.490000000005</v>
      </c>
      <c r="G78" s="15" t="str">
        <f>IF(OR(Table14[[#This Row],[Sales]]&gt;($B$5+1.5*$B$9),Table14[[#This Row],[Sales]]&lt;($B$7-1.5*$B$9)),"Outlier","Normal")</f>
        <v>Normal</v>
      </c>
      <c r="H78" s="22"/>
      <c r="I78" s="22">
        <f>Table1[[#This Row],[Sales]]/Table1[[#This Row],[USD_Spend]]</f>
        <v>59.256838461228817</v>
      </c>
    </row>
    <row r="79" spans="1:9" x14ac:dyDescent="0.35">
      <c r="A79" s="3" t="s">
        <v>102</v>
      </c>
      <c r="B79" s="15">
        <v>1858.17</v>
      </c>
      <c r="C79" s="1" t="str">
        <f>IF(OR(Table14[[#This Row],[USD_Spend]]&gt;($B$4+1.5*$B$8),Table14[[#This Row],[USD_Spend]]&lt;($B$6-1.5*$B$8)),"Outlier","Normal")</f>
        <v>Normal</v>
      </c>
      <c r="D79" s="1">
        <v>334745</v>
      </c>
      <c r="E79" s="1">
        <v>37177</v>
      </c>
      <c r="F79" s="15">
        <v>115831.73</v>
      </c>
      <c r="G79" s="15" t="str">
        <f>IF(OR(Table14[[#This Row],[Sales]]&gt;($B$5+1.5*$B$9),Table14[[#This Row],[Sales]]&lt;($B$7-1.5*$B$9)),"Outlier","Normal")</f>
        <v>Normal</v>
      </c>
      <c r="H79" s="22"/>
      <c r="I79" s="22">
        <f>Table1[[#This Row],[Sales]]/Table1[[#This Row],[USD_Spend]]</f>
        <v>16.442891369339776</v>
      </c>
    </row>
    <row r="80" spans="1:9" x14ac:dyDescent="0.35">
      <c r="A80" s="3" t="s">
        <v>113</v>
      </c>
      <c r="B80" s="15">
        <v>26160.85</v>
      </c>
      <c r="C80" s="1" t="str">
        <f>IF(OR(Table14[[#This Row],[USD_Spend]]&gt;($B$4+1.5*$B$8),Table14[[#This Row],[USD_Spend]]&lt;($B$6-1.5*$B$8)),"Outlier","Normal")</f>
        <v>Normal</v>
      </c>
      <c r="D80" s="1">
        <v>542280</v>
      </c>
      <c r="E80" s="1">
        <v>36416</v>
      </c>
      <c r="F80" s="15">
        <v>9981.91</v>
      </c>
      <c r="G80" s="15" t="str">
        <f>IF(OR(Table14[[#This Row],[Sales]]&gt;($B$5+1.5*$B$9),Table14[[#This Row],[Sales]]&lt;($B$7-1.5*$B$9)),"Outlier","Normal")</f>
        <v>Normal</v>
      </c>
      <c r="H80" s="22"/>
      <c r="I80" s="22">
        <f>Table1[[#This Row],[Sales]]/Table1[[#This Row],[USD_Spend]]</f>
        <v>20.341395017843745</v>
      </c>
    </row>
    <row r="81" spans="1:9" x14ac:dyDescent="0.35">
      <c r="A81" s="3" t="s">
        <v>66</v>
      </c>
      <c r="B81" s="15">
        <v>9873.3799999999992</v>
      </c>
      <c r="C81" s="1" t="str">
        <f>IF(OR(Table14[[#This Row],[USD_Spend]]&gt;($B$4+1.5*$B$8),Table14[[#This Row],[USD_Spend]]&lt;($B$6-1.5*$B$8)),"Outlier","Normal")</f>
        <v>Normal</v>
      </c>
      <c r="D81" s="1">
        <v>236441</v>
      </c>
      <c r="E81" s="1">
        <v>15369</v>
      </c>
      <c r="F81" s="15">
        <v>85497.09</v>
      </c>
      <c r="G81" s="15" t="str">
        <f>IF(OR(Table14[[#This Row],[Sales]]&gt;($B$5+1.5*$B$9),Table14[[#This Row],[Sales]]&lt;($B$7-1.5*$B$9)),"Outlier","Normal")</f>
        <v>Normal</v>
      </c>
      <c r="H81" s="22"/>
      <c r="I81" s="22">
        <f>Table1[[#This Row],[Sales]]/Table1[[#This Row],[USD_Spend]]</f>
        <v>2.9006051848425245</v>
      </c>
    </row>
    <row r="82" spans="1:9" x14ac:dyDescent="0.35">
      <c r="A82" s="3" t="s">
        <v>120</v>
      </c>
      <c r="B82" s="15">
        <v>3110.98</v>
      </c>
      <c r="C82" s="1" t="str">
        <f>IF(OR(Table14[[#This Row],[USD_Spend]]&gt;($B$4+1.5*$B$8),Table14[[#This Row],[USD_Spend]]&lt;($B$6-1.5*$B$8)),"Outlier","Normal")</f>
        <v>Normal</v>
      </c>
      <c r="D82" s="1">
        <v>286141</v>
      </c>
      <c r="E82" s="1">
        <v>35594</v>
      </c>
      <c r="F82" s="15">
        <v>94942.61</v>
      </c>
      <c r="G82" s="15" t="str">
        <f>IF(OR(Table14[[#This Row],[Sales]]&gt;($B$5+1.5*$B$9),Table14[[#This Row],[Sales]]&lt;($B$7-1.5*$B$9)),"Outlier","Normal")</f>
        <v>Normal</v>
      </c>
      <c r="H82" s="22"/>
      <c r="I82" s="22">
        <f>Table1[[#This Row],[Sales]]/Table1[[#This Row],[USD_Spend]]</f>
        <v>32.203308619947087</v>
      </c>
    </row>
    <row r="83" spans="1:9" x14ac:dyDescent="0.35">
      <c r="A83" s="3" t="s">
        <v>105</v>
      </c>
      <c r="B83" s="15">
        <v>43519.18</v>
      </c>
      <c r="C83" s="1" t="str">
        <f>IF(OR(Table14[[#This Row],[USD_Spend]]&gt;($B$4+1.5*$B$8),Table14[[#This Row],[USD_Spend]]&lt;($B$6-1.5*$B$8)),"Outlier","Normal")</f>
        <v>Normal</v>
      </c>
      <c r="D83" s="1">
        <v>106214</v>
      </c>
      <c r="E83" s="1">
        <v>48997</v>
      </c>
      <c r="F83" s="15">
        <v>134968.26</v>
      </c>
      <c r="G83" s="15" t="str">
        <f>IF(OR(Table14[[#This Row],[Sales]]&gt;($B$5+1.5*$B$9),Table14[[#This Row],[Sales]]&lt;($B$7-1.5*$B$9)),"Outlier","Normal")</f>
        <v>Normal</v>
      </c>
      <c r="H83" s="22"/>
      <c r="I83" s="22">
        <f>Table1[[#This Row],[Sales]]/Table1[[#This Row],[USD_Spend]]</f>
        <v>9.3203351145243154</v>
      </c>
    </row>
    <row r="84" spans="1:9" x14ac:dyDescent="0.35">
      <c r="A84" s="3" t="s">
        <v>111</v>
      </c>
      <c r="B84" s="15">
        <v>44078.33</v>
      </c>
      <c r="C84" s="1" t="str">
        <f>IF(OR(Table14[[#This Row],[USD_Spend]]&gt;($B$4+1.5*$B$8),Table14[[#This Row],[USD_Spend]]&lt;($B$6-1.5*$B$8)),"Outlier","Normal")</f>
        <v>Normal</v>
      </c>
      <c r="D84" s="1">
        <v>740650</v>
      </c>
      <c r="E84" s="1">
        <v>42408</v>
      </c>
      <c r="F84" s="15">
        <v>52193.72</v>
      </c>
      <c r="G84" s="15" t="str">
        <f>IF(OR(Table14[[#This Row],[Sales]]&gt;($B$5+1.5*$B$9),Table14[[#This Row],[Sales]]&lt;($B$7-1.5*$B$9)),"Outlier","Normal")</f>
        <v>Normal</v>
      </c>
      <c r="H84" s="22"/>
      <c r="I84" s="22">
        <f>Table1[[#This Row],[Sales]]/Table1[[#This Row],[USD_Spend]]</f>
        <v>30.861344549928361</v>
      </c>
    </row>
    <row r="85" spans="1:9" x14ac:dyDescent="0.35">
      <c r="A85" s="3" t="s">
        <v>81</v>
      </c>
      <c r="B85" s="15">
        <v>17390.07</v>
      </c>
      <c r="C85" s="1" t="str">
        <f>IF(OR(Table14[[#This Row],[USD_Spend]]&gt;($B$4+1.5*$B$8),Table14[[#This Row],[USD_Spend]]&lt;($B$6-1.5*$B$8)),"Outlier","Normal")</f>
        <v>Normal</v>
      </c>
      <c r="D85" s="1">
        <v>117402</v>
      </c>
      <c r="E85" s="1">
        <v>6863</v>
      </c>
      <c r="F85" s="15">
        <v>81771.11</v>
      </c>
      <c r="G85" s="15" t="str">
        <f>IF(OR(Table14[[#This Row],[Sales]]&gt;($B$5+1.5*$B$9),Table14[[#This Row],[Sales]]&lt;($B$7-1.5*$B$9)),"Outlier","Normal")</f>
        <v>Normal</v>
      </c>
      <c r="H85" s="22"/>
      <c r="I85" s="22">
        <f>Table1[[#This Row],[Sales]]/Table1[[#This Row],[USD_Spend]]</f>
        <v>7.0041002714725868</v>
      </c>
    </row>
    <row r="86" spans="1:9" x14ac:dyDescent="0.35">
      <c r="A86" s="3" t="s">
        <v>112</v>
      </c>
      <c r="B86" s="15">
        <v>2037.1</v>
      </c>
      <c r="C86" s="1" t="str">
        <f>IF(OR(Table14[[#This Row],[USD_Spend]]&gt;($B$4+1.5*$B$8),Table14[[#This Row],[USD_Spend]]&lt;($B$6-1.5*$B$8)),"Outlier","Normal")</f>
        <v>Normal</v>
      </c>
      <c r="D86" s="1">
        <v>986292</v>
      </c>
      <c r="E86" s="1">
        <v>15490</v>
      </c>
      <c r="F86" s="15">
        <v>120378.44</v>
      </c>
      <c r="G86" s="15" t="str">
        <f>IF(OR(Table14[[#This Row],[Sales]]&gt;($B$5+1.5*$B$9),Table14[[#This Row],[Sales]]&lt;($B$7-1.5*$B$9)),"Outlier","Normal")</f>
        <v>Normal</v>
      </c>
      <c r="H86" s="22"/>
      <c r="I86" s="22">
        <f>Table1[[#This Row],[Sales]]/Table1[[#This Row],[USD_Spend]]</f>
        <v>18.021382590481288</v>
      </c>
    </row>
    <row r="87" spans="1:9" x14ac:dyDescent="0.35">
      <c r="A87" s="3" t="s">
        <v>87</v>
      </c>
      <c r="B87" s="15">
        <v>52590.07</v>
      </c>
      <c r="C87" s="1" t="str">
        <f>IF(OR(Table14[[#This Row],[USD_Spend]]&gt;($B$4+1.5*$B$8),Table14[[#This Row],[USD_Spend]]&lt;($B$6-1.5*$B$8)),"Outlier","Normal")</f>
        <v>Normal</v>
      </c>
      <c r="D87" s="1">
        <v>964911</v>
      </c>
      <c r="E87" s="1">
        <v>26896</v>
      </c>
      <c r="F87" s="15">
        <v>159553.84</v>
      </c>
      <c r="G87" s="15" t="str">
        <f>IF(OR(Table14[[#This Row],[Sales]]&gt;($B$5+1.5*$B$9),Table14[[#This Row],[Sales]]&lt;($B$7-1.5*$B$9)),"Outlier","Normal")</f>
        <v>Normal</v>
      </c>
      <c r="H87" s="22"/>
      <c r="I87" s="22">
        <f>Table1[[#This Row],[Sales]]/Table1[[#This Row],[USD_Spend]]</f>
        <v>43.002003687341293</v>
      </c>
    </row>
    <row r="88" spans="1:9" x14ac:dyDescent="0.35">
      <c r="A88" s="3" t="s">
        <v>81</v>
      </c>
      <c r="B88" s="15">
        <v>3726.35</v>
      </c>
      <c r="C88" s="1" t="str">
        <f>IF(OR(Table14[[#This Row],[USD_Spend]]&gt;($B$4+1.5*$B$8),Table14[[#This Row],[USD_Spend]]&lt;($B$6-1.5*$B$8)),"Outlier","Normal")</f>
        <v>Normal</v>
      </c>
      <c r="D88" s="1">
        <v>988593</v>
      </c>
      <c r="E88" s="1">
        <v>22972</v>
      </c>
      <c r="F88" s="15">
        <v>220811.72</v>
      </c>
      <c r="G88" s="15" t="str">
        <f>IF(OR(Table14[[#This Row],[Sales]]&gt;($B$5+1.5*$B$9),Table14[[#This Row],[Sales]]&lt;($B$7-1.5*$B$9)),"Outlier","Normal")</f>
        <v>Normal</v>
      </c>
      <c r="H88" s="22"/>
      <c r="I88" s="22">
        <f>Table1[[#This Row],[Sales]]/Table1[[#This Row],[USD_Spend]]</f>
        <v>2.2570484574189225</v>
      </c>
    </row>
    <row r="89" spans="1:9" x14ac:dyDescent="0.35">
      <c r="A89" s="3" t="s">
        <v>78</v>
      </c>
      <c r="B89" s="15">
        <v>6264.99</v>
      </c>
      <c r="C89" s="1" t="str">
        <f>IF(OR(Table14[[#This Row],[USD_Spend]]&gt;($B$4+1.5*$B$8),Table14[[#This Row],[USD_Spend]]&lt;($B$6-1.5*$B$8)),"Outlier","Normal")</f>
        <v>Normal</v>
      </c>
      <c r="D89" s="1">
        <v>957556</v>
      </c>
      <c r="E89" s="1">
        <v>10803</v>
      </c>
      <c r="F89" s="15">
        <v>103014.55</v>
      </c>
      <c r="G89" s="15" t="str">
        <f>IF(OR(Table14[[#This Row],[Sales]]&gt;($B$5+1.5*$B$9),Table14[[#This Row],[Sales]]&lt;($B$7-1.5*$B$9)),"Outlier","Normal")</f>
        <v>Normal</v>
      </c>
      <c r="H89" s="22"/>
      <c r="I89" s="22">
        <f>Table1[[#This Row],[Sales]]/Table1[[#This Row],[USD_Spend]]</f>
        <v>26.461368229283615</v>
      </c>
    </row>
    <row r="90" spans="1:9" x14ac:dyDescent="0.35">
      <c r="A90" s="3" t="s">
        <v>83</v>
      </c>
      <c r="B90" s="15">
        <v>5677.06</v>
      </c>
      <c r="C90" s="1" t="str">
        <f>IF(OR(Table14[[#This Row],[USD_Spend]]&gt;($B$4+1.5*$B$8),Table14[[#This Row],[USD_Spend]]&lt;($B$6-1.5*$B$8)),"Outlier","Normal")</f>
        <v>Normal</v>
      </c>
      <c r="D90" s="1">
        <v>351849</v>
      </c>
      <c r="E90" s="1">
        <v>26976</v>
      </c>
      <c r="F90" s="15">
        <v>115479.32</v>
      </c>
      <c r="G90" s="15" t="str">
        <f>IF(OR(Table14[[#This Row],[Sales]]&gt;($B$5+1.5*$B$9),Table14[[#This Row],[Sales]]&lt;($B$7-1.5*$B$9)),"Outlier","Normal")</f>
        <v>Normal</v>
      </c>
      <c r="H90" s="22"/>
      <c r="I90" s="22">
        <f>Table1[[#This Row],[Sales]]/Table1[[#This Row],[USD_Spend]]</f>
        <v>1.316960052321158</v>
      </c>
    </row>
    <row r="91" spans="1:9" x14ac:dyDescent="0.35">
      <c r="A91" s="3" t="s">
        <v>91</v>
      </c>
      <c r="B91" s="15">
        <v>44553.33</v>
      </c>
      <c r="C91" s="1" t="str">
        <f>IF(OR(Table14[[#This Row],[USD_Spend]]&gt;($B$4+1.5*$B$8),Table14[[#This Row],[USD_Spend]]&lt;($B$6-1.5*$B$8)),"Outlier","Normal")</f>
        <v>Normal</v>
      </c>
      <c r="D91" s="1">
        <v>654883</v>
      </c>
      <c r="E91" s="1">
        <v>39033</v>
      </c>
      <c r="F91" s="15">
        <v>129231.62</v>
      </c>
      <c r="G91" s="15" t="str">
        <f>IF(OR(Table14[[#This Row],[Sales]]&gt;($B$5+1.5*$B$9),Table14[[#This Row],[Sales]]&lt;($B$7-1.5*$B$9)),"Outlier","Normal")</f>
        <v>Normal</v>
      </c>
      <c r="H91" s="22"/>
      <c r="I91" s="22">
        <f>Table1[[#This Row],[Sales]]/Table1[[#This Row],[USD_Spend]]</f>
        <v>2.999405253059805</v>
      </c>
    </row>
    <row r="92" spans="1:9" x14ac:dyDescent="0.35">
      <c r="A92" s="3" t="s">
        <v>116</v>
      </c>
      <c r="B92" s="15">
        <v>1300.24</v>
      </c>
      <c r="C92" s="1" t="str">
        <f>IF(OR(Table14[[#This Row],[USD_Spend]]&gt;($B$4+1.5*$B$8),Table14[[#This Row],[USD_Spend]]&lt;($B$6-1.5*$B$8)),"Outlier","Normal")</f>
        <v>Normal</v>
      </c>
      <c r="D92" s="1">
        <v>165141</v>
      </c>
      <c r="E92" s="1">
        <v>32627</v>
      </c>
      <c r="F92" s="15">
        <v>41872.03</v>
      </c>
      <c r="G92" s="15" t="str">
        <f>IF(OR(Table14[[#This Row],[Sales]]&gt;($B$5+1.5*$B$9),Table14[[#This Row],[Sales]]&lt;($B$7-1.5*$B$9)),"Outlier","Normal")</f>
        <v>Normal</v>
      </c>
      <c r="H92" s="22"/>
      <c r="I92" s="22">
        <f>Table1[[#This Row],[Sales]]/Table1[[#This Row],[USD_Spend]]</f>
        <v>17.020357029313629</v>
      </c>
    </row>
    <row r="93" spans="1:9" x14ac:dyDescent="0.35">
      <c r="A93" s="3" t="s">
        <v>94</v>
      </c>
      <c r="B93" s="15">
        <v>7448.2</v>
      </c>
      <c r="C93" s="1" t="str">
        <f>IF(OR(Table14[[#This Row],[USD_Spend]]&gt;($B$4+1.5*$B$8),Table14[[#This Row],[USD_Spend]]&lt;($B$6-1.5*$B$8)),"Outlier","Normal")</f>
        <v>Normal</v>
      </c>
      <c r="D93" s="1">
        <v>303586</v>
      </c>
      <c r="E93" s="1">
        <v>11786</v>
      </c>
      <c r="F93" s="15">
        <v>69419.72</v>
      </c>
      <c r="G93" s="15" t="str">
        <f>IF(OR(Table14[[#This Row],[Sales]]&gt;($B$5+1.5*$B$9),Table14[[#This Row],[Sales]]&lt;($B$7-1.5*$B$9)),"Outlier","Normal")</f>
        <v>Normal</v>
      </c>
      <c r="H93" s="22"/>
      <c r="I93" s="22">
        <f>Table1[[#This Row],[Sales]]/Table1[[#This Row],[USD_Spend]]</f>
        <v>7.6183572866318805</v>
      </c>
    </row>
    <row r="94" spans="1:9" x14ac:dyDescent="0.35">
      <c r="A94" s="3" t="s">
        <v>113</v>
      </c>
      <c r="B94" s="15">
        <v>3468.67</v>
      </c>
      <c r="C94" s="1" t="str">
        <f>IF(OR(Table14[[#This Row],[USD_Spend]]&gt;($B$4+1.5*$B$8),Table14[[#This Row],[USD_Spend]]&lt;($B$6-1.5*$B$8)),"Outlier","Normal")</f>
        <v>Normal</v>
      </c>
      <c r="D94" s="1">
        <v>374831</v>
      </c>
      <c r="E94" s="1">
        <v>28562</v>
      </c>
      <c r="F94" s="15">
        <v>107047.82</v>
      </c>
      <c r="G94" s="15" t="str">
        <f>IF(OR(Table14[[#This Row],[Sales]]&gt;($B$5+1.5*$B$9),Table14[[#This Row],[Sales]]&lt;($B$7-1.5*$B$9)),"Outlier","Normal")</f>
        <v>Normal</v>
      </c>
      <c r="H94" s="22"/>
      <c r="I94" s="22">
        <f>Table1[[#This Row],[Sales]]/Table1[[#This Row],[USD_Spend]]</f>
        <v>4.7578658919323429</v>
      </c>
    </row>
    <row r="95" spans="1:9" x14ac:dyDescent="0.35">
      <c r="A95" s="3" t="s">
        <v>66</v>
      </c>
      <c r="B95" s="15">
        <v>32644.18</v>
      </c>
      <c r="C95" s="1" t="str">
        <f>IF(OR(Table14[[#This Row],[USD_Spend]]&gt;($B$4+1.5*$B$8),Table14[[#This Row],[USD_Spend]]&lt;($B$6-1.5*$B$8)),"Outlier","Normal")</f>
        <v>Normal</v>
      </c>
      <c r="D95" s="1">
        <v>262528</v>
      </c>
      <c r="E95" s="1">
        <v>32715</v>
      </c>
      <c r="F95" s="15">
        <v>228643.11</v>
      </c>
      <c r="G95" s="15" t="str">
        <f>IF(OR(Table14[[#This Row],[Sales]]&gt;($B$5+1.5*$B$9),Table14[[#This Row],[Sales]]&lt;($B$7-1.5*$B$9)),"Outlier","Normal")</f>
        <v>Normal</v>
      </c>
      <c r="H95" s="22"/>
      <c r="I95" s="22">
        <f>Table1[[#This Row],[Sales]]/Table1[[#This Row],[USD_Spend]]</f>
        <v>0.99290844397979072</v>
      </c>
    </row>
    <row r="96" spans="1:9" x14ac:dyDescent="0.35">
      <c r="A96" s="3" t="s">
        <v>72</v>
      </c>
      <c r="B96" s="15">
        <v>6650.27</v>
      </c>
      <c r="C96" s="1" t="str">
        <f>IF(OR(Table14[[#This Row],[USD_Spend]]&gt;($B$4+1.5*$B$8),Table14[[#This Row],[USD_Spend]]&lt;($B$6-1.5*$B$8)),"Outlier","Normal")</f>
        <v>Normal</v>
      </c>
      <c r="D96" s="1">
        <v>897240</v>
      </c>
      <c r="E96" s="1">
        <v>39730</v>
      </c>
      <c r="F96" s="15">
        <v>119847.06</v>
      </c>
      <c r="G96" s="15" t="str">
        <f>IF(OR(Table14[[#This Row],[Sales]]&gt;($B$5+1.5*$B$9),Table14[[#This Row],[Sales]]&lt;($B$7-1.5*$B$9)),"Outlier","Normal")</f>
        <v>Normal</v>
      </c>
      <c r="H96" s="22"/>
      <c r="I96" s="22">
        <f>Table1[[#This Row],[Sales]]/Table1[[#This Row],[USD_Spend]]</f>
        <v>5.2138315132233997</v>
      </c>
    </row>
    <row r="97" spans="1:9" x14ac:dyDescent="0.35">
      <c r="A97" s="3" t="s">
        <v>62</v>
      </c>
      <c r="B97" s="15">
        <v>2874.7</v>
      </c>
      <c r="C97" s="1" t="str">
        <f>IF(OR(Table14[[#This Row],[USD_Spend]]&gt;($B$4+1.5*$B$8),Table14[[#This Row],[USD_Spend]]&lt;($B$6-1.5*$B$8)),"Outlier","Normal")</f>
        <v>Normal</v>
      </c>
      <c r="D97" s="1">
        <v>389895</v>
      </c>
      <c r="E97" s="1">
        <v>42916</v>
      </c>
      <c r="F97" s="15">
        <v>123617.86</v>
      </c>
      <c r="G97" s="15" t="str">
        <f>IF(OR(Table14[[#This Row],[Sales]]&gt;($B$5+1.5*$B$9),Table14[[#This Row],[Sales]]&lt;($B$7-1.5*$B$9)),"Outlier","Normal")</f>
        <v>Normal</v>
      </c>
      <c r="H97" s="22"/>
      <c r="I97" s="22">
        <f>Table1[[#This Row],[Sales]]/Table1[[#This Row],[USD_Spend]]</f>
        <v>2.9143735162053881</v>
      </c>
    </row>
    <row r="98" spans="1:9" x14ac:dyDescent="0.35">
      <c r="A98" s="3" t="s">
        <v>98</v>
      </c>
      <c r="B98" s="15">
        <v>48220.480000000003</v>
      </c>
      <c r="C98" s="1" t="str">
        <f>IF(OR(Table14[[#This Row],[USD_Spend]]&gt;($B$4+1.5*$B$8),Table14[[#This Row],[USD_Spend]]&lt;($B$6-1.5*$B$8)),"Outlier","Normal")</f>
        <v>Normal</v>
      </c>
      <c r="D98" s="1">
        <v>246588</v>
      </c>
      <c r="E98" s="1">
        <v>45290</v>
      </c>
      <c r="F98" s="15">
        <v>108835.96</v>
      </c>
      <c r="G98" s="15" t="str">
        <f>IF(OR(Table14[[#This Row],[Sales]]&gt;($B$5+1.5*$B$9),Table14[[#This Row],[Sales]]&lt;($B$7-1.5*$B$9)),"Outlier","Normal")</f>
        <v>Normal</v>
      </c>
      <c r="H98" s="22"/>
      <c r="I98" s="22">
        <f>Table1[[#This Row],[Sales]]/Table1[[#This Row],[USD_Spend]]</f>
        <v>8.8102457376130641</v>
      </c>
    </row>
    <row r="99" spans="1:9" x14ac:dyDescent="0.35">
      <c r="A99" s="3" t="s">
        <v>111</v>
      </c>
      <c r="B99" s="15">
        <v>4319.8900000000003</v>
      </c>
      <c r="C99" s="1" t="str">
        <f>IF(OR(Table14[[#This Row],[USD_Spend]]&gt;($B$4+1.5*$B$8),Table14[[#This Row],[USD_Spend]]&lt;($B$6-1.5*$B$8)),"Outlier","Normal")</f>
        <v>Normal</v>
      </c>
      <c r="D99" s="1">
        <v>509387</v>
      </c>
      <c r="E99" s="1">
        <v>14176</v>
      </c>
      <c r="F99" s="15">
        <v>114310.2</v>
      </c>
      <c r="G99" s="15" t="str">
        <f>IF(OR(Table14[[#This Row],[Sales]]&gt;($B$5+1.5*$B$9),Table14[[#This Row],[Sales]]&lt;($B$7-1.5*$B$9)),"Outlier","Normal")</f>
        <v>Normal</v>
      </c>
      <c r="H99" s="22"/>
      <c r="I99" s="22">
        <f>Table1[[#This Row],[Sales]]/Table1[[#This Row],[USD_Spend]]</f>
        <v>74.027384685372624</v>
      </c>
    </row>
    <row r="100" spans="1:9" x14ac:dyDescent="0.35">
      <c r="A100" s="3" t="s">
        <v>42</v>
      </c>
      <c r="B100" s="15">
        <v>24433.71</v>
      </c>
      <c r="C100" s="1" t="str">
        <f>IF(OR(Table14[[#This Row],[USD_Spend]]&gt;($B$4+1.5*$B$8),Table14[[#This Row],[USD_Spend]]&lt;($B$6-1.5*$B$8)),"Outlier","Normal")</f>
        <v>Normal</v>
      </c>
      <c r="D100" s="1">
        <v>617497</v>
      </c>
      <c r="E100" s="1">
        <v>6877</v>
      </c>
      <c r="F100" s="15">
        <v>32178.22</v>
      </c>
      <c r="G100" s="15" t="str">
        <f>IF(OR(Table14[[#This Row],[Sales]]&gt;($B$5+1.5*$B$9),Table14[[#This Row],[Sales]]&lt;($B$7-1.5*$B$9)),"Outlier","Normal")</f>
        <v>Normal</v>
      </c>
      <c r="H100" s="22"/>
      <c r="I100" s="22">
        <f>Table1[[#This Row],[Sales]]/Table1[[#This Row],[USD_Spend]]</f>
        <v>39.175927764482111</v>
      </c>
    </row>
    <row r="101" spans="1:9" x14ac:dyDescent="0.35">
      <c r="A101" s="3" t="s">
        <v>88</v>
      </c>
      <c r="B101" s="15">
        <v>22917.31</v>
      </c>
      <c r="C101" s="1" t="str">
        <f>IF(OR(Table14[[#This Row],[USD_Spend]]&gt;($B$4+1.5*$B$8),Table14[[#This Row],[USD_Spend]]&lt;($B$6-1.5*$B$8)),"Outlier","Normal")</f>
        <v>Normal</v>
      </c>
      <c r="D101" s="1">
        <v>200556</v>
      </c>
      <c r="E101" s="1">
        <v>3395</v>
      </c>
      <c r="F101" s="15">
        <v>68738.3</v>
      </c>
      <c r="G101" s="15" t="str">
        <f>IF(OR(Table14[[#This Row],[Sales]]&gt;($B$5+1.5*$B$9),Table14[[#This Row],[Sales]]&lt;($B$7-1.5*$B$9)),"Outlier","Normal")</f>
        <v>Normal</v>
      </c>
      <c r="H101" s="22"/>
      <c r="I101" s="22">
        <f>Table1[[#This Row],[Sales]]/Table1[[#This Row],[USD_Spend]]</f>
        <v>14.434455130632337</v>
      </c>
    </row>
    <row r="102" spans="1:9" x14ac:dyDescent="0.35">
      <c r="A102" s="3" t="s">
        <v>104</v>
      </c>
      <c r="B102" s="15">
        <v>12959.16</v>
      </c>
      <c r="C102" s="1" t="str">
        <f>IF(OR(Table14[[#This Row],[USD_Spend]]&gt;($B$4+1.5*$B$8),Table14[[#This Row],[USD_Spend]]&lt;($B$6-1.5*$B$8)),"Outlier","Normal")</f>
        <v>Normal</v>
      </c>
      <c r="D102" s="1">
        <v>763800</v>
      </c>
      <c r="E102" s="1">
        <v>48600</v>
      </c>
      <c r="F102" s="15">
        <v>220569.53</v>
      </c>
      <c r="G102" s="15" t="str">
        <f>IF(OR(Table14[[#This Row],[Sales]]&gt;($B$5+1.5*$B$9),Table14[[#This Row],[Sales]]&lt;($B$7-1.5*$B$9)),"Outlier","Normal")</f>
        <v>Normal</v>
      </c>
      <c r="H102" s="22"/>
      <c r="I102" s="22">
        <f>Table1[[#This Row],[Sales]]/Table1[[#This Row],[USD_Spend]]</f>
        <v>10.124582584635935</v>
      </c>
    </row>
    <row r="103" spans="1:9" x14ac:dyDescent="0.35">
      <c r="A103" s="3" t="s">
        <v>105</v>
      </c>
      <c r="B103" s="15">
        <v>31199.599999999999</v>
      </c>
      <c r="C103" s="1" t="str">
        <f>IF(OR(Table14[[#This Row],[USD_Spend]]&gt;($B$4+1.5*$B$8),Table14[[#This Row],[USD_Spend]]&lt;($B$6-1.5*$B$8)),"Outlier","Normal")</f>
        <v>Normal</v>
      </c>
      <c r="D103" s="1">
        <v>546521</v>
      </c>
      <c r="E103" s="1">
        <v>40212</v>
      </c>
      <c r="F103" s="15">
        <v>237689.7</v>
      </c>
      <c r="G103" s="15" t="str">
        <f>IF(OR(Table14[[#This Row],[Sales]]&gt;($B$5+1.5*$B$9),Table14[[#This Row],[Sales]]&lt;($B$7-1.5*$B$9)),"Outlier","Normal")</f>
        <v>Normal</v>
      </c>
      <c r="H103" s="22"/>
      <c r="I103" s="22">
        <f>Table1[[#This Row],[Sales]]/Table1[[#This Row],[USD_Spend]]</f>
        <v>427.2823269800748</v>
      </c>
    </row>
    <row r="104" spans="1:9" x14ac:dyDescent="0.35">
      <c r="A104" s="3" t="s">
        <v>114</v>
      </c>
      <c r="B104" s="15">
        <v>40609.19</v>
      </c>
      <c r="C104" s="1" t="str">
        <f>IF(OR(Table14[[#This Row],[USD_Spend]]&gt;($B$4+1.5*$B$8),Table14[[#This Row],[USD_Spend]]&lt;($B$6-1.5*$B$8)),"Outlier","Normal")</f>
        <v>Normal</v>
      </c>
      <c r="D104" s="1">
        <v>977301</v>
      </c>
      <c r="E104" s="1">
        <v>26114</v>
      </c>
      <c r="F104" s="15">
        <v>193213.08</v>
      </c>
      <c r="G104" s="15" t="str">
        <f>IF(OR(Table14[[#This Row],[Sales]]&gt;($B$5+1.5*$B$9),Table14[[#This Row],[Sales]]&lt;($B$7-1.5*$B$9)),"Outlier","Normal")</f>
        <v>Normal</v>
      </c>
      <c r="H104" s="22"/>
      <c r="I104" s="22">
        <f>Table1[[#This Row],[Sales]]/Table1[[#This Row],[USD_Spend]]</f>
        <v>35.465134607594003</v>
      </c>
    </row>
    <row r="105" spans="1:9" x14ac:dyDescent="0.35">
      <c r="A105" s="3" t="s">
        <v>106</v>
      </c>
      <c r="B105" s="15">
        <v>21081.41</v>
      </c>
      <c r="C105" s="1" t="str">
        <f>IF(OR(Table14[[#This Row],[USD_Spend]]&gt;($B$4+1.5*$B$8),Table14[[#This Row],[USD_Spend]]&lt;($B$6-1.5*$B$8)),"Outlier","Normal")</f>
        <v>Normal</v>
      </c>
      <c r="D105" s="1">
        <v>943320</v>
      </c>
      <c r="E105" s="1">
        <v>45540</v>
      </c>
      <c r="F105" s="15">
        <v>20931.91</v>
      </c>
      <c r="G105" s="15" t="str">
        <f>IF(OR(Table14[[#This Row],[Sales]]&gt;($B$5+1.5*$B$9),Table14[[#This Row],[Sales]]&lt;($B$7-1.5*$B$9)),"Outlier","Normal")</f>
        <v>Normal</v>
      </c>
      <c r="H105" s="22"/>
      <c r="I105" s="22">
        <f>Table1[[#This Row],[Sales]]/Table1[[#This Row],[USD_Spend]]</f>
        <v>14.97921317038726</v>
      </c>
    </row>
    <row r="106" spans="1:9" x14ac:dyDescent="0.35">
      <c r="A106" s="3" t="s">
        <v>106</v>
      </c>
      <c r="B106" s="15">
        <v>2520.91</v>
      </c>
      <c r="C106" s="1" t="str">
        <f>IF(OR(Table14[[#This Row],[USD_Spend]]&gt;($B$4+1.5*$B$8),Table14[[#This Row],[USD_Spend]]&lt;($B$6-1.5*$B$8)),"Outlier","Normal")</f>
        <v>Normal</v>
      </c>
      <c r="D106" s="1">
        <v>110879</v>
      </c>
      <c r="E106" s="1">
        <v>13439</v>
      </c>
      <c r="F106" s="15">
        <v>13143.6</v>
      </c>
      <c r="G106" s="15" t="str">
        <f>IF(OR(Table14[[#This Row],[Sales]]&gt;($B$5+1.5*$B$9),Table14[[#This Row],[Sales]]&lt;($B$7-1.5*$B$9)),"Outlier","Normal")</f>
        <v>Normal</v>
      </c>
      <c r="H106" s="22"/>
      <c r="I106" s="22">
        <f>Table1[[#This Row],[Sales]]/Table1[[#This Row],[USD_Spend]]</f>
        <v>0.56323614161576785</v>
      </c>
    </row>
    <row r="107" spans="1:9" x14ac:dyDescent="0.35">
      <c r="A107" s="3" t="s">
        <v>79</v>
      </c>
      <c r="B107" s="15">
        <v>19885.669999999998</v>
      </c>
      <c r="C107" s="1" t="str">
        <f>IF(OR(Table14[[#This Row],[USD_Spend]]&gt;($B$4+1.5*$B$8),Table14[[#This Row],[USD_Spend]]&lt;($B$6-1.5*$B$8)),"Outlier","Normal")</f>
        <v>Normal</v>
      </c>
      <c r="D107" s="1">
        <v>879749</v>
      </c>
      <c r="E107" s="1">
        <v>19933</v>
      </c>
      <c r="F107" s="15">
        <v>57954.27</v>
      </c>
      <c r="G107" s="15" t="str">
        <f>IF(OR(Table14[[#This Row],[Sales]]&gt;($B$5+1.5*$B$9),Table14[[#This Row],[Sales]]&lt;($B$7-1.5*$B$9)),"Outlier","Normal")</f>
        <v>Normal</v>
      </c>
      <c r="H107" s="22"/>
      <c r="I107" s="22">
        <f>Table1[[#This Row],[Sales]]/Table1[[#This Row],[USD_Spend]]</f>
        <v>19.680188411751431</v>
      </c>
    </row>
    <row r="108" spans="1:9" x14ac:dyDescent="0.35">
      <c r="A108" s="3" t="s">
        <v>104</v>
      </c>
      <c r="B108" s="15">
        <v>16865.55</v>
      </c>
      <c r="C108" s="1" t="str">
        <f>IF(OR(Table14[[#This Row],[USD_Spend]]&gt;($B$4+1.5*$B$8),Table14[[#This Row],[USD_Spend]]&lt;($B$6-1.5*$B$8)),"Outlier","Normal")</f>
        <v>Normal</v>
      </c>
      <c r="D108" s="1">
        <v>424337</v>
      </c>
      <c r="E108" s="1">
        <v>26671</v>
      </c>
      <c r="F108" s="15">
        <v>148589.64000000001</v>
      </c>
      <c r="G108" s="15" t="str">
        <f>IF(OR(Table14[[#This Row],[Sales]]&gt;($B$5+1.5*$B$9),Table14[[#This Row],[Sales]]&lt;($B$7-1.5*$B$9)),"Outlier","Normal")</f>
        <v>Normal</v>
      </c>
      <c r="H108" s="22"/>
      <c r="I108" s="22">
        <f>Table1[[#This Row],[Sales]]/Table1[[#This Row],[USD_Spend]]</f>
        <v>14.688022914161065</v>
      </c>
    </row>
    <row r="109" spans="1:9" x14ac:dyDescent="0.35">
      <c r="A109" s="3" t="s">
        <v>68</v>
      </c>
      <c r="B109" s="15">
        <v>1230.98</v>
      </c>
      <c r="C109" s="1" t="str">
        <f>IF(OR(Table14[[#This Row],[USD_Spend]]&gt;($B$4+1.5*$B$8),Table14[[#This Row],[USD_Spend]]&lt;($B$6-1.5*$B$8)),"Outlier","Normal")</f>
        <v>Normal</v>
      </c>
      <c r="D109" s="1">
        <v>775470</v>
      </c>
      <c r="E109" s="1">
        <v>25267</v>
      </c>
      <c r="F109" s="15">
        <v>91126.23</v>
      </c>
      <c r="G109" s="15" t="str">
        <f>IF(OR(Table14[[#This Row],[Sales]]&gt;($B$5+1.5*$B$9),Table14[[#This Row],[Sales]]&lt;($B$7-1.5*$B$9)),"Outlier","Normal")</f>
        <v>Normal</v>
      </c>
      <c r="H109" s="22"/>
      <c r="I109" s="22">
        <f>Table1[[#This Row],[Sales]]/Table1[[#This Row],[USD_Spend]]</f>
        <v>6.4795976800528594</v>
      </c>
    </row>
    <row r="110" spans="1:9" x14ac:dyDescent="0.35">
      <c r="A110" s="3" t="s">
        <v>93</v>
      </c>
      <c r="B110" s="15">
        <v>4784.3500000000004</v>
      </c>
      <c r="C110" s="1" t="str">
        <f>IF(OR(Table14[[#This Row],[USD_Spend]]&gt;($B$4+1.5*$B$8),Table14[[#This Row],[USD_Spend]]&lt;($B$6-1.5*$B$8)),"Outlier","Normal")</f>
        <v>Normal</v>
      </c>
      <c r="D110" s="1">
        <v>992736</v>
      </c>
      <c r="E110" s="1">
        <v>12431</v>
      </c>
      <c r="F110" s="15">
        <v>187431.35</v>
      </c>
      <c r="G110" s="15" t="str">
        <f>IF(OR(Table14[[#This Row],[Sales]]&gt;($B$5+1.5*$B$9),Table14[[#This Row],[Sales]]&lt;($B$7-1.5*$B$9)),"Outlier","Normal")</f>
        <v>Normal</v>
      </c>
      <c r="H110" s="22"/>
      <c r="I110" s="22">
        <f>Table1[[#This Row],[Sales]]/Table1[[#This Row],[USD_Spend]]</f>
        <v>3.0087636890134792</v>
      </c>
    </row>
    <row r="111" spans="1:9" x14ac:dyDescent="0.35">
      <c r="A111" s="3" t="s">
        <v>87</v>
      </c>
      <c r="B111" s="15">
        <v>6602.5</v>
      </c>
      <c r="C111" s="1" t="str">
        <f>IF(OR(Table14[[#This Row],[USD_Spend]]&gt;($B$4+1.5*$B$8),Table14[[#This Row],[USD_Spend]]&lt;($B$6-1.5*$B$8)),"Outlier","Normal")</f>
        <v>Normal</v>
      </c>
      <c r="D111" s="1">
        <v>139592</v>
      </c>
      <c r="E111" s="1">
        <v>29904</v>
      </c>
      <c r="F111" s="15">
        <v>95303.49</v>
      </c>
      <c r="G111" s="15" t="str">
        <f>IF(OR(Table14[[#This Row],[Sales]]&gt;($B$5+1.5*$B$9),Table14[[#This Row],[Sales]]&lt;($B$7-1.5*$B$9)),"Outlier","Normal")</f>
        <v>Normal</v>
      </c>
      <c r="H111" s="22"/>
      <c r="I111" s="22">
        <f>Table1[[#This Row],[Sales]]/Table1[[#This Row],[USD_Spend]]</f>
        <v>794.63182498130152</v>
      </c>
    </row>
    <row r="112" spans="1:9" x14ac:dyDescent="0.35">
      <c r="A112" s="3" t="s">
        <v>116</v>
      </c>
      <c r="B112" s="15">
        <v>15092.88</v>
      </c>
      <c r="C112" s="1" t="str">
        <f>IF(OR(Table14[[#This Row],[USD_Spend]]&gt;($B$4+1.5*$B$8),Table14[[#This Row],[USD_Spend]]&lt;($B$6-1.5*$B$8)),"Outlier","Normal")</f>
        <v>Normal</v>
      </c>
      <c r="D112" s="1">
        <v>748936</v>
      </c>
      <c r="E112" s="1">
        <v>45770</v>
      </c>
      <c r="F112" s="15">
        <v>152809.10999999999</v>
      </c>
      <c r="G112" s="15" t="str">
        <f>IF(OR(Table14[[#This Row],[Sales]]&gt;($B$5+1.5*$B$9),Table14[[#This Row],[Sales]]&lt;($B$7-1.5*$B$9)),"Outlier","Normal")</f>
        <v>Normal</v>
      </c>
      <c r="H112" s="22"/>
      <c r="I112" s="22">
        <f>Table1[[#This Row],[Sales]]/Table1[[#This Row],[USD_Spend]]</f>
        <v>9.0774882979154743</v>
      </c>
    </row>
    <row r="113" spans="1:9" x14ac:dyDescent="0.35">
      <c r="A113" s="3" t="s">
        <v>57</v>
      </c>
      <c r="B113" s="15">
        <v>462.23</v>
      </c>
      <c r="C113" s="1" t="str">
        <f>IF(OR(Table14[[#This Row],[USD_Spend]]&gt;($B$4+1.5*$B$8),Table14[[#This Row],[USD_Spend]]&lt;($B$6-1.5*$B$8)),"Outlier","Normal")</f>
        <v>Normal</v>
      </c>
      <c r="D113" s="1">
        <v>450656</v>
      </c>
      <c r="E113" s="1">
        <v>20519</v>
      </c>
      <c r="F113" s="15">
        <v>197502.71</v>
      </c>
      <c r="G113" s="15" t="str">
        <f>IF(OR(Table14[[#This Row],[Sales]]&gt;($B$5+1.5*$B$9),Table14[[#This Row],[Sales]]&lt;($B$7-1.5*$B$9)),"Outlier","Normal")</f>
        <v>Normal</v>
      </c>
      <c r="H113" s="22"/>
      <c r="I113" s="22">
        <f>Table1[[#This Row],[Sales]]/Table1[[#This Row],[USD_Spend]]</f>
        <v>48.335937025763762</v>
      </c>
    </row>
    <row r="114" spans="1:9" x14ac:dyDescent="0.35">
      <c r="A114" s="3" t="s">
        <v>106</v>
      </c>
      <c r="B114" s="15">
        <v>2715.3</v>
      </c>
      <c r="C114" s="1" t="str">
        <f>IF(OR(Table14[[#This Row],[USD_Spend]]&gt;($B$4+1.5*$B$8),Table14[[#This Row],[USD_Spend]]&lt;($B$6-1.5*$B$8)),"Outlier","Normal")</f>
        <v>Normal</v>
      </c>
      <c r="D114" s="1">
        <v>790758</v>
      </c>
      <c r="E114" s="1">
        <v>48517</v>
      </c>
      <c r="F114" s="15">
        <v>96298.48</v>
      </c>
      <c r="G114" s="15" t="str">
        <f>IF(OR(Table14[[#This Row],[Sales]]&gt;($B$5+1.5*$B$9),Table14[[#This Row],[Sales]]&lt;($B$7-1.5*$B$9)),"Outlier","Normal")</f>
        <v>Normal</v>
      </c>
      <c r="H114" s="22"/>
      <c r="I114" s="22">
        <f>Table1[[#This Row],[Sales]]/Table1[[#This Row],[USD_Spend]]</f>
        <v>15.202547333108559</v>
      </c>
    </row>
    <row r="115" spans="1:9" x14ac:dyDescent="0.35">
      <c r="A115" s="3" t="s">
        <v>108</v>
      </c>
      <c r="B115" s="15">
        <v>5622.31</v>
      </c>
      <c r="C115" s="1" t="str">
        <f>IF(OR(Table14[[#This Row],[USD_Spend]]&gt;($B$4+1.5*$B$8),Table14[[#This Row],[USD_Spend]]&lt;($B$6-1.5*$B$8)),"Outlier","Normal")</f>
        <v>Normal</v>
      </c>
      <c r="D115" s="1">
        <v>508560</v>
      </c>
      <c r="E115" s="1">
        <v>116</v>
      </c>
      <c r="F115" s="15">
        <v>84217.78</v>
      </c>
      <c r="G115" s="15" t="str">
        <f>IF(OR(Table14[[#This Row],[Sales]]&gt;($B$5+1.5*$B$9),Table14[[#This Row],[Sales]]&lt;($B$7-1.5*$B$9)),"Outlier","Normal")</f>
        <v>Normal</v>
      </c>
      <c r="H115" s="22"/>
      <c r="I115" s="22">
        <f>Table1[[#This Row],[Sales]]/Table1[[#This Row],[USD_Spend]]</f>
        <v>22.478807366535186</v>
      </c>
    </row>
    <row r="116" spans="1:9" x14ac:dyDescent="0.35">
      <c r="A116" s="3" t="s">
        <v>112</v>
      </c>
      <c r="B116" s="15">
        <v>34999.21</v>
      </c>
      <c r="C116" s="1" t="str">
        <f>IF(OR(Table14[[#This Row],[USD_Spend]]&gt;($B$4+1.5*$B$8),Table14[[#This Row],[USD_Spend]]&lt;($B$6-1.5*$B$8)),"Outlier","Normal")</f>
        <v>Normal</v>
      </c>
      <c r="D116" s="1">
        <v>806456</v>
      </c>
      <c r="E116" s="1">
        <v>41068</v>
      </c>
      <c r="F116" s="15">
        <v>19712.82</v>
      </c>
      <c r="G116" s="15" t="str">
        <f>IF(OR(Table14[[#This Row],[Sales]]&gt;($B$5+1.5*$B$9),Table14[[#This Row],[Sales]]&lt;($B$7-1.5*$B$9)),"Outlier","Normal")</f>
        <v>Normal</v>
      </c>
      <c r="H116" s="22"/>
      <c r="I116" s="22">
        <f>Table1[[#This Row],[Sales]]/Table1[[#This Row],[USD_Spend]]</f>
        <v>9.5516957147349473</v>
      </c>
    </row>
    <row r="117" spans="1:9" x14ac:dyDescent="0.35">
      <c r="A117" s="3" t="s">
        <v>50</v>
      </c>
      <c r="B117" s="15">
        <v>8640.65</v>
      </c>
      <c r="C117" s="1" t="str">
        <f>IF(OR(Table14[[#This Row],[USD_Spend]]&gt;($B$4+1.5*$B$8),Table14[[#This Row],[USD_Spend]]&lt;($B$6-1.5*$B$8)),"Outlier","Normal")</f>
        <v>Normal</v>
      </c>
      <c r="D117" s="1">
        <v>291502</v>
      </c>
      <c r="E117" s="1">
        <v>24818</v>
      </c>
      <c r="F117" s="15">
        <v>170049.62</v>
      </c>
      <c r="G117" s="15" t="str">
        <f>IF(OR(Table14[[#This Row],[Sales]]&gt;($B$5+1.5*$B$9),Table14[[#This Row],[Sales]]&lt;($B$7-1.5*$B$9)),"Outlier","Normal")</f>
        <v>Normal</v>
      </c>
      <c r="H117" s="22"/>
      <c r="I117" s="22">
        <f>Table1[[#This Row],[Sales]]/Table1[[#This Row],[USD_Spend]]</f>
        <v>3.832585664415384</v>
      </c>
    </row>
    <row r="118" spans="1:9" x14ac:dyDescent="0.35">
      <c r="A118" s="3" t="s">
        <v>66</v>
      </c>
      <c r="B118" s="15">
        <v>13794.09</v>
      </c>
      <c r="C118" s="1" t="str">
        <f>IF(OR(Table14[[#This Row],[USD_Spend]]&gt;($B$4+1.5*$B$8),Table14[[#This Row],[USD_Spend]]&lt;($B$6-1.5*$B$8)),"Outlier","Normal")</f>
        <v>Normal</v>
      </c>
      <c r="D118" s="1">
        <v>335498</v>
      </c>
      <c r="E118" s="1">
        <v>14822</v>
      </c>
      <c r="F118" s="15">
        <v>202607.91</v>
      </c>
      <c r="G118" s="15" t="str">
        <f>IF(OR(Table14[[#This Row],[Sales]]&gt;($B$5+1.5*$B$9),Table14[[#This Row],[Sales]]&lt;($B$7-1.5*$B$9)),"Outlier","Normal")</f>
        <v>Normal</v>
      </c>
      <c r="H118" s="22"/>
      <c r="I118" s="22">
        <f>Table1[[#This Row],[Sales]]/Table1[[#This Row],[USD_Spend]]</f>
        <v>8.2040412102566389</v>
      </c>
    </row>
    <row r="119" spans="1:9" x14ac:dyDescent="0.35">
      <c r="A119" s="3" t="s">
        <v>75</v>
      </c>
      <c r="B119" s="15">
        <v>8853.65</v>
      </c>
      <c r="C119" s="1" t="str">
        <f>IF(OR(Table14[[#This Row],[USD_Spend]]&gt;($B$4+1.5*$B$8),Table14[[#This Row],[USD_Spend]]&lt;($B$6-1.5*$B$8)),"Outlier","Normal")</f>
        <v>Normal</v>
      </c>
      <c r="D119" s="1">
        <v>519231</v>
      </c>
      <c r="E119" s="1">
        <v>31646</v>
      </c>
      <c r="F119" s="15">
        <v>57368.09</v>
      </c>
      <c r="G119" s="15" t="str">
        <f>IF(OR(Table14[[#This Row],[Sales]]&gt;($B$5+1.5*$B$9),Table14[[#This Row],[Sales]]&lt;($B$7-1.5*$B$9)),"Outlier","Normal")</f>
        <v>Normal</v>
      </c>
      <c r="H119" s="22"/>
      <c r="I119" s="22">
        <f>Table1[[#This Row],[Sales]]/Table1[[#This Row],[USD_Spend]]</f>
        <v>192.12208026115832</v>
      </c>
    </row>
    <row r="120" spans="1:9" x14ac:dyDescent="0.35">
      <c r="A120" s="3" t="s">
        <v>66</v>
      </c>
      <c r="B120" s="15">
        <v>54404.03</v>
      </c>
      <c r="C120" s="1" t="str">
        <f>IF(OR(Table14[[#This Row],[USD_Spend]]&gt;($B$4+1.5*$B$8),Table14[[#This Row],[USD_Spend]]&lt;($B$6-1.5*$B$8)),"Outlier","Normal")</f>
        <v>Outlier</v>
      </c>
      <c r="D120" s="1">
        <v>493863</v>
      </c>
      <c r="E120" s="1">
        <v>7798</v>
      </c>
      <c r="F120" s="15">
        <v>163688.87</v>
      </c>
      <c r="G120" s="15" t="str">
        <f>IF(OR(Table14[[#This Row],[Sales]]&gt;($B$5+1.5*$B$9),Table14[[#This Row],[Sales]]&lt;($B$7-1.5*$B$9)),"Outlier","Normal")</f>
        <v>Normal</v>
      </c>
      <c r="H120" s="22"/>
      <c r="I120" s="22">
        <f>Table1[[#This Row],[Sales]]/Table1[[#This Row],[USD_Spend]]</f>
        <v>0.59272431990576069</v>
      </c>
    </row>
    <row r="121" spans="1:9" x14ac:dyDescent="0.35">
      <c r="A121" s="3" t="s">
        <v>107</v>
      </c>
      <c r="B121" s="15">
        <v>53.48</v>
      </c>
      <c r="C121" s="1" t="str">
        <f>IF(OR(Table14[[#This Row],[USD_Spend]]&gt;($B$4+1.5*$B$8),Table14[[#This Row],[USD_Spend]]&lt;($B$6-1.5*$B$8)),"Outlier","Normal")</f>
        <v>Normal</v>
      </c>
      <c r="D121" s="1">
        <v>817437</v>
      </c>
      <c r="E121" s="1">
        <v>38981</v>
      </c>
      <c r="F121" s="15">
        <v>42496.91</v>
      </c>
      <c r="G121" s="15" t="str">
        <f>IF(OR(Table14[[#This Row],[Sales]]&gt;($B$5+1.5*$B$9),Table14[[#This Row],[Sales]]&lt;($B$7-1.5*$B$9)),"Outlier","Normal")</f>
        <v>Normal</v>
      </c>
      <c r="H121" s="22"/>
      <c r="I121" s="22">
        <f>Table1[[#This Row],[Sales]]/Table1[[#This Row],[USD_Spend]]</f>
        <v>49.801563067010086</v>
      </c>
    </row>
    <row r="122" spans="1:9" x14ac:dyDescent="0.35">
      <c r="A122" s="3" t="s">
        <v>57</v>
      </c>
      <c r="B122" s="15">
        <v>11098.45</v>
      </c>
      <c r="C122" s="1" t="str">
        <f>IF(OR(Table14[[#This Row],[USD_Spend]]&gt;($B$4+1.5*$B$8),Table14[[#This Row],[USD_Spend]]&lt;($B$6-1.5*$B$8)),"Outlier","Normal")</f>
        <v>Normal</v>
      </c>
      <c r="D122" s="1">
        <v>889037</v>
      </c>
      <c r="E122" s="1">
        <v>13729</v>
      </c>
      <c r="F122" s="15">
        <v>100746.05</v>
      </c>
      <c r="G122" s="15" t="str">
        <f>IF(OR(Table14[[#This Row],[Sales]]&gt;($B$5+1.5*$B$9),Table14[[#This Row],[Sales]]&lt;($B$7-1.5*$B$9)),"Outlier","Normal")</f>
        <v>Normal</v>
      </c>
      <c r="H122" s="22"/>
      <c r="I122" s="22">
        <f>Table1[[#This Row],[Sales]]/Table1[[#This Row],[USD_Spend]]</f>
        <v>4.5940575943459541</v>
      </c>
    </row>
    <row r="123" spans="1:9" x14ac:dyDescent="0.35">
      <c r="A123" s="3" t="s">
        <v>67</v>
      </c>
      <c r="B123" s="15">
        <v>4612.68</v>
      </c>
      <c r="C123" s="1" t="str">
        <f>IF(OR(Table14[[#This Row],[USD_Spend]]&gt;($B$4+1.5*$B$8),Table14[[#This Row],[USD_Spend]]&lt;($B$6-1.5*$B$8)),"Outlier","Normal")</f>
        <v>Normal</v>
      </c>
      <c r="D123" s="1">
        <v>287860</v>
      </c>
      <c r="E123" s="1">
        <v>24157</v>
      </c>
      <c r="F123" s="15">
        <v>222958.21</v>
      </c>
      <c r="G123" s="15" t="str">
        <f>IF(OR(Table14[[#This Row],[Sales]]&gt;($B$5+1.5*$B$9),Table14[[#This Row],[Sales]]&lt;($B$7-1.5*$B$9)),"Outlier","Normal")</f>
        <v>Normal</v>
      </c>
      <c r="H123" s="22"/>
      <c r="I123" s="22">
        <f>Table1[[#This Row],[Sales]]/Table1[[#This Row],[USD_Spend]]</f>
        <v>5.4982651159219378</v>
      </c>
    </row>
    <row r="124" spans="1:9" x14ac:dyDescent="0.35">
      <c r="A124" s="3" t="s">
        <v>71</v>
      </c>
      <c r="B124" s="15">
        <v>14177.18</v>
      </c>
      <c r="C124" s="1" t="str">
        <f>IF(OR(Table14[[#This Row],[USD_Spend]]&gt;($B$4+1.5*$B$8),Table14[[#This Row],[USD_Spend]]&lt;($B$6-1.5*$B$8)),"Outlier","Normal")</f>
        <v>Normal</v>
      </c>
      <c r="D124" s="1">
        <v>881861</v>
      </c>
      <c r="E124" s="1">
        <v>39794</v>
      </c>
      <c r="F124" s="15">
        <v>215529.25</v>
      </c>
      <c r="G124" s="15" t="str">
        <f>IF(OR(Table14[[#This Row],[Sales]]&gt;($B$5+1.5*$B$9),Table14[[#This Row],[Sales]]&lt;($B$7-1.5*$B$9)),"Outlier","Normal")</f>
        <v>Normal</v>
      </c>
      <c r="H124" s="22"/>
      <c r="I124" s="22">
        <f>Table1[[#This Row],[Sales]]/Table1[[#This Row],[USD_Spend]]</f>
        <v>6.3458347911608497</v>
      </c>
    </row>
    <row r="125" spans="1:9" x14ac:dyDescent="0.35">
      <c r="A125" s="3" t="s">
        <v>72</v>
      </c>
      <c r="B125" s="15">
        <v>10906.62</v>
      </c>
      <c r="C125" s="1" t="str">
        <f>IF(OR(Table14[[#This Row],[USD_Spend]]&gt;($B$4+1.5*$B$8),Table14[[#This Row],[USD_Spend]]&lt;($B$6-1.5*$B$8)),"Outlier","Normal")</f>
        <v>Normal</v>
      </c>
      <c r="D125" s="1">
        <v>65021</v>
      </c>
      <c r="E125" s="1">
        <v>7790</v>
      </c>
      <c r="F125" s="15">
        <v>245167.81</v>
      </c>
      <c r="G125" s="15" t="str">
        <f>IF(OR(Table14[[#This Row],[Sales]]&gt;($B$5+1.5*$B$9),Table14[[#This Row],[Sales]]&lt;($B$7-1.5*$B$9)),"Outlier","Normal")</f>
        <v>Normal</v>
      </c>
      <c r="H125" s="22"/>
      <c r="I125" s="22">
        <f>Table1[[#This Row],[Sales]]/Table1[[#This Row],[USD_Spend]]</f>
        <v>34.041057916029096</v>
      </c>
    </row>
    <row r="126" spans="1:9" x14ac:dyDescent="0.35">
      <c r="A126" s="3" t="s">
        <v>62</v>
      </c>
      <c r="B126" s="15">
        <v>12592.92</v>
      </c>
      <c r="C126" s="1" t="str">
        <f>IF(OR(Table14[[#This Row],[USD_Spend]]&gt;($B$4+1.5*$B$8),Table14[[#This Row],[USD_Spend]]&lt;($B$6-1.5*$B$8)),"Outlier","Normal")</f>
        <v>Normal</v>
      </c>
      <c r="D126" s="1">
        <v>813726</v>
      </c>
      <c r="E126" s="1">
        <v>30600</v>
      </c>
      <c r="F126" s="15">
        <v>120283.74</v>
      </c>
      <c r="G126" s="15" t="str">
        <f>IF(OR(Table14[[#This Row],[Sales]]&gt;($B$5+1.5*$B$9),Table14[[#This Row],[Sales]]&lt;($B$7-1.5*$B$9)),"Outlier","Normal")</f>
        <v>Normal</v>
      </c>
      <c r="H126" s="22"/>
      <c r="I126" s="22">
        <f>Table1[[#This Row],[Sales]]/Table1[[#This Row],[USD_Spend]]</f>
        <v>5.8020621398836596</v>
      </c>
    </row>
    <row r="127" spans="1:9" x14ac:dyDescent="0.35">
      <c r="A127" s="3" t="s">
        <v>68</v>
      </c>
      <c r="B127" s="15">
        <v>19736.900000000001</v>
      </c>
      <c r="C127" s="1" t="str">
        <f>IF(OR(Table14[[#This Row],[USD_Spend]]&gt;($B$4+1.5*$B$8),Table14[[#This Row],[USD_Spend]]&lt;($B$6-1.5*$B$8)),"Outlier","Normal")</f>
        <v>Normal</v>
      </c>
      <c r="D127" s="1">
        <v>447090</v>
      </c>
      <c r="E127" s="1">
        <v>42994</v>
      </c>
      <c r="F127" s="15">
        <v>75643.360000000001</v>
      </c>
      <c r="G127" s="15" t="str">
        <f>IF(OR(Table14[[#This Row],[Sales]]&gt;($B$5+1.5*$B$9),Table14[[#This Row],[Sales]]&lt;($B$7-1.5*$B$9)),"Outlier","Normal")</f>
        <v>Normal</v>
      </c>
      <c r="H127" s="22"/>
      <c r="I127" s="22">
        <f>Table1[[#This Row],[Sales]]/Table1[[#This Row],[USD_Spend]]</f>
        <v>0.48561894912837983</v>
      </c>
    </row>
    <row r="128" spans="1:9" x14ac:dyDescent="0.35">
      <c r="A128" s="3" t="s">
        <v>111</v>
      </c>
      <c r="B128" s="15">
        <v>27914.41</v>
      </c>
      <c r="C128" s="1" t="str">
        <f>IF(OR(Table14[[#This Row],[USD_Spend]]&gt;($B$4+1.5*$B$8),Table14[[#This Row],[USD_Spend]]&lt;($B$6-1.5*$B$8)),"Outlier","Normal")</f>
        <v>Normal</v>
      </c>
      <c r="D128" s="1">
        <v>890521</v>
      </c>
      <c r="E128" s="1">
        <v>21086</v>
      </c>
      <c r="F128" s="15">
        <v>229010.97</v>
      </c>
      <c r="G128" s="15" t="str">
        <f>IF(OR(Table14[[#This Row],[Sales]]&gt;($B$5+1.5*$B$9),Table14[[#This Row],[Sales]]&lt;($B$7-1.5*$B$9)),"Outlier","Normal")</f>
        <v>Normal</v>
      </c>
      <c r="H128" s="22"/>
      <c r="I128" s="22">
        <f>Table1[[#This Row],[Sales]]/Table1[[#This Row],[USD_Spend]]</f>
        <v>4.2113436879636792</v>
      </c>
    </row>
    <row r="129" spans="1:9" x14ac:dyDescent="0.35">
      <c r="A129" s="3" t="s">
        <v>75</v>
      </c>
      <c r="B129" s="15">
        <v>1243.69</v>
      </c>
      <c r="C129" s="1" t="str">
        <f>IF(OR(Table14[[#This Row],[USD_Spend]]&gt;($B$4+1.5*$B$8),Table14[[#This Row],[USD_Spend]]&lt;($B$6-1.5*$B$8)),"Outlier","Normal")</f>
        <v>Normal</v>
      </c>
      <c r="D129" s="1">
        <v>644565</v>
      </c>
      <c r="E129" s="1">
        <v>40330</v>
      </c>
      <c r="F129" s="15">
        <v>238940.31</v>
      </c>
      <c r="G129" s="15" t="str">
        <f>IF(OR(Table14[[#This Row],[Sales]]&gt;($B$5+1.5*$B$9),Table14[[#This Row],[Sales]]&lt;($B$7-1.5*$B$9)),"Outlier","Normal")</f>
        <v>Normal</v>
      </c>
      <c r="H129" s="22"/>
      <c r="I129" s="22">
        <f>Table1[[#This Row],[Sales]]/Table1[[#This Row],[USD_Spend]]</f>
        <v>5.9563290896613612</v>
      </c>
    </row>
    <row r="130" spans="1:9" x14ac:dyDescent="0.35">
      <c r="A130" s="3" t="s">
        <v>90</v>
      </c>
      <c r="B130" s="15">
        <v>38828.81</v>
      </c>
      <c r="C130" s="1" t="str">
        <f>IF(OR(Table14[[#This Row],[USD_Spend]]&gt;($B$4+1.5*$B$8),Table14[[#This Row],[USD_Spend]]&lt;($B$6-1.5*$B$8)),"Outlier","Normal")</f>
        <v>Normal</v>
      </c>
      <c r="D130" s="1">
        <v>403774</v>
      </c>
      <c r="E130" s="1">
        <v>14561</v>
      </c>
      <c r="F130" s="15">
        <v>23014.78</v>
      </c>
      <c r="G130" s="15" t="str">
        <f>IF(OR(Table14[[#This Row],[Sales]]&gt;($B$5+1.5*$B$9),Table14[[#This Row],[Sales]]&lt;($B$7-1.5*$B$9)),"Outlier","Normal")</f>
        <v>Normal</v>
      </c>
      <c r="H130" s="22"/>
      <c r="I130" s="22">
        <f>Table1[[#This Row],[Sales]]/Table1[[#This Row],[USD_Spend]]</f>
        <v>137.97307940867597</v>
      </c>
    </row>
    <row r="131" spans="1:9" x14ac:dyDescent="0.35">
      <c r="A131" s="3" t="s">
        <v>81</v>
      </c>
      <c r="B131" s="15">
        <v>2259.66</v>
      </c>
      <c r="C131" s="1" t="str">
        <f>IF(OR(Table14[[#This Row],[USD_Spend]]&gt;($B$4+1.5*$B$8),Table14[[#This Row],[USD_Spend]]&lt;($B$6-1.5*$B$8)),"Outlier","Normal")</f>
        <v>Normal</v>
      </c>
      <c r="D131" s="1">
        <v>297150</v>
      </c>
      <c r="E131" s="1">
        <v>31992</v>
      </c>
      <c r="F131" s="15">
        <v>112534.6</v>
      </c>
      <c r="G131" s="15" t="str">
        <f>IF(OR(Table14[[#This Row],[Sales]]&gt;($B$5+1.5*$B$9),Table14[[#This Row],[Sales]]&lt;($B$7-1.5*$B$9)),"Outlier","Normal")</f>
        <v>Normal</v>
      </c>
      <c r="H131" s="22"/>
      <c r="I131" s="22">
        <f>Table1[[#This Row],[Sales]]/Table1[[#This Row],[USD_Spend]]</f>
        <v>164.66847636490493</v>
      </c>
    </row>
    <row r="132" spans="1:9" x14ac:dyDescent="0.35">
      <c r="A132" s="3" t="s">
        <v>89</v>
      </c>
      <c r="B132" s="15">
        <v>29130.29</v>
      </c>
      <c r="C132" s="1" t="str">
        <f>IF(OR(Table14[[#This Row],[USD_Spend]]&gt;($B$4+1.5*$B$8),Table14[[#This Row],[USD_Spend]]&lt;($B$6-1.5*$B$8)),"Outlier","Normal")</f>
        <v>Normal</v>
      </c>
      <c r="D132" s="1">
        <v>699880</v>
      </c>
      <c r="E132" s="1">
        <v>32206</v>
      </c>
      <c r="F132" s="15">
        <v>133826.23000000001</v>
      </c>
      <c r="G132" s="15" t="str">
        <f>IF(OR(Table14[[#This Row],[Sales]]&gt;($B$5+1.5*$B$9),Table14[[#This Row],[Sales]]&lt;($B$7-1.5*$B$9)),"Outlier","Normal")</f>
        <v>Normal</v>
      </c>
      <c r="H132" s="22"/>
      <c r="I132" s="22">
        <f>Table1[[#This Row],[Sales]]/Table1[[#This Row],[USD_Spend]]</f>
        <v>2.5443667808895025</v>
      </c>
    </row>
    <row r="133" spans="1:9" x14ac:dyDescent="0.35">
      <c r="A133" s="3" t="s">
        <v>27</v>
      </c>
      <c r="B133" s="15">
        <v>16540.009999999998</v>
      </c>
      <c r="C133" s="1" t="str">
        <f>IF(OR(Table14[[#This Row],[USD_Spend]]&gt;($B$4+1.5*$B$8),Table14[[#This Row],[USD_Spend]]&lt;($B$6-1.5*$B$8)),"Outlier","Normal")</f>
        <v>Normal</v>
      </c>
      <c r="D133" s="1">
        <v>524496</v>
      </c>
      <c r="E133" s="1">
        <v>48256</v>
      </c>
      <c r="F133" s="15">
        <v>90941.36</v>
      </c>
      <c r="G133" s="15" t="str">
        <f>IF(OR(Table14[[#This Row],[Sales]]&gt;($B$5+1.5*$B$9),Table14[[#This Row],[Sales]]&lt;($B$7-1.5*$B$9)),"Outlier","Normal")</f>
        <v>Normal</v>
      </c>
      <c r="H133" s="22"/>
      <c r="I133" s="22">
        <f>Table1[[#This Row],[Sales]]/Table1[[#This Row],[USD_Spend]]</f>
        <v>7.8521428023425317</v>
      </c>
    </row>
    <row r="134" spans="1:9" x14ac:dyDescent="0.35">
      <c r="A134" s="3" t="s">
        <v>18</v>
      </c>
      <c r="B134" s="15">
        <v>24494.21</v>
      </c>
      <c r="C134" s="1" t="str">
        <f>IF(OR(Table14[[#This Row],[USD_Spend]]&gt;($B$4+1.5*$B$8),Table14[[#This Row],[USD_Spend]]&lt;($B$6-1.5*$B$8)),"Outlier","Normal")</f>
        <v>Normal</v>
      </c>
      <c r="D134" s="1">
        <v>849756</v>
      </c>
      <c r="E134" s="1">
        <v>36182</v>
      </c>
      <c r="F134" s="15">
        <v>155436.21</v>
      </c>
      <c r="G134" s="15" t="str">
        <f>IF(OR(Table14[[#This Row],[Sales]]&gt;($B$5+1.5*$B$9),Table14[[#This Row],[Sales]]&lt;($B$7-1.5*$B$9)),"Outlier","Normal")</f>
        <v>Normal</v>
      </c>
      <c r="H134" s="22"/>
      <c r="I134" s="22">
        <f>Table1[[#This Row],[Sales]]/Table1[[#This Row],[USD_Spend]]</f>
        <v>1.7600179262331712</v>
      </c>
    </row>
    <row r="135" spans="1:9" x14ac:dyDescent="0.35">
      <c r="A135" s="3" t="s">
        <v>70</v>
      </c>
      <c r="B135" s="15">
        <v>1908.28</v>
      </c>
      <c r="C135" s="1" t="str">
        <f>IF(OR(Table14[[#This Row],[USD_Spend]]&gt;($B$4+1.5*$B$8),Table14[[#This Row],[USD_Spend]]&lt;($B$6-1.5*$B$8)),"Outlier","Normal")</f>
        <v>Normal</v>
      </c>
      <c r="D135" s="1">
        <v>747449</v>
      </c>
      <c r="E135" s="1">
        <v>3290</v>
      </c>
      <c r="F135" s="15">
        <v>64959.87</v>
      </c>
      <c r="G135" s="15" t="str">
        <f>IF(OR(Table14[[#This Row],[Sales]]&gt;($B$5+1.5*$B$9),Table14[[#This Row],[Sales]]&lt;($B$7-1.5*$B$9)),"Outlier","Normal")</f>
        <v>Normal</v>
      </c>
      <c r="H135" s="22"/>
      <c r="I135" s="22">
        <f>Table1[[#This Row],[Sales]]/Table1[[#This Row],[USD_Spend]]</f>
        <v>2.1574480925074111</v>
      </c>
    </row>
    <row r="136" spans="1:9" x14ac:dyDescent="0.35">
      <c r="A136" s="3" t="s">
        <v>100</v>
      </c>
      <c r="B136" s="15">
        <v>1813.65</v>
      </c>
      <c r="C136" s="1" t="str">
        <f>IF(OR(Table14[[#This Row],[USD_Spend]]&gt;($B$4+1.5*$B$8),Table14[[#This Row],[USD_Spend]]&lt;($B$6-1.5*$B$8)),"Outlier","Normal")</f>
        <v>Normal</v>
      </c>
      <c r="D136" s="1">
        <v>576795</v>
      </c>
      <c r="E136" s="1">
        <v>21787</v>
      </c>
      <c r="F136" s="15">
        <v>10522.91</v>
      </c>
      <c r="G136" s="15" t="str">
        <f>IF(OR(Table14[[#This Row],[Sales]]&gt;($B$5+1.5*$B$9),Table14[[#This Row],[Sales]]&lt;($B$7-1.5*$B$9)),"Outlier","Normal")</f>
        <v>Normal</v>
      </c>
      <c r="H136" s="22"/>
      <c r="I136" s="22">
        <f>Table1[[#This Row],[Sales]]/Table1[[#This Row],[USD_Spend]]</f>
        <v>4.9948851142954114</v>
      </c>
    </row>
    <row r="137" spans="1:9" x14ac:dyDescent="0.35">
      <c r="A137" s="3" t="s">
        <v>68</v>
      </c>
      <c r="B137" s="15">
        <v>22404.83</v>
      </c>
      <c r="C137" s="1" t="str">
        <f>IF(OR(Table14[[#This Row],[USD_Spend]]&gt;($B$4+1.5*$B$8),Table14[[#This Row],[USD_Spend]]&lt;($B$6-1.5*$B$8)),"Outlier","Normal")</f>
        <v>Normal</v>
      </c>
      <c r="D137" s="1">
        <v>11269</v>
      </c>
      <c r="E137" s="1">
        <v>14800</v>
      </c>
      <c r="F137" s="15">
        <v>10880.21</v>
      </c>
      <c r="G137" s="15" t="str">
        <f>IF(OR(Table14[[#This Row],[Sales]]&gt;($B$5+1.5*$B$9),Table14[[#This Row],[Sales]]&lt;($B$7-1.5*$B$9)),"Outlier","Normal")</f>
        <v>Normal</v>
      </c>
      <c r="H137" s="22"/>
      <c r="I137" s="22">
        <f>Table1[[#This Row],[Sales]]/Table1[[#This Row],[USD_Spend]]</f>
        <v>1.3423853866097877</v>
      </c>
    </row>
    <row r="138" spans="1:9" x14ac:dyDescent="0.35">
      <c r="A138" s="3" t="s">
        <v>107</v>
      </c>
      <c r="B138" s="15">
        <v>26677.919999999998</v>
      </c>
      <c r="C138" s="1" t="str">
        <f>IF(OR(Table14[[#This Row],[USD_Spend]]&gt;($B$4+1.5*$B$8),Table14[[#This Row],[USD_Spend]]&lt;($B$6-1.5*$B$8)),"Outlier","Normal")</f>
        <v>Normal</v>
      </c>
      <c r="D138" s="1">
        <v>606580</v>
      </c>
      <c r="E138" s="1">
        <v>44559</v>
      </c>
      <c r="F138" s="15">
        <v>112349.89</v>
      </c>
      <c r="G138" s="15" t="str">
        <f>IF(OR(Table14[[#This Row],[Sales]]&gt;($B$5+1.5*$B$9),Table14[[#This Row],[Sales]]&lt;($B$7-1.5*$B$9)),"Outlier","Normal")</f>
        <v>Normal</v>
      </c>
      <c r="H138" s="22"/>
      <c r="I138" s="22">
        <f>Table1[[#This Row],[Sales]]/Table1[[#This Row],[USD_Spend]]</f>
        <v>19.367089834982313</v>
      </c>
    </row>
    <row r="139" spans="1:9" x14ac:dyDescent="0.35">
      <c r="A139" s="3" t="s">
        <v>81</v>
      </c>
      <c r="B139" s="15">
        <v>37041.82</v>
      </c>
      <c r="C139" s="1" t="str">
        <f>IF(OR(Table14[[#This Row],[USD_Spend]]&gt;($B$4+1.5*$B$8),Table14[[#This Row],[USD_Spend]]&lt;($B$6-1.5*$B$8)),"Outlier","Normal")</f>
        <v>Normal</v>
      </c>
      <c r="D139" s="1">
        <v>919613</v>
      </c>
      <c r="E139" s="1">
        <v>35203</v>
      </c>
      <c r="F139" s="15">
        <v>220633.27</v>
      </c>
      <c r="G139" s="15" t="str">
        <f>IF(OR(Table14[[#This Row],[Sales]]&gt;($B$5+1.5*$B$9),Table14[[#This Row],[Sales]]&lt;($B$7-1.5*$B$9)),"Outlier","Normal")</f>
        <v>Normal</v>
      </c>
      <c r="H139" s="22"/>
      <c r="I139" s="22">
        <f>Table1[[#This Row],[Sales]]/Table1[[#This Row],[USD_Spend]]</f>
        <v>52.071644894885914</v>
      </c>
    </row>
    <row r="140" spans="1:9" x14ac:dyDescent="0.35">
      <c r="A140" s="3" t="s">
        <v>97</v>
      </c>
      <c r="B140" s="15">
        <v>1485.48</v>
      </c>
      <c r="C140" s="1" t="str">
        <f>IF(OR(Table14[[#This Row],[USD_Spend]]&gt;($B$4+1.5*$B$8),Table14[[#This Row],[USD_Spend]]&lt;($B$6-1.5*$B$8)),"Outlier","Normal")</f>
        <v>Normal</v>
      </c>
      <c r="D140" s="1">
        <v>341272</v>
      </c>
      <c r="E140" s="1">
        <v>9583</v>
      </c>
      <c r="F140" s="15">
        <v>204956.25</v>
      </c>
      <c r="G140" s="15" t="str">
        <f>IF(OR(Table14[[#This Row],[Sales]]&gt;($B$5+1.5*$B$9),Table14[[#This Row],[Sales]]&lt;($B$7-1.5*$B$9)),"Outlier","Normal")</f>
        <v>Normal</v>
      </c>
      <c r="H140" s="22"/>
      <c r="I140" s="22">
        <f>Table1[[#This Row],[Sales]]/Table1[[#This Row],[USD_Spend]]</f>
        <v>2.1521605359402631</v>
      </c>
    </row>
    <row r="141" spans="1:9" x14ac:dyDescent="0.35">
      <c r="A141" s="3" t="s">
        <v>106</v>
      </c>
      <c r="B141" s="15">
        <v>1375.92</v>
      </c>
      <c r="C141" s="1" t="str">
        <f>IF(OR(Table14[[#This Row],[USD_Spend]]&gt;($B$4+1.5*$B$8),Table14[[#This Row],[USD_Spend]]&lt;($B$6-1.5*$B$8)),"Outlier","Normal")</f>
        <v>Normal</v>
      </c>
      <c r="D141" s="1">
        <v>631686</v>
      </c>
      <c r="E141" s="1">
        <v>12788</v>
      </c>
      <c r="F141" s="15">
        <v>226570.65</v>
      </c>
      <c r="G141" s="15" t="str">
        <f>IF(OR(Table14[[#This Row],[Sales]]&gt;($B$5+1.5*$B$9),Table14[[#This Row],[Sales]]&lt;($B$7-1.5*$B$9)),"Outlier","Normal")</f>
        <v>Normal</v>
      </c>
      <c r="H141" s="22"/>
      <c r="I141" s="22">
        <f>Table1[[#This Row],[Sales]]/Table1[[#This Row],[USD_Spend]]</f>
        <v>14.95174801725133</v>
      </c>
    </row>
    <row r="142" spans="1:9" x14ac:dyDescent="0.35">
      <c r="A142" s="3" t="s">
        <v>116</v>
      </c>
      <c r="B142" s="15">
        <v>27869.5</v>
      </c>
      <c r="C142" s="1" t="str">
        <f>IF(OR(Table14[[#This Row],[USD_Spend]]&gt;($B$4+1.5*$B$8),Table14[[#This Row],[USD_Spend]]&lt;($B$6-1.5*$B$8)),"Outlier","Normal")</f>
        <v>Normal</v>
      </c>
      <c r="D142" s="1">
        <v>863779</v>
      </c>
      <c r="E142" s="1">
        <v>9452</v>
      </c>
      <c r="F142" s="15">
        <v>70910.23</v>
      </c>
      <c r="G142" s="15" t="str">
        <f>IF(OR(Table14[[#This Row],[Sales]]&gt;($B$5+1.5*$B$9),Table14[[#This Row],[Sales]]&lt;($B$7-1.5*$B$9)),"Outlier","Normal")</f>
        <v>Normal</v>
      </c>
      <c r="H142" s="22"/>
      <c r="I142" s="22">
        <f>Table1[[#This Row],[Sales]]/Table1[[#This Row],[USD_Spend]]</f>
        <v>1.5130264471135946</v>
      </c>
    </row>
    <row r="143" spans="1:9" x14ac:dyDescent="0.35">
      <c r="A143" s="3" t="s">
        <v>77</v>
      </c>
      <c r="B143" s="15">
        <v>19551.5</v>
      </c>
      <c r="C143" s="1" t="str">
        <f>IF(OR(Table14[[#This Row],[USD_Spend]]&gt;($B$4+1.5*$B$8),Table14[[#This Row],[USD_Spend]]&lt;($B$6-1.5*$B$8)),"Outlier","Normal")</f>
        <v>Normal</v>
      </c>
      <c r="D143" s="1">
        <v>338914</v>
      </c>
      <c r="E143" s="1">
        <v>28699</v>
      </c>
      <c r="F143" s="15">
        <v>153521.17000000001</v>
      </c>
      <c r="G143" s="15" t="str">
        <f>IF(OR(Table14[[#This Row],[Sales]]&gt;($B$5+1.5*$B$9),Table14[[#This Row],[Sales]]&lt;($B$7-1.5*$B$9)),"Outlier","Normal")</f>
        <v>Normal</v>
      </c>
      <c r="H143" s="22"/>
      <c r="I143" s="22">
        <f>Table1[[#This Row],[Sales]]/Table1[[#This Row],[USD_Spend]]</f>
        <v>164.68728208059446</v>
      </c>
    </row>
    <row r="144" spans="1:9" x14ac:dyDescent="0.35">
      <c r="A144" s="3" t="s">
        <v>94</v>
      </c>
      <c r="B144" s="15">
        <v>15820.39</v>
      </c>
      <c r="C144" s="1" t="str">
        <f>IF(OR(Table14[[#This Row],[USD_Spend]]&gt;($B$4+1.5*$B$8),Table14[[#This Row],[USD_Spend]]&lt;($B$6-1.5*$B$8)),"Outlier","Normal")</f>
        <v>Normal</v>
      </c>
      <c r="D144" s="1">
        <v>948206</v>
      </c>
      <c r="E144" s="1">
        <v>20065</v>
      </c>
      <c r="F144" s="15">
        <v>27844.17</v>
      </c>
      <c r="G144" s="15" t="str">
        <f>IF(OR(Table14[[#This Row],[Sales]]&gt;($B$5+1.5*$B$9),Table14[[#This Row],[Sales]]&lt;($B$7-1.5*$B$9)),"Outlier","Normal")</f>
        <v>Normal</v>
      </c>
      <c r="H144" s="22"/>
      <c r="I144" s="22">
        <f>Table1[[#This Row],[Sales]]/Table1[[#This Row],[USD_Spend]]</f>
        <v>4.7702899543778914</v>
      </c>
    </row>
    <row r="145" spans="1:9" x14ac:dyDescent="0.35">
      <c r="A145" s="3" t="s">
        <v>119</v>
      </c>
      <c r="B145" s="15">
        <v>14383.28</v>
      </c>
      <c r="C145" s="1" t="str">
        <f>IF(OR(Table14[[#This Row],[USD_Spend]]&gt;($B$4+1.5*$B$8),Table14[[#This Row],[USD_Spend]]&lt;($B$6-1.5*$B$8)),"Outlier","Normal")</f>
        <v>Normal</v>
      </c>
      <c r="D145" s="1">
        <v>653790</v>
      </c>
      <c r="E145" s="1">
        <v>42261</v>
      </c>
      <c r="F145" s="15">
        <v>31031.18</v>
      </c>
      <c r="G145" s="15" t="str">
        <f>IF(OR(Table14[[#This Row],[Sales]]&gt;($B$5+1.5*$B$9),Table14[[#This Row],[Sales]]&lt;($B$7-1.5*$B$9)),"Outlier","Normal")</f>
        <v>Normal</v>
      </c>
      <c r="H145" s="22"/>
      <c r="I145" s="22">
        <f>Table1[[#This Row],[Sales]]/Table1[[#This Row],[USD_Spend]]</f>
        <v>2.9973598091137683</v>
      </c>
    </row>
    <row r="146" spans="1:9" x14ac:dyDescent="0.35">
      <c r="A146" s="3" t="s">
        <v>79</v>
      </c>
      <c r="B146" s="15">
        <v>6776.3</v>
      </c>
      <c r="C146" s="1" t="str">
        <f>IF(OR(Table14[[#This Row],[USD_Spend]]&gt;($B$4+1.5*$B$8),Table14[[#This Row],[USD_Spend]]&lt;($B$6-1.5*$B$8)),"Outlier","Normal")</f>
        <v>Normal</v>
      </c>
      <c r="D146" s="1">
        <v>558171</v>
      </c>
      <c r="E146" s="1">
        <v>10146</v>
      </c>
      <c r="F146" s="15">
        <v>33846.839999999997</v>
      </c>
      <c r="G146" s="15" t="str">
        <f>IF(OR(Table14[[#This Row],[Sales]]&gt;($B$5+1.5*$B$9),Table14[[#This Row],[Sales]]&lt;($B$7-1.5*$B$9)),"Outlier","Normal")</f>
        <v>Normal</v>
      </c>
      <c r="H146" s="22"/>
      <c r="I146" s="22">
        <f>Table1[[#This Row],[Sales]]/Table1[[#This Row],[USD_Spend]]</f>
        <v>13.604024674366936</v>
      </c>
    </row>
    <row r="147" spans="1:9" x14ac:dyDescent="0.35">
      <c r="A147" s="3" t="s">
        <v>115</v>
      </c>
      <c r="B147" s="15">
        <v>17421.830000000002</v>
      </c>
      <c r="C147" s="1" t="str">
        <f>IF(OR(Table14[[#This Row],[USD_Spend]]&gt;($B$4+1.5*$B$8),Table14[[#This Row],[USD_Spend]]&lt;($B$6-1.5*$B$8)),"Outlier","Normal")</f>
        <v>Normal</v>
      </c>
      <c r="D147" s="1">
        <v>104458</v>
      </c>
      <c r="E147" s="1">
        <v>33635</v>
      </c>
      <c r="F147" s="15">
        <v>23386.81</v>
      </c>
      <c r="G147" s="15" t="str">
        <f>IF(OR(Table14[[#This Row],[Sales]]&gt;($B$5+1.5*$B$9),Table14[[#This Row],[Sales]]&lt;($B$7-1.5*$B$9)),"Outlier","Normal")</f>
        <v>Normal</v>
      </c>
      <c r="H147" s="22"/>
      <c r="I147" s="22">
        <f>Table1[[#This Row],[Sales]]/Table1[[#This Row],[USD_Spend]]</f>
        <v>7.7480461327851362</v>
      </c>
    </row>
    <row r="148" spans="1:9" x14ac:dyDescent="0.35">
      <c r="A148" s="3" t="s">
        <v>71</v>
      </c>
      <c r="B148" s="15">
        <v>5569.1</v>
      </c>
      <c r="C148" s="1" t="str">
        <f>IF(OR(Table14[[#This Row],[USD_Spend]]&gt;($B$4+1.5*$B$8),Table14[[#This Row],[USD_Spend]]&lt;($B$6-1.5*$B$8)),"Outlier","Normal")</f>
        <v>Normal</v>
      </c>
      <c r="D148" s="1">
        <v>60068</v>
      </c>
      <c r="E148" s="1">
        <v>15726</v>
      </c>
      <c r="F148" s="15">
        <v>107857.26</v>
      </c>
      <c r="G148" s="15" t="str">
        <f>IF(OR(Table14[[#This Row],[Sales]]&gt;($B$5+1.5*$B$9),Table14[[#This Row],[Sales]]&lt;($B$7-1.5*$B$9)),"Outlier","Normal")</f>
        <v>Normal</v>
      </c>
      <c r="H148" s="22"/>
      <c r="I148" s="22">
        <f>Table1[[#This Row],[Sales]]/Table1[[#This Row],[USD_Spend]]</f>
        <v>16.719966158221123</v>
      </c>
    </row>
    <row r="149" spans="1:9" x14ac:dyDescent="0.35">
      <c r="A149" s="3" t="s">
        <v>100</v>
      </c>
      <c r="B149" s="15">
        <v>4183.55</v>
      </c>
      <c r="C149" s="1" t="str">
        <f>IF(OR(Table14[[#This Row],[USD_Spend]]&gt;($B$4+1.5*$B$8),Table14[[#This Row],[USD_Spend]]&lt;($B$6-1.5*$B$8)),"Outlier","Normal")</f>
        <v>Normal</v>
      </c>
      <c r="D149" s="1">
        <v>981746</v>
      </c>
      <c r="E149" s="1">
        <v>9778</v>
      </c>
      <c r="F149" s="15">
        <v>217844.33</v>
      </c>
      <c r="G149" s="15" t="str">
        <f>IF(OR(Table14[[#This Row],[Sales]]&gt;($B$5+1.5*$B$9),Table14[[#This Row],[Sales]]&lt;($B$7-1.5*$B$9)),"Outlier","Normal")</f>
        <v>Normal</v>
      </c>
      <c r="H149" s="22"/>
      <c r="I149" s="22">
        <f>Table1[[#This Row],[Sales]]/Table1[[#This Row],[USD_Spend]]</f>
        <v>37.937588313769446</v>
      </c>
    </row>
    <row r="150" spans="1:9" x14ac:dyDescent="0.35">
      <c r="A150" s="3" t="s">
        <v>96</v>
      </c>
      <c r="B150" s="15">
        <v>7475.46</v>
      </c>
      <c r="C150" s="1" t="str">
        <f>IF(OR(Table14[[#This Row],[USD_Spend]]&gt;($B$4+1.5*$B$8),Table14[[#This Row],[USD_Spend]]&lt;($B$6-1.5*$B$8)),"Outlier","Normal")</f>
        <v>Normal</v>
      </c>
      <c r="D150" s="1">
        <v>201059</v>
      </c>
      <c r="E150" s="1">
        <v>25852</v>
      </c>
      <c r="F150" s="15">
        <v>16088.39</v>
      </c>
      <c r="G150" s="15" t="str">
        <f>IF(OR(Table14[[#This Row],[Sales]]&gt;($B$5+1.5*$B$9),Table14[[#This Row],[Sales]]&lt;($B$7-1.5*$B$9)),"Outlier","Normal")</f>
        <v>Normal</v>
      </c>
      <c r="H150" s="22"/>
      <c r="I150" s="22">
        <f>Table1[[#This Row],[Sales]]/Table1[[#This Row],[USD_Spend]]</f>
        <v>18.843115283320184</v>
      </c>
    </row>
    <row r="151" spans="1:9" x14ac:dyDescent="0.35">
      <c r="A151" s="3" t="s">
        <v>86</v>
      </c>
      <c r="B151" s="15">
        <v>12912.63</v>
      </c>
      <c r="C151" s="1" t="str">
        <f>IF(OR(Table14[[#This Row],[USD_Spend]]&gt;($B$4+1.5*$B$8),Table14[[#This Row],[USD_Spend]]&lt;($B$6-1.5*$B$8)),"Outlier","Normal")</f>
        <v>Normal</v>
      </c>
      <c r="D151" s="1">
        <v>198667</v>
      </c>
      <c r="E151" s="1">
        <v>44776</v>
      </c>
      <c r="F151" s="15">
        <v>193066.39</v>
      </c>
      <c r="G151" s="15" t="str">
        <f>IF(OR(Table14[[#This Row],[Sales]]&gt;($B$5+1.5*$B$9),Table14[[#This Row],[Sales]]&lt;($B$7-1.5*$B$9)),"Outlier","Normal")</f>
        <v>Normal</v>
      </c>
      <c r="H151" s="22"/>
      <c r="I151" s="22">
        <f>Table1[[#This Row],[Sales]]/Table1[[#This Row],[USD_Spend]]</f>
        <v>11.678231199226348</v>
      </c>
    </row>
    <row r="152" spans="1:9" x14ac:dyDescent="0.35">
      <c r="A152" s="3" t="s">
        <v>95</v>
      </c>
      <c r="B152" s="15">
        <v>22373.33</v>
      </c>
      <c r="C152" s="1" t="str">
        <f>IF(OR(Table14[[#This Row],[USD_Spend]]&gt;($B$4+1.5*$B$8),Table14[[#This Row],[USD_Spend]]&lt;($B$6-1.5*$B$8)),"Outlier","Normal")</f>
        <v>Normal</v>
      </c>
      <c r="D152" s="1">
        <v>415785</v>
      </c>
      <c r="E152" s="1">
        <v>36909</v>
      </c>
      <c r="F152" s="15">
        <v>33851.440000000002</v>
      </c>
      <c r="G152" s="15" t="str">
        <f>IF(OR(Table14[[#This Row],[Sales]]&gt;($B$5+1.5*$B$9),Table14[[#This Row],[Sales]]&lt;($B$7-1.5*$B$9)),"Outlier","Normal")</f>
        <v>Normal</v>
      </c>
      <c r="H152" s="22"/>
      <c r="I152" s="22">
        <f>Table1[[#This Row],[Sales]]/Table1[[#This Row],[USD_Spend]]</f>
        <v>50.980800847323657</v>
      </c>
    </row>
    <row r="153" spans="1:9" x14ac:dyDescent="0.35">
      <c r="A153" s="3" t="s">
        <v>81</v>
      </c>
      <c r="B153" s="15">
        <v>174.95</v>
      </c>
      <c r="C153" s="1" t="str">
        <f>IF(OR(Table14[[#This Row],[USD_Spend]]&gt;($B$4+1.5*$B$8),Table14[[#This Row],[USD_Spend]]&lt;($B$6-1.5*$B$8)),"Outlier","Normal")</f>
        <v>Normal</v>
      </c>
      <c r="D153" s="1">
        <v>526554</v>
      </c>
      <c r="E153" s="1">
        <v>7710</v>
      </c>
      <c r="F153" s="15">
        <v>28812.04</v>
      </c>
      <c r="G153" s="15" t="str">
        <f>IF(OR(Table14[[#This Row],[Sales]]&gt;($B$5+1.5*$B$9),Table14[[#This Row],[Sales]]&lt;($B$7-1.5*$B$9)),"Outlier","Normal")</f>
        <v>Normal</v>
      </c>
      <c r="H153" s="22"/>
      <c r="I153" s="22">
        <f>Table1[[#This Row],[Sales]]/Table1[[#This Row],[USD_Spend]]</f>
        <v>15.768562355741384</v>
      </c>
    </row>
    <row r="154" spans="1:9" x14ac:dyDescent="0.35">
      <c r="A154" s="3" t="s">
        <v>64</v>
      </c>
      <c r="B154" s="15">
        <v>29115.27</v>
      </c>
      <c r="C154" s="1" t="str">
        <f>IF(OR(Table14[[#This Row],[USD_Spend]]&gt;($B$4+1.5*$B$8),Table14[[#This Row],[USD_Spend]]&lt;($B$6-1.5*$B$8)),"Outlier","Normal")</f>
        <v>Normal</v>
      </c>
      <c r="D154" s="1">
        <v>653830</v>
      </c>
      <c r="E154" s="1">
        <v>39421</v>
      </c>
      <c r="F154" s="15">
        <v>138888.28</v>
      </c>
      <c r="G154" s="15" t="str">
        <f>IF(OR(Table14[[#This Row],[Sales]]&gt;($B$5+1.5*$B$9),Table14[[#This Row],[Sales]]&lt;($B$7-1.5*$B$9)),"Outlier","Normal")</f>
        <v>Normal</v>
      </c>
      <c r="H154" s="22"/>
      <c r="I154" s="22">
        <f>Table1[[#This Row],[Sales]]/Table1[[#This Row],[USD_Spend]]</f>
        <v>2.4439546494553999</v>
      </c>
    </row>
    <row r="155" spans="1:9" x14ac:dyDescent="0.35">
      <c r="A155" s="3" t="s">
        <v>110</v>
      </c>
      <c r="B155" s="15">
        <v>51079.64</v>
      </c>
      <c r="C155" s="1" t="str">
        <f>IF(OR(Table14[[#This Row],[USD_Spend]]&gt;($B$4+1.5*$B$8),Table14[[#This Row],[USD_Spend]]&lt;($B$6-1.5*$B$8)),"Outlier","Normal")</f>
        <v>Normal</v>
      </c>
      <c r="D155" s="1">
        <v>949090</v>
      </c>
      <c r="E155" s="1">
        <v>2940</v>
      </c>
      <c r="F155" s="15">
        <v>153104.06</v>
      </c>
      <c r="G155" s="15" t="str">
        <f>IF(OR(Table14[[#This Row],[Sales]]&gt;($B$5+1.5*$B$9),Table14[[#This Row],[Sales]]&lt;($B$7-1.5*$B$9)),"Outlier","Normal")</f>
        <v>Normal</v>
      </c>
      <c r="H155" s="22"/>
      <c r="I155" s="22">
        <f>Table1[[#This Row],[Sales]]/Table1[[#This Row],[USD_Spend]]</f>
        <v>8.6005746974328368</v>
      </c>
    </row>
    <row r="156" spans="1:9" x14ac:dyDescent="0.35">
      <c r="A156" s="3" t="s">
        <v>64</v>
      </c>
      <c r="B156" s="15">
        <v>17031.439999999999</v>
      </c>
      <c r="C156" s="1" t="str">
        <f>IF(OR(Table14[[#This Row],[USD_Spend]]&gt;($B$4+1.5*$B$8),Table14[[#This Row],[USD_Spend]]&lt;($B$6-1.5*$B$8)),"Outlier","Normal")</f>
        <v>Normal</v>
      </c>
      <c r="D156" s="1">
        <v>116663</v>
      </c>
      <c r="E156" s="1">
        <v>48690</v>
      </c>
      <c r="F156" s="15">
        <v>231696.13</v>
      </c>
      <c r="G156" s="15" t="str">
        <f>IF(OR(Table14[[#This Row],[Sales]]&gt;($B$5+1.5*$B$9),Table14[[#This Row],[Sales]]&lt;($B$7-1.5*$B$9)),"Outlier","Normal")</f>
        <v>Normal</v>
      </c>
      <c r="H156" s="22"/>
      <c r="I156" s="22">
        <f>Table1[[#This Row],[Sales]]/Table1[[#This Row],[USD_Spend]]</f>
        <v>18.461527519396167</v>
      </c>
    </row>
    <row r="157" spans="1:9" x14ac:dyDescent="0.35">
      <c r="A157" s="3" t="s">
        <v>106</v>
      </c>
      <c r="B157" s="15">
        <v>26209.56</v>
      </c>
      <c r="C157" s="1" t="str">
        <f>IF(OR(Table14[[#This Row],[USD_Spend]]&gt;($B$4+1.5*$B$8),Table14[[#This Row],[USD_Spend]]&lt;($B$6-1.5*$B$8)),"Outlier","Normal")</f>
        <v>Normal</v>
      </c>
      <c r="D157" s="1">
        <v>185284</v>
      </c>
      <c r="E157" s="1">
        <v>13986</v>
      </c>
      <c r="F157" s="15">
        <v>203072.88</v>
      </c>
      <c r="G157" s="15" t="str">
        <f>IF(OR(Table14[[#This Row],[Sales]]&gt;($B$5+1.5*$B$9),Table14[[#This Row],[Sales]]&lt;($B$7-1.5*$B$9)),"Outlier","Normal")</f>
        <v>Normal</v>
      </c>
      <c r="H157" s="22"/>
      <c r="I157" s="22">
        <f>Table1[[#This Row],[Sales]]/Table1[[#This Row],[USD_Spend]]</f>
        <v>5.246132858449875</v>
      </c>
    </row>
    <row r="158" spans="1:9" x14ac:dyDescent="0.35">
      <c r="A158" s="3" t="s">
        <v>105</v>
      </c>
      <c r="B158" s="15">
        <v>10176.77</v>
      </c>
      <c r="C158" s="1" t="str">
        <f>IF(OR(Table14[[#This Row],[USD_Spend]]&gt;($B$4+1.5*$B$8),Table14[[#This Row],[USD_Spend]]&lt;($B$6-1.5*$B$8)),"Outlier","Normal")</f>
        <v>Normal</v>
      </c>
      <c r="D158" s="1">
        <v>18827</v>
      </c>
      <c r="E158" s="1">
        <v>874</v>
      </c>
      <c r="F158" s="15">
        <v>170155.25</v>
      </c>
      <c r="G158" s="15" t="str">
        <f>IF(OR(Table14[[#This Row],[Sales]]&gt;($B$5+1.5*$B$9),Table14[[#This Row],[Sales]]&lt;($B$7-1.5*$B$9)),"Outlier","Normal")</f>
        <v>Normal</v>
      </c>
      <c r="H158" s="22"/>
      <c r="I158" s="22">
        <f>Table1[[#This Row],[Sales]]/Table1[[#This Row],[USD_Spend]]</f>
        <v>51.472149281505217</v>
      </c>
    </row>
    <row r="159" spans="1:9" x14ac:dyDescent="0.35">
      <c r="A159" s="3" t="s">
        <v>90</v>
      </c>
      <c r="B159" s="15">
        <v>5067.16</v>
      </c>
      <c r="C159" s="1" t="str">
        <f>IF(OR(Table14[[#This Row],[USD_Spend]]&gt;($B$4+1.5*$B$8),Table14[[#This Row],[USD_Spend]]&lt;($B$6-1.5*$B$8)),"Outlier","Normal")</f>
        <v>Normal</v>
      </c>
      <c r="D159" s="1">
        <v>887057</v>
      </c>
      <c r="E159" s="1">
        <v>14074</v>
      </c>
      <c r="F159" s="15">
        <v>192235.83</v>
      </c>
      <c r="G159" s="15" t="str">
        <f>IF(OR(Table14[[#This Row],[Sales]]&gt;($B$5+1.5*$B$9),Table14[[#This Row],[Sales]]&lt;($B$7-1.5*$B$9)),"Outlier","Normal")</f>
        <v>Normal</v>
      </c>
      <c r="H159" s="22"/>
      <c r="I159" s="22">
        <f>Table1[[#This Row],[Sales]]/Table1[[#This Row],[USD_Spend]]</f>
        <v>5.8840106137001449</v>
      </c>
    </row>
    <row r="160" spans="1:9" x14ac:dyDescent="0.35">
      <c r="A160" s="3" t="s">
        <v>67</v>
      </c>
      <c r="B160" s="15">
        <v>10494.84</v>
      </c>
      <c r="C160" s="1" t="str">
        <f>IF(OR(Table14[[#This Row],[USD_Spend]]&gt;($B$4+1.5*$B$8),Table14[[#This Row],[USD_Spend]]&lt;($B$6-1.5*$B$8)),"Outlier","Normal")</f>
        <v>Normal</v>
      </c>
      <c r="D160" s="1">
        <v>29895</v>
      </c>
      <c r="E160" s="1">
        <v>18119</v>
      </c>
      <c r="F160" s="15">
        <v>197755.48</v>
      </c>
      <c r="G160" s="15" t="str">
        <f>IF(OR(Table14[[#This Row],[Sales]]&gt;($B$5+1.5*$B$9),Table14[[#This Row],[Sales]]&lt;($B$7-1.5*$B$9)),"Outlier","Normal")</f>
        <v>Normal</v>
      </c>
      <c r="H160" s="22"/>
      <c r="I160" s="22">
        <f>Table1[[#This Row],[Sales]]/Table1[[#This Row],[USD_Spend]]</f>
        <v>50.890921577230493</v>
      </c>
    </row>
    <row r="161" spans="1:9" x14ac:dyDescent="0.35">
      <c r="A161" s="3" t="s">
        <v>82</v>
      </c>
      <c r="B161" s="15">
        <v>14073.49</v>
      </c>
      <c r="C161" s="1" t="str">
        <f>IF(OR(Table14[[#This Row],[USD_Spend]]&gt;($B$4+1.5*$B$8),Table14[[#This Row],[USD_Spend]]&lt;($B$6-1.5*$B$8)),"Outlier","Normal")</f>
        <v>Normal</v>
      </c>
      <c r="D161" s="1">
        <v>45739</v>
      </c>
      <c r="E161" s="1">
        <v>42377</v>
      </c>
      <c r="F161" s="15">
        <v>164353.47</v>
      </c>
      <c r="G161" s="15" t="str">
        <f>IF(OR(Table14[[#This Row],[Sales]]&gt;($B$5+1.5*$B$9),Table14[[#This Row],[Sales]]&lt;($B$7-1.5*$B$9)),"Outlier","Normal")</f>
        <v>Normal</v>
      </c>
      <c r="H161" s="22"/>
      <c r="I161" s="22">
        <f>Table1[[#This Row],[Sales]]/Table1[[#This Row],[USD_Spend]]</f>
        <v>16.725188512428609</v>
      </c>
    </row>
    <row r="162" spans="1:9" x14ac:dyDescent="0.35">
      <c r="A162" s="3" t="s">
        <v>95</v>
      </c>
      <c r="B162" s="15">
        <v>3795.48</v>
      </c>
      <c r="C162" s="1" t="str">
        <f>IF(OR(Table14[[#This Row],[USD_Spend]]&gt;($B$4+1.5*$B$8),Table14[[#This Row],[USD_Spend]]&lt;($B$6-1.5*$B$8)),"Outlier","Normal")</f>
        <v>Normal</v>
      </c>
      <c r="D162" s="1">
        <v>366855</v>
      </c>
      <c r="E162" s="1">
        <v>23381</v>
      </c>
      <c r="F162" s="15">
        <v>193496.61</v>
      </c>
      <c r="G162" s="15" t="str">
        <f>IF(OR(Table14[[#This Row],[Sales]]&gt;($B$5+1.5*$B$9),Table14[[#This Row],[Sales]]&lt;($B$7-1.5*$B$9)),"Outlier","Normal")</f>
        <v>Normal</v>
      </c>
      <c r="H162" s="22"/>
      <c r="I162" s="22">
        <f>Table1[[#This Row],[Sales]]/Table1[[#This Row],[USD_Spend]]</f>
        <v>8.3749711721108699</v>
      </c>
    </row>
    <row r="163" spans="1:9" x14ac:dyDescent="0.35">
      <c r="A163" s="3" t="s">
        <v>107</v>
      </c>
      <c r="B163" s="15">
        <v>6940.66</v>
      </c>
      <c r="C163" s="1" t="str">
        <f>IF(OR(Table14[[#This Row],[USD_Spend]]&gt;($B$4+1.5*$B$8),Table14[[#This Row],[USD_Spend]]&lt;($B$6-1.5*$B$8)),"Outlier","Normal")</f>
        <v>Normal</v>
      </c>
      <c r="D163" s="1">
        <v>211512</v>
      </c>
      <c r="E163" s="1">
        <v>9681</v>
      </c>
      <c r="F163" s="15">
        <v>109444.23</v>
      </c>
      <c r="G163" s="15" t="str">
        <f>IF(OR(Table14[[#This Row],[Sales]]&gt;($B$5+1.5*$B$9),Table14[[#This Row],[Sales]]&lt;($B$7-1.5*$B$9)),"Outlier","Normal")</f>
        <v>Normal</v>
      </c>
      <c r="H163" s="22"/>
      <c r="I163" s="22">
        <f>Table1[[#This Row],[Sales]]/Table1[[#This Row],[USD_Spend]]</f>
        <v>13.557174801736341</v>
      </c>
    </row>
    <row r="164" spans="1:9" x14ac:dyDescent="0.35">
      <c r="A164" s="3" t="s">
        <v>92</v>
      </c>
      <c r="B164" s="15">
        <v>32403.58</v>
      </c>
      <c r="C164" s="1" t="str">
        <f>IF(OR(Table14[[#This Row],[USD_Spend]]&gt;($B$4+1.5*$B$8),Table14[[#This Row],[USD_Spend]]&lt;($B$6-1.5*$B$8)),"Outlier","Normal")</f>
        <v>Normal</v>
      </c>
      <c r="D164" s="1">
        <v>359636</v>
      </c>
      <c r="E164" s="1">
        <v>44784</v>
      </c>
      <c r="F164" s="15">
        <v>79192.88</v>
      </c>
      <c r="G164" s="15" t="str">
        <f>IF(OR(Table14[[#This Row],[Sales]]&gt;($B$5+1.5*$B$9),Table14[[#This Row],[Sales]]&lt;($B$7-1.5*$B$9)),"Outlier","Normal")</f>
        <v>Normal</v>
      </c>
      <c r="H164" s="22"/>
      <c r="I164" s="22">
        <f>Table1[[#This Row],[Sales]]/Table1[[#This Row],[USD_Spend]]</f>
        <v>12.111847939734071</v>
      </c>
    </row>
    <row r="165" spans="1:9" x14ac:dyDescent="0.35">
      <c r="A165" s="3" t="s">
        <v>27</v>
      </c>
      <c r="B165" s="15">
        <v>24559.01</v>
      </c>
      <c r="C165" s="1" t="str">
        <f>IF(OR(Table14[[#This Row],[USD_Spend]]&gt;($B$4+1.5*$B$8),Table14[[#This Row],[USD_Spend]]&lt;($B$6-1.5*$B$8)),"Outlier","Normal")</f>
        <v>Normal</v>
      </c>
      <c r="D165" s="1">
        <v>870116</v>
      </c>
      <c r="E165" s="1">
        <v>15496</v>
      </c>
      <c r="F165" s="15">
        <v>211221.6</v>
      </c>
      <c r="G165" s="15" t="str">
        <f>IF(OR(Table14[[#This Row],[Sales]]&gt;($B$5+1.5*$B$9),Table14[[#This Row],[Sales]]&lt;($B$7-1.5*$B$9)),"Outlier","Normal")</f>
        <v>Normal</v>
      </c>
      <c r="H165" s="22"/>
      <c r="I165" s="22">
        <f>Table1[[#This Row],[Sales]]/Table1[[#This Row],[USD_Spend]]</f>
        <v>6.9701883035935817</v>
      </c>
    </row>
    <row r="166" spans="1:9" x14ac:dyDescent="0.35">
      <c r="A166" s="3" t="s">
        <v>66</v>
      </c>
      <c r="B166" s="15">
        <v>12583.67</v>
      </c>
      <c r="C166" s="1" t="str">
        <f>IF(OR(Table14[[#This Row],[USD_Spend]]&gt;($B$4+1.5*$B$8),Table14[[#This Row],[USD_Spend]]&lt;($B$6-1.5*$B$8)),"Outlier","Normal")</f>
        <v>Normal</v>
      </c>
      <c r="D166" s="1">
        <v>162446</v>
      </c>
      <c r="E166" s="1">
        <v>30118</v>
      </c>
      <c r="F166" s="15">
        <v>232313.77</v>
      </c>
      <c r="G166" s="15" t="str">
        <f>IF(OR(Table14[[#This Row],[Sales]]&gt;($B$5+1.5*$B$9),Table14[[#This Row],[Sales]]&lt;($B$7-1.5*$B$9)),"Outlier","Normal")</f>
        <v>Normal</v>
      </c>
      <c r="H166" s="22"/>
      <c r="I166" s="22">
        <f>Table1[[#This Row],[Sales]]/Table1[[#This Row],[USD_Spend]]</f>
        <v>9.1788300021160758</v>
      </c>
    </row>
    <row r="167" spans="1:9" x14ac:dyDescent="0.35">
      <c r="A167" s="3" t="s">
        <v>90</v>
      </c>
      <c r="B167" s="15">
        <v>36724.800000000003</v>
      </c>
      <c r="C167" s="1" t="str">
        <f>IF(OR(Table14[[#This Row],[USD_Spend]]&gt;($B$4+1.5*$B$8),Table14[[#This Row],[USD_Spend]]&lt;($B$6-1.5*$B$8)),"Outlier","Normal")</f>
        <v>Normal</v>
      </c>
      <c r="D167" s="1">
        <v>302047</v>
      </c>
      <c r="E167" s="1">
        <v>46859</v>
      </c>
      <c r="F167" s="15">
        <v>192663.18</v>
      </c>
      <c r="G167" s="15" t="str">
        <f>IF(OR(Table14[[#This Row],[Sales]]&gt;($B$5+1.5*$B$9),Table14[[#This Row],[Sales]]&lt;($B$7-1.5*$B$9)),"Outlier","Normal")</f>
        <v>Normal</v>
      </c>
      <c r="H167" s="22"/>
      <c r="I167" s="22">
        <f>Table1[[#This Row],[Sales]]/Table1[[#This Row],[USD_Spend]]</f>
        <v>6.0761905248571173</v>
      </c>
    </row>
    <row r="168" spans="1:9" x14ac:dyDescent="0.35">
      <c r="A168" s="3" t="s">
        <v>103</v>
      </c>
      <c r="B168" s="15">
        <v>4836.5</v>
      </c>
      <c r="C168" s="1" t="str">
        <f>IF(OR(Table14[[#This Row],[USD_Spend]]&gt;($B$4+1.5*$B$8),Table14[[#This Row],[USD_Spend]]&lt;($B$6-1.5*$B$8)),"Outlier","Normal")</f>
        <v>Normal</v>
      </c>
      <c r="D168" s="1">
        <v>458580</v>
      </c>
      <c r="E168" s="1">
        <v>13359</v>
      </c>
      <c r="F168" s="15">
        <v>248945.05</v>
      </c>
      <c r="G168" s="15" t="str">
        <f>IF(OR(Table14[[#This Row],[Sales]]&gt;($B$5+1.5*$B$9),Table14[[#This Row],[Sales]]&lt;($B$7-1.5*$B$9)),"Outlier","Normal")</f>
        <v>Normal</v>
      </c>
      <c r="H168" s="22"/>
      <c r="I168" s="22">
        <f>Table1[[#This Row],[Sales]]/Table1[[#This Row],[USD_Spend]]</f>
        <v>9.5381729295033111</v>
      </c>
    </row>
    <row r="169" spans="1:9" x14ac:dyDescent="0.35">
      <c r="A169" s="3" t="s">
        <v>87</v>
      </c>
      <c r="B169" s="15">
        <v>8498.4500000000007</v>
      </c>
      <c r="C169" s="1" t="str">
        <f>IF(OR(Table14[[#This Row],[USD_Spend]]&gt;($B$4+1.5*$B$8),Table14[[#This Row],[USD_Spend]]&lt;($B$6-1.5*$B$8)),"Outlier","Normal")</f>
        <v>Normal</v>
      </c>
      <c r="D169" s="1">
        <v>239540</v>
      </c>
      <c r="E169" s="1">
        <v>25809</v>
      </c>
      <c r="F169" s="15">
        <v>50004.97</v>
      </c>
      <c r="G169" s="15" t="str">
        <f>IF(OR(Table14[[#This Row],[Sales]]&gt;($B$5+1.5*$B$9),Table14[[#This Row],[Sales]]&lt;($B$7-1.5*$B$9)),"Outlier","Normal")</f>
        <v>Normal</v>
      </c>
      <c r="H169" s="22"/>
      <c r="I169" s="22">
        <f>Table1[[#This Row],[Sales]]/Table1[[#This Row],[USD_Spend]]</f>
        <v>1.9547661108179397</v>
      </c>
    </row>
    <row r="170" spans="1:9" x14ac:dyDescent="0.35">
      <c r="A170" s="3" t="s">
        <v>113</v>
      </c>
      <c r="B170" s="15">
        <v>1048.42</v>
      </c>
      <c r="C170" s="1" t="str">
        <f>IF(OR(Table14[[#This Row],[USD_Spend]]&gt;($B$4+1.5*$B$8),Table14[[#This Row],[USD_Spend]]&lt;($B$6-1.5*$B$8)),"Outlier","Normal")</f>
        <v>Normal</v>
      </c>
      <c r="D170" s="1">
        <v>137378</v>
      </c>
      <c r="E170" s="1">
        <v>10991</v>
      </c>
      <c r="F170" s="15">
        <v>53355.06</v>
      </c>
      <c r="G170" s="15" t="str">
        <f>IF(OR(Table14[[#This Row],[Sales]]&gt;($B$5+1.5*$B$9),Table14[[#This Row],[Sales]]&lt;($B$7-1.5*$B$9)),"Outlier","Normal")</f>
        <v>Normal</v>
      </c>
      <c r="H170" s="22"/>
      <c r="I170" s="22">
        <f>Table1[[#This Row],[Sales]]/Table1[[#This Row],[USD_Spend]]</f>
        <v>2.1236026941777224</v>
      </c>
    </row>
    <row r="171" spans="1:9" x14ac:dyDescent="0.35">
      <c r="A171" s="3" t="s">
        <v>91</v>
      </c>
      <c r="B171" s="15">
        <v>14760.3</v>
      </c>
      <c r="C171" s="1" t="str">
        <f>IF(OR(Table14[[#This Row],[USD_Spend]]&gt;($B$4+1.5*$B$8),Table14[[#This Row],[USD_Spend]]&lt;($B$6-1.5*$B$8)),"Outlier","Normal")</f>
        <v>Normal</v>
      </c>
      <c r="D171" s="1">
        <v>715756</v>
      </c>
      <c r="E171" s="1">
        <v>36062</v>
      </c>
      <c r="F171" s="15">
        <v>246868.8</v>
      </c>
      <c r="G171" s="15" t="str">
        <f>IF(OR(Table14[[#This Row],[Sales]]&gt;($B$5+1.5*$B$9),Table14[[#This Row],[Sales]]&lt;($B$7-1.5*$B$9)),"Outlier","Normal")</f>
        <v>Normal</v>
      </c>
      <c r="H171" s="22"/>
      <c r="I171" s="22">
        <f>Table1[[#This Row],[Sales]]/Table1[[#This Row],[USD_Spend]]</f>
        <v>11.675692863192863</v>
      </c>
    </row>
    <row r="172" spans="1:9" x14ac:dyDescent="0.35">
      <c r="A172" s="3" t="s">
        <v>100</v>
      </c>
      <c r="B172" s="15">
        <v>10449.950000000001</v>
      </c>
      <c r="C172" s="1" t="str">
        <f>IF(OR(Table14[[#This Row],[USD_Spend]]&gt;($B$4+1.5*$B$8),Table14[[#This Row],[USD_Spend]]&lt;($B$6-1.5*$B$8)),"Outlier","Normal")</f>
        <v>Normal</v>
      </c>
      <c r="D172" s="1">
        <v>317643</v>
      </c>
      <c r="E172" s="1">
        <v>7900</v>
      </c>
      <c r="F172" s="15">
        <v>87518.03</v>
      </c>
      <c r="G172" s="15" t="str">
        <f>IF(OR(Table14[[#This Row],[Sales]]&gt;($B$5+1.5*$B$9),Table14[[#This Row],[Sales]]&lt;($B$7-1.5*$B$9)),"Outlier","Normal")</f>
        <v>Normal</v>
      </c>
      <c r="H172" s="22"/>
      <c r="I172" s="22">
        <f>Table1[[#This Row],[Sales]]/Table1[[#This Row],[USD_Spend]]</f>
        <v>10.131219018581412</v>
      </c>
    </row>
    <row r="173" spans="1:9" x14ac:dyDescent="0.35">
      <c r="A173" s="3" t="s">
        <v>68</v>
      </c>
      <c r="B173" s="15">
        <v>16135.08</v>
      </c>
      <c r="C173" s="1" t="str">
        <f>IF(OR(Table14[[#This Row],[USD_Spend]]&gt;($B$4+1.5*$B$8),Table14[[#This Row],[USD_Spend]]&lt;($B$6-1.5*$B$8)),"Outlier","Normal")</f>
        <v>Normal</v>
      </c>
      <c r="D173" s="1">
        <v>287932</v>
      </c>
      <c r="E173" s="1">
        <v>34681</v>
      </c>
      <c r="F173" s="15">
        <v>218746.1</v>
      </c>
      <c r="G173" s="15" t="str">
        <f>IF(OR(Table14[[#This Row],[Sales]]&gt;($B$5+1.5*$B$9),Table14[[#This Row],[Sales]]&lt;($B$7-1.5*$B$9)),"Outlier","Normal")</f>
        <v>Normal</v>
      </c>
      <c r="H173" s="22"/>
      <c r="I173" s="22">
        <f>Table1[[#This Row],[Sales]]/Table1[[#This Row],[USD_Spend]]</f>
        <v>29.533553586049383</v>
      </c>
    </row>
    <row r="174" spans="1:9" x14ac:dyDescent="0.35">
      <c r="A174" s="3" t="s">
        <v>34</v>
      </c>
      <c r="B174" s="15">
        <v>19405.990000000002</v>
      </c>
      <c r="C174" s="1" t="str">
        <f>IF(OR(Table14[[#This Row],[USD_Spend]]&gt;($B$4+1.5*$B$8),Table14[[#This Row],[USD_Spend]]&lt;($B$6-1.5*$B$8)),"Outlier","Normal")</f>
        <v>Normal</v>
      </c>
      <c r="D174" s="1">
        <v>365556</v>
      </c>
      <c r="E174" s="1">
        <v>36658</v>
      </c>
      <c r="F174" s="15">
        <v>235042.4</v>
      </c>
      <c r="G174" s="15" t="str">
        <f>IF(OR(Table14[[#This Row],[Sales]]&gt;($B$5+1.5*$B$9),Table14[[#This Row],[Sales]]&lt;($B$7-1.5*$B$9)),"Outlier","Normal")</f>
        <v>Normal</v>
      </c>
      <c r="H174" s="22"/>
      <c r="I174" s="22">
        <f>Table1[[#This Row],[Sales]]/Table1[[#This Row],[USD_Spend]]</f>
        <v>3.1690247697421436</v>
      </c>
    </row>
    <row r="175" spans="1:9" x14ac:dyDescent="0.35">
      <c r="A175" s="3" t="s">
        <v>70</v>
      </c>
      <c r="B175" s="15">
        <v>16725.650000000001</v>
      </c>
      <c r="C175" s="1" t="str">
        <f>IF(OR(Table14[[#This Row],[USD_Spend]]&gt;($B$4+1.5*$B$8),Table14[[#This Row],[USD_Spend]]&lt;($B$6-1.5*$B$8)),"Outlier","Normal")</f>
        <v>Normal</v>
      </c>
      <c r="D175" s="1">
        <v>738205</v>
      </c>
      <c r="E175" s="1">
        <v>14035</v>
      </c>
      <c r="F175" s="15">
        <v>116580.93</v>
      </c>
      <c r="G175" s="15" t="str">
        <f>IF(OR(Table14[[#This Row],[Sales]]&gt;($B$5+1.5*$B$9),Table14[[#This Row],[Sales]]&lt;($B$7-1.5*$B$9)),"Outlier","Normal")</f>
        <v>Normal</v>
      </c>
      <c r="H175" s="22"/>
      <c r="I175" s="22">
        <f>Table1[[#This Row],[Sales]]/Table1[[#This Row],[USD_Spend]]</f>
        <v>15.556520943337622</v>
      </c>
    </row>
    <row r="176" spans="1:9" x14ac:dyDescent="0.35">
      <c r="A176" s="3" t="s">
        <v>85</v>
      </c>
      <c r="B176" s="15">
        <v>12995.75</v>
      </c>
      <c r="C176" s="1" t="str">
        <f>IF(OR(Table14[[#This Row],[USD_Spend]]&gt;($B$4+1.5*$B$8),Table14[[#This Row],[USD_Spend]]&lt;($B$6-1.5*$B$8)),"Outlier","Normal")</f>
        <v>Normal</v>
      </c>
      <c r="D176" s="1">
        <v>344617</v>
      </c>
      <c r="E176" s="1">
        <v>15942</v>
      </c>
      <c r="F176" s="15">
        <v>119285.78</v>
      </c>
      <c r="G176" s="15" t="str">
        <f>IF(OR(Table14[[#This Row],[Sales]]&gt;($B$5+1.5*$B$9),Table14[[#This Row],[Sales]]&lt;($B$7-1.5*$B$9)),"Outlier","Normal")</f>
        <v>Normal</v>
      </c>
      <c r="H176" s="22"/>
      <c r="I176" s="22">
        <f>Table1[[#This Row],[Sales]]/Table1[[#This Row],[USD_Spend]]</f>
        <v>43.545128481028875</v>
      </c>
    </row>
    <row r="177" spans="1:9" x14ac:dyDescent="0.35">
      <c r="A177" s="3" t="s">
        <v>95</v>
      </c>
      <c r="B177" s="15">
        <v>21526.43</v>
      </c>
      <c r="C177" s="1" t="str">
        <f>IF(OR(Table14[[#This Row],[USD_Spend]]&gt;($B$4+1.5*$B$8),Table14[[#This Row],[USD_Spend]]&lt;($B$6-1.5*$B$8)),"Outlier","Normal")</f>
        <v>Normal</v>
      </c>
      <c r="D177" s="1">
        <v>484409</v>
      </c>
      <c r="E177" s="1">
        <v>40763</v>
      </c>
      <c r="F177" s="15">
        <v>130798.69</v>
      </c>
      <c r="G177" s="15" t="str">
        <f>IF(OR(Table14[[#This Row],[Sales]]&gt;($B$5+1.5*$B$9),Table14[[#This Row],[Sales]]&lt;($B$7-1.5*$B$9)),"Outlier","Normal")</f>
        <v>Normal</v>
      </c>
      <c r="H177" s="22"/>
      <c r="I177" s="22">
        <f>Table1[[#This Row],[Sales]]/Table1[[#This Row],[USD_Spend]]</f>
        <v>9.9974662770777112</v>
      </c>
    </row>
    <row r="178" spans="1:9" x14ac:dyDescent="0.35">
      <c r="A178" s="3" t="s">
        <v>111</v>
      </c>
      <c r="B178" s="15">
        <v>17284.5</v>
      </c>
      <c r="C178" s="1" t="str">
        <f>IF(OR(Table14[[#This Row],[USD_Spend]]&gt;($B$4+1.5*$B$8),Table14[[#This Row],[USD_Spend]]&lt;($B$6-1.5*$B$8)),"Outlier","Normal")</f>
        <v>Normal</v>
      </c>
      <c r="D178" s="1">
        <v>447110</v>
      </c>
      <c r="E178" s="1">
        <v>44212</v>
      </c>
      <c r="F178" s="15">
        <v>164862.54999999999</v>
      </c>
      <c r="G178" s="15" t="str">
        <f>IF(OR(Table14[[#This Row],[Sales]]&gt;($B$5+1.5*$B$9),Table14[[#This Row],[Sales]]&lt;($B$7-1.5*$B$9)),"Outlier","Normal")</f>
        <v>Normal</v>
      </c>
      <c r="H178" s="22"/>
      <c r="I178" s="22">
        <f>Table1[[#This Row],[Sales]]/Table1[[#This Row],[USD_Spend]]</f>
        <v>53.682471259158824</v>
      </c>
    </row>
    <row r="179" spans="1:9" x14ac:dyDescent="0.35">
      <c r="A179" s="3" t="s">
        <v>120</v>
      </c>
      <c r="B179" s="15">
        <v>45688.09</v>
      </c>
      <c r="C179" s="1" t="str">
        <f>IF(OR(Table14[[#This Row],[USD_Spend]]&gt;($B$4+1.5*$B$8),Table14[[#This Row],[USD_Spend]]&lt;($B$6-1.5*$B$8)),"Outlier","Normal")</f>
        <v>Normal</v>
      </c>
      <c r="D179" s="1">
        <v>142250</v>
      </c>
      <c r="E179" s="1">
        <v>10293</v>
      </c>
      <c r="F179" s="15">
        <v>89309.53</v>
      </c>
      <c r="G179" s="15" t="str">
        <f>IF(OR(Table14[[#This Row],[Sales]]&gt;($B$5+1.5*$B$9),Table14[[#This Row],[Sales]]&lt;($B$7-1.5*$B$9)),"Outlier","Normal")</f>
        <v>Normal</v>
      </c>
      <c r="H179" s="22"/>
      <c r="I179" s="22">
        <f>Table1[[#This Row],[Sales]]/Table1[[#This Row],[USD_Spend]]</f>
        <v>4.5938018422189879</v>
      </c>
    </row>
    <row r="180" spans="1:9" x14ac:dyDescent="0.35">
      <c r="A180" s="3" t="s">
        <v>110</v>
      </c>
      <c r="B180" s="15">
        <v>15223.94</v>
      </c>
      <c r="C180" s="1" t="str">
        <f>IF(OR(Table14[[#This Row],[USD_Spend]]&gt;($B$4+1.5*$B$8),Table14[[#This Row],[USD_Spend]]&lt;($B$6-1.5*$B$8)),"Outlier","Normal")</f>
        <v>Normal</v>
      </c>
      <c r="D180" s="1">
        <v>24892</v>
      </c>
      <c r="E180" s="1">
        <v>48690</v>
      </c>
      <c r="F180" s="15">
        <v>32329.599999999999</v>
      </c>
      <c r="G180" s="15" t="str">
        <f>IF(OR(Table14[[#This Row],[Sales]]&gt;($B$5+1.5*$B$9),Table14[[#This Row],[Sales]]&lt;($B$7-1.5*$B$9)),"Outlier","Normal")</f>
        <v>Normal</v>
      </c>
      <c r="H180" s="22"/>
      <c r="I180" s="22">
        <f>Table1[[#This Row],[Sales]]/Table1[[#This Row],[USD_Spend]]</f>
        <v>8.3931981239661937</v>
      </c>
    </row>
    <row r="181" spans="1:9" x14ac:dyDescent="0.35">
      <c r="A181" s="3" t="s">
        <v>79</v>
      </c>
      <c r="B181" s="15">
        <v>14545.44</v>
      </c>
      <c r="C181" s="1" t="str">
        <f>IF(OR(Table14[[#This Row],[USD_Spend]]&gt;($B$4+1.5*$B$8),Table14[[#This Row],[USD_Spend]]&lt;($B$6-1.5*$B$8)),"Outlier","Normal")</f>
        <v>Normal</v>
      </c>
      <c r="D181" s="1">
        <v>595941</v>
      </c>
      <c r="E181" s="1">
        <v>30402</v>
      </c>
      <c r="F181" s="15">
        <v>169828.09</v>
      </c>
      <c r="G181" s="15" t="str">
        <f>IF(OR(Table14[[#This Row],[Sales]]&gt;($B$5+1.5*$B$9),Table14[[#This Row],[Sales]]&lt;($B$7-1.5*$B$9)),"Outlier","Normal")</f>
        <v>Normal</v>
      </c>
      <c r="H181" s="22"/>
      <c r="I181" s="22">
        <f>Table1[[#This Row],[Sales]]/Table1[[#This Row],[USD_Spend]]</f>
        <v>20.201413049849833</v>
      </c>
    </row>
    <row r="182" spans="1:9" x14ac:dyDescent="0.35">
      <c r="A182" s="3" t="s">
        <v>79</v>
      </c>
      <c r="B182" s="15">
        <v>12095.96</v>
      </c>
      <c r="C182" s="1" t="str">
        <f>IF(OR(Table14[[#This Row],[USD_Spend]]&gt;($B$4+1.5*$B$8),Table14[[#This Row],[USD_Spend]]&lt;($B$6-1.5*$B$8)),"Outlier","Normal")</f>
        <v>Normal</v>
      </c>
      <c r="D182" s="1">
        <v>105136</v>
      </c>
      <c r="E182" s="1">
        <v>1143</v>
      </c>
      <c r="F182" s="15">
        <v>122546.82</v>
      </c>
      <c r="G182" s="15" t="str">
        <f>IF(OR(Table14[[#This Row],[Sales]]&gt;($B$5+1.5*$B$9),Table14[[#This Row],[Sales]]&lt;($B$7-1.5*$B$9)),"Outlier","Normal")</f>
        <v>Normal</v>
      </c>
      <c r="H182" s="22"/>
      <c r="I182" s="22">
        <f>Table1[[#This Row],[Sales]]/Table1[[#This Row],[USD_Spend]]</f>
        <v>2.6689965649997083</v>
      </c>
    </row>
    <row r="183" spans="1:9" x14ac:dyDescent="0.35">
      <c r="A183" s="3" t="s">
        <v>78</v>
      </c>
      <c r="B183" s="15">
        <v>3480.85</v>
      </c>
      <c r="C183" s="1" t="str">
        <f>IF(OR(Table14[[#This Row],[USD_Spend]]&gt;($B$4+1.5*$B$8),Table14[[#This Row],[USD_Spend]]&lt;($B$6-1.5*$B$8)),"Outlier","Normal")</f>
        <v>Normal</v>
      </c>
      <c r="D183" s="1">
        <v>61706</v>
      </c>
      <c r="E183" s="1">
        <v>36023</v>
      </c>
      <c r="F183" s="15">
        <v>102801.87</v>
      </c>
      <c r="G183" s="15" t="str">
        <f>IF(OR(Table14[[#This Row],[Sales]]&gt;($B$5+1.5*$B$9),Table14[[#This Row],[Sales]]&lt;($B$7-1.5*$B$9)),"Outlier","Normal")</f>
        <v>Normal</v>
      </c>
      <c r="H183" s="22"/>
      <c r="I183" s="22">
        <f>Table1[[#This Row],[Sales]]/Table1[[#This Row],[USD_Spend]]</f>
        <v>20.013376721053064</v>
      </c>
    </row>
    <row r="184" spans="1:9" x14ac:dyDescent="0.35">
      <c r="A184" s="3" t="s">
        <v>70</v>
      </c>
      <c r="B184" s="15">
        <v>10610.93</v>
      </c>
      <c r="C184" s="1" t="str">
        <f>IF(OR(Table14[[#This Row],[USD_Spend]]&gt;($B$4+1.5*$B$8),Table14[[#This Row],[USD_Spend]]&lt;($B$6-1.5*$B$8)),"Outlier","Normal")</f>
        <v>Normal</v>
      </c>
      <c r="D184" s="1">
        <v>158683</v>
      </c>
      <c r="E184" s="1">
        <v>17165</v>
      </c>
      <c r="F184" s="15">
        <v>33626.300000000003</v>
      </c>
      <c r="G184" s="15" t="str">
        <f>IF(OR(Table14[[#This Row],[Sales]]&gt;($B$5+1.5*$B$9),Table14[[#This Row],[Sales]]&lt;($B$7-1.5*$B$9)),"Outlier","Normal")</f>
        <v>Normal</v>
      </c>
      <c r="H184" s="22"/>
      <c r="I184" s="22">
        <f>Table1[[#This Row],[Sales]]/Table1[[#This Row],[USD_Spend]]</f>
        <v>1.5193585311146296</v>
      </c>
    </row>
    <row r="185" spans="1:9" x14ac:dyDescent="0.35">
      <c r="A185" s="3" t="s">
        <v>97</v>
      </c>
      <c r="B185" s="15">
        <v>7211.84</v>
      </c>
      <c r="C185" s="1" t="str">
        <f>IF(OR(Table14[[#This Row],[USD_Spend]]&gt;($B$4+1.5*$B$8),Table14[[#This Row],[USD_Spend]]&lt;($B$6-1.5*$B$8)),"Outlier","Normal")</f>
        <v>Normal</v>
      </c>
      <c r="D185" s="1">
        <v>274760</v>
      </c>
      <c r="E185" s="1">
        <v>32284</v>
      </c>
      <c r="F185" s="15">
        <v>112191.14</v>
      </c>
      <c r="G185" s="15" t="str">
        <f>IF(OR(Table14[[#This Row],[Sales]]&gt;($B$5+1.5*$B$9),Table14[[#This Row],[Sales]]&lt;($B$7-1.5*$B$9)),"Outlier","Normal")</f>
        <v>Normal</v>
      </c>
      <c r="H185" s="22"/>
      <c r="I185" s="22">
        <f>Table1[[#This Row],[Sales]]/Table1[[#This Row],[USD_Spend]]</f>
        <v>38.924403470715831</v>
      </c>
    </row>
    <row r="186" spans="1:9" x14ac:dyDescent="0.35">
      <c r="A186" s="3" t="s">
        <v>120</v>
      </c>
      <c r="B186" s="15">
        <v>3122.64</v>
      </c>
      <c r="C186" s="1" t="str">
        <f>IF(OR(Table14[[#This Row],[USD_Spend]]&gt;($B$4+1.5*$B$8),Table14[[#This Row],[USD_Spend]]&lt;($B$6-1.5*$B$8)),"Outlier","Normal")</f>
        <v>Normal</v>
      </c>
      <c r="D186" s="1">
        <v>271103</v>
      </c>
      <c r="E186" s="1">
        <v>13860</v>
      </c>
      <c r="F186" s="15">
        <v>135975.76</v>
      </c>
      <c r="G186" s="15" t="str">
        <f>IF(OR(Table14[[#This Row],[Sales]]&gt;($B$5+1.5*$B$9),Table14[[#This Row],[Sales]]&lt;($B$7-1.5*$B$9)),"Outlier","Normal")</f>
        <v>Normal</v>
      </c>
      <c r="H186" s="22"/>
      <c r="I186" s="22">
        <f>Table1[[#This Row],[Sales]]/Table1[[#This Row],[USD_Spend]]</f>
        <v>16.037426400839102</v>
      </c>
    </row>
    <row r="187" spans="1:9" x14ac:dyDescent="0.35">
      <c r="A187" s="3" t="s">
        <v>115</v>
      </c>
      <c r="B187" s="15">
        <v>8603.94</v>
      </c>
      <c r="C187" s="1" t="str">
        <f>IF(OR(Table14[[#This Row],[USD_Spend]]&gt;($B$4+1.5*$B$8),Table14[[#This Row],[USD_Spend]]&lt;($B$6-1.5*$B$8)),"Outlier","Normal")</f>
        <v>Normal</v>
      </c>
      <c r="D187" s="1">
        <v>858102</v>
      </c>
      <c r="E187" s="1">
        <v>7482</v>
      </c>
      <c r="F187" s="15">
        <v>86017.600000000006</v>
      </c>
      <c r="G187" s="15" t="str">
        <f>IF(OR(Table14[[#This Row],[Sales]]&gt;($B$5+1.5*$B$9),Table14[[#This Row],[Sales]]&lt;($B$7-1.5*$B$9)),"Outlier","Normal")</f>
        <v>Normal</v>
      </c>
      <c r="H187" s="22"/>
      <c r="I187" s="22">
        <f>Table1[[#This Row],[Sales]]/Table1[[#This Row],[USD_Spend]]</f>
        <v>10.18956035145111</v>
      </c>
    </row>
    <row r="188" spans="1:9" x14ac:dyDescent="0.35">
      <c r="A188" s="3" t="s">
        <v>91</v>
      </c>
      <c r="B188" s="15">
        <v>2758.27</v>
      </c>
      <c r="C188" s="1" t="str">
        <f>IF(OR(Table14[[#This Row],[USD_Spend]]&gt;($B$4+1.5*$B$8),Table14[[#This Row],[USD_Spend]]&lt;($B$6-1.5*$B$8)),"Outlier","Normal")</f>
        <v>Normal</v>
      </c>
      <c r="D188" s="1">
        <v>378653</v>
      </c>
      <c r="E188" s="1">
        <v>15184</v>
      </c>
      <c r="F188" s="15">
        <v>148070.75</v>
      </c>
      <c r="G188" s="15" t="str">
        <f>IF(OR(Table14[[#This Row],[Sales]]&gt;($B$5+1.5*$B$9),Table14[[#This Row],[Sales]]&lt;($B$7-1.5*$B$9)),"Outlier","Normal")</f>
        <v>Normal</v>
      </c>
      <c r="H188" s="22"/>
      <c r="I188" s="22">
        <f>Table1[[#This Row],[Sales]]/Table1[[#This Row],[USD_Spend]]</f>
        <v>14.220622015667468</v>
      </c>
    </row>
    <row r="189" spans="1:9" x14ac:dyDescent="0.35">
      <c r="A189" s="3" t="s">
        <v>115</v>
      </c>
      <c r="B189" s="15">
        <v>34594.15</v>
      </c>
      <c r="C189" s="1" t="str">
        <f>IF(OR(Table14[[#This Row],[USD_Spend]]&gt;($B$4+1.5*$B$8),Table14[[#This Row],[USD_Spend]]&lt;($B$6-1.5*$B$8)),"Outlier","Normal")</f>
        <v>Normal</v>
      </c>
      <c r="D189" s="1">
        <v>172293</v>
      </c>
      <c r="E189" s="1">
        <v>19819</v>
      </c>
      <c r="F189" s="15">
        <v>158918.67000000001</v>
      </c>
      <c r="G189" s="15" t="str">
        <f>IF(OR(Table14[[#This Row],[Sales]]&gt;($B$5+1.5*$B$9),Table14[[#This Row],[Sales]]&lt;($B$7-1.5*$B$9)),"Outlier","Normal")</f>
        <v>Normal</v>
      </c>
      <c r="H189" s="22"/>
      <c r="I189" s="22">
        <f>Table1[[#This Row],[Sales]]/Table1[[#This Row],[USD_Spend]]</f>
        <v>109.78253286297077</v>
      </c>
    </row>
    <row r="190" spans="1:9" x14ac:dyDescent="0.35">
      <c r="A190" s="3" t="s">
        <v>110</v>
      </c>
      <c r="B190" s="15">
        <v>19545.490000000002</v>
      </c>
      <c r="C190" s="1" t="str">
        <f>IF(OR(Table14[[#This Row],[USD_Spend]]&gt;($B$4+1.5*$B$8),Table14[[#This Row],[USD_Spend]]&lt;($B$6-1.5*$B$8)),"Outlier","Normal")</f>
        <v>Normal</v>
      </c>
      <c r="D190" s="1">
        <v>680318</v>
      </c>
      <c r="E190" s="1">
        <v>32029</v>
      </c>
      <c r="F190" s="15">
        <v>164049.17000000001</v>
      </c>
      <c r="G190" s="15" t="str">
        <f>IF(OR(Table14[[#This Row],[Sales]]&gt;($B$5+1.5*$B$9),Table14[[#This Row],[Sales]]&lt;($B$7-1.5*$B$9)),"Outlier","Normal")</f>
        <v>Normal</v>
      </c>
      <c r="H190" s="22"/>
      <c r="I190" s="22">
        <f>Table1[[#This Row],[Sales]]/Table1[[#This Row],[USD_Spend]]</f>
        <v>74.773850721553458</v>
      </c>
    </row>
    <row r="191" spans="1:9" x14ac:dyDescent="0.35">
      <c r="A191" s="3" t="s">
        <v>91</v>
      </c>
      <c r="B191" s="15">
        <v>2900.11</v>
      </c>
      <c r="C191" s="1" t="str">
        <f>IF(OR(Table14[[#This Row],[USD_Spend]]&gt;($B$4+1.5*$B$8),Table14[[#This Row],[USD_Spend]]&lt;($B$6-1.5*$B$8)),"Outlier","Normal")</f>
        <v>Normal</v>
      </c>
      <c r="D191" s="1">
        <v>168366</v>
      </c>
      <c r="E191" s="1">
        <v>699</v>
      </c>
      <c r="F191" s="15">
        <v>58586.32</v>
      </c>
      <c r="G191" s="15" t="str">
        <f>IF(OR(Table14[[#This Row],[Sales]]&gt;($B$5+1.5*$B$9),Table14[[#This Row],[Sales]]&lt;($B$7-1.5*$B$9)),"Outlier","Normal")</f>
        <v>Normal</v>
      </c>
      <c r="H191" s="22"/>
      <c r="I191" s="22">
        <f>Table1[[#This Row],[Sales]]/Table1[[#This Row],[USD_Spend]]</f>
        <v>0.74250250271018869</v>
      </c>
    </row>
    <row r="192" spans="1:9" x14ac:dyDescent="0.35">
      <c r="A192" s="3" t="s">
        <v>27</v>
      </c>
      <c r="B192" s="15">
        <v>52299.85</v>
      </c>
      <c r="C192" s="1" t="str">
        <f>IF(OR(Table14[[#This Row],[USD_Spend]]&gt;($B$4+1.5*$B$8),Table14[[#This Row],[USD_Spend]]&lt;($B$6-1.5*$B$8)),"Outlier","Normal")</f>
        <v>Normal</v>
      </c>
      <c r="D192" s="1">
        <v>411798</v>
      </c>
      <c r="E192" s="1">
        <v>27537</v>
      </c>
      <c r="F192" s="15">
        <v>139588.12</v>
      </c>
      <c r="G192" s="15" t="str">
        <f>IF(OR(Table14[[#This Row],[Sales]]&gt;($B$5+1.5*$B$9),Table14[[#This Row],[Sales]]&lt;($B$7-1.5*$B$9)),"Outlier","Normal")</f>
        <v>Normal</v>
      </c>
      <c r="H192" s="22"/>
      <c r="I192" s="22">
        <f>Table1[[#This Row],[Sales]]/Table1[[#This Row],[USD_Spend]]</f>
        <v>19.830918320613627</v>
      </c>
    </row>
    <row r="193" spans="1:9" x14ac:dyDescent="0.35">
      <c r="A193" s="3" t="s">
        <v>119</v>
      </c>
      <c r="B193" s="15">
        <v>10543.69</v>
      </c>
      <c r="C193" s="1" t="str">
        <f>IF(OR(Table14[[#This Row],[USD_Spend]]&gt;($B$4+1.5*$B$8),Table14[[#This Row],[USD_Spend]]&lt;($B$6-1.5*$B$8)),"Outlier","Normal")</f>
        <v>Normal</v>
      </c>
      <c r="D193" s="1">
        <v>431139</v>
      </c>
      <c r="E193" s="1">
        <v>40569</v>
      </c>
      <c r="F193" s="15">
        <v>211014.84</v>
      </c>
      <c r="G193" s="15" t="str">
        <f>IF(OR(Table14[[#This Row],[Sales]]&gt;($B$5+1.5*$B$9),Table14[[#This Row],[Sales]]&lt;($B$7-1.5*$B$9)),"Outlier","Normal")</f>
        <v>Normal</v>
      </c>
      <c r="H193" s="22"/>
      <c r="I193" s="22">
        <f>Table1[[#This Row],[Sales]]/Table1[[#This Row],[USD_Spend]]</f>
        <v>8.9026204275808265</v>
      </c>
    </row>
    <row r="194" spans="1:9" x14ac:dyDescent="0.35">
      <c r="A194" s="3" t="s">
        <v>97</v>
      </c>
      <c r="B194" s="15">
        <v>22251.43</v>
      </c>
      <c r="C194" s="1" t="str">
        <f>IF(OR(Table14[[#This Row],[USD_Spend]]&gt;($B$4+1.5*$B$8),Table14[[#This Row],[USD_Spend]]&lt;($B$6-1.5*$B$8)),"Outlier","Normal")</f>
        <v>Normal</v>
      </c>
      <c r="D194" s="1">
        <v>19708</v>
      </c>
      <c r="E194" s="1">
        <v>19547</v>
      </c>
      <c r="F194" s="15">
        <v>33807.9</v>
      </c>
      <c r="G194" s="15" t="str">
        <f>IF(OR(Table14[[#This Row],[Sales]]&gt;($B$5+1.5*$B$9),Table14[[#This Row],[Sales]]&lt;($B$7-1.5*$B$9)),"Outlier","Normal")</f>
        <v>Normal</v>
      </c>
      <c r="H194" s="22"/>
      <c r="I194" s="22">
        <f>Table1[[#This Row],[Sales]]/Table1[[#This Row],[USD_Spend]]</f>
        <v>1.0979817011436999</v>
      </c>
    </row>
    <row r="195" spans="1:9" x14ac:dyDescent="0.35">
      <c r="A195" s="3" t="s">
        <v>92</v>
      </c>
      <c r="B195" s="15">
        <v>6361.8</v>
      </c>
      <c r="C195" s="1" t="str">
        <f>IF(OR(Table14[[#This Row],[USD_Spend]]&gt;($B$4+1.5*$B$8),Table14[[#This Row],[USD_Spend]]&lt;($B$6-1.5*$B$8)),"Outlier","Normal")</f>
        <v>Normal</v>
      </c>
      <c r="D195" s="1">
        <v>942566</v>
      </c>
      <c r="E195" s="1">
        <v>35629</v>
      </c>
      <c r="F195" s="15">
        <v>247629.27</v>
      </c>
      <c r="G195" s="15" t="str">
        <f>IF(OR(Table14[[#This Row],[Sales]]&gt;($B$5+1.5*$B$9),Table14[[#This Row],[Sales]]&lt;($B$7-1.5*$B$9)),"Outlier","Normal")</f>
        <v>Normal</v>
      </c>
      <c r="H195" s="22"/>
      <c r="I195" s="22">
        <f>Table1[[#This Row],[Sales]]/Table1[[#This Row],[USD_Spend]]</f>
        <v>0.68752606435175645</v>
      </c>
    </row>
    <row r="196" spans="1:9" x14ac:dyDescent="0.35">
      <c r="A196" s="3" t="s">
        <v>77</v>
      </c>
      <c r="B196" s="15">
        <v>9572.1200000000008</v>
      </c>
      <c r="C196" s="1" t="str">
        <f>IF(OR(Table14[[#This Row],[USD_Spend]]&gt;($B$4+1.5*$B$8),Table14[[#This Row],[USD_Spend]]&lt;($B$6-1.5*$B$8)),"Outlier","Normal")</f>
        <v>Normal</v>
      </c>
      <c r="D196" s="1">
        <v>965025</v>
      </c>
      <c r="E196" s="1">
        <v>23176</v>
      </c>
      <c r="F196" s="15">
        <v>153512.17000000001</v>
      </c>
      <c r="G196" s="15" t="str">
        <f>IF(OR(Table14[[#This Row],[Sales]]&gt;($B$5+1.5*$B$9),Table14[[#This Row],[Sales]]&lt;($B$7-1.5*$B$9)),"Outlier","Normal")</f>
        <v>Normal</v>
      </c>
      <c r="H196" s="22"/>
      <c r="I196" s="22">
        <f>Table1[[#This Row],[Sales]]/Table1[[#This Row],[USD_Spend]]</f>
        <v>33.561565608898903</v>
      </c>
    </row>
    <row r="197" spans="1:9" x14ac:dyDescent="0.35">
      <c r="A197" s="3" t="s">
        <v>101</v>
      </c>
      <c r="B197" s="15">
        <v>14342.82</v>
      </c>
      <c r="C197" s="1" t="str">
        <f>IF(OR(Table14[[#This Row],[USD_Spend]]&gt;($B$4+1.5*$B$8),Table14[[#This Row],[USD_Spend]]&lt;($B$6-1.5*$B$8)),"Outlier","Normal")</f>
        <v>Normal</v>
      </c>
      <c r="D197" s="1">
        <v>970911</v>
      </c>
      <c r="E197" s="1">
        <v>48040</v>
      </c>
      <c r="F197" s="15">
        <v>146147.03</v>
      </c>
      <c r="G197" s="15" t="str">
        <f>IF(OR(Table14[[#This Row],[Sales]]&gt;($B$5+1.5*$B$9),Table14[[#This Row],[Sales]]&lt;($B$7-1.5*$B$9)),"Outlier","Normal")</f>
        <v>Normal</v>
      </c>
      <c r="H197" s="22"/>
      <c r="I197" s="22">
        <f>Table1[[#This Row],[Sales]]/Table1[[#This Row],[USD_Spend]]</f>
        <v>7.145743267730742</v>
      </c>
    </row>
    <row r="198" spans="1:9" x14ac:dyDescent="0.35">
      <c r="A198" s="3" t="s">
        <v>50</v>
      </c>
      <c r="B198" s="15">
        <v>6747.74</v>
      </c>
      <c r="C198" s="1" t="str">
        <f>IF(OR(Table14[[#This Row],[USD_Spend]]&gt;($B$4+1.5*$B$8),Table14[[#This Row],[USD_Spend]]&lt;($B$6-1.5*$B$8)),"Outlier","Normal")</f>
        <v>Normal</v>
      </c>
      <c r="D198" s="1">
        <v>653825</v>
      </c>
      <c r="E198" s="1">
        <v>46923</v>
      </c>
      <c r="F198" s="15">
        <v>95957.06</v>
      </c>
      <c r="G198" s="15" t="str">
        <f>IF(OR(Table14[[#This Row],[Sales]]&gt;($B$5+1.5*$B$9),Table14[[#This Row],[Sales]]&lt;($B$7-1.5*$B$9)),"Outlier","Normal")</f>
        <v>Normal</v>
      </c>
      <c r="H198" s="22"/>
      <c r="I198" s="22">
        <f>Table1[[#This Row],[Sales]]/Table1[[#This Row],[USD_Spend]]</f>
        <v>4.6864061626466764</v>
      </c>
    </row>
    <row r="199" spans="1:9" x14ac:dyDescent="0.35">
      <c r="A199" s="3" t="s">
        <v>116</v>
      </c>
      <c r="B199" s="15">
        <v>2029.64</v>
      </c>
      <c r="C199" s="1" t="str">
        <f>IF(OR(Table14[[#This Row],[USD_Spend]]&gt;($B$4+1.5*$B$8),Table14[[#This Row],[USD_Spend]]&lt;($B$6-1.5*$B$8)),"Outlier","Normal")</f>
        <v>Normal</v>
      </c>
      <c r="D199" s="1">
        <v>947692</v>
      </c>
      <c r="E199" s="1">
        <v>20099</v>
      </c>
      <c r="F199" s="15">
        <v>222819.02</v>
      </c>
      <c r="G199" s="15" t="str">
        <f>IF(OR(Table14[[#This Row],[Sales]]&gt;($B$5+1.5*$B$9),Table14[[#This Row],[Sales]]&lt;($B$7-1.5*$B$9)),"Outlier","Normal")</f>
        <v>Normal</v>
      </c>
      <c r="H199" s="22"/>
      <c r="I199" s="22">
        <f>Table1[[#This Row],[Sales]]/Table1[[#This Row],[USD_Spend]]</f>
        <v>40.577334926752826</v>
      </c>
    </row>
    <row r="200" spans="1:9" x14ac:dyDescent="0.35">
      <c r="A200" s="3" t="s">
        <v>96</v>
      </c>
      <c r="B200" s="15">
        <v>1545.97</v>
      </c>
      <c r="C200" s="1" t="str">
        <f>IF(OR(Table14[[#This Row],[USD_Spend]]&gt;($B$4+1.5*$B$8),Table14[[#This Row],[USD_Spend]]&lt;($B$6-1.5*$B$8)),"Outlier","Normal")</f>
        <v>Normal</v>
      </c>
      <c r="D200" s="1">
        <v>926220</v>
      </c>
      <c r="E200" s="1">
        <v>46775</v>
      </c>
      <c r="F200" s="15">
        <v>115598.13</v>
      </c>
      <c r="G200" s="15" t="str">
        <f>IF(OR(Table14[[#This Row],[Sales]]&gt;($B$5+1.5*$B$9),Table14[[#This Row],[Sales]]&lt;($B$7-1.5*$B$9)),"Outlier","Normal")</f>
        <v>Normal</v>
      </c>
      <c r="H200" s="22"/>
      <c r="I200" s="22">
        <f>Table1[[#This Row],[Sales]]/Table1[[#This Row],[USD_Spend]]</f>
        <v>3.7197585724815752</v>
      </c>
    </row>
    <row r="201" spans="1:9" x14ac:dyDescent="0.35">
      <c r="A201" s="3" t="s">
        <v>95</v>
      </c>
      <c r="B201" s="15">
        <v>28918.65</v>
      </c>
      <c r="C201" s="1" t="str">
        <f>IF(OR(Table14[[#This Row],[USD_Spend]]&gt;($B$4+1.5*$B$8),Table14[[#This Row],[USD_Spend]]&lt;($B$6-1.5*$B$8)),"Outlier","Normal")</f>
        <v>Normal</v>
      </c>
      <c r="D201" s="1">
        <v>46489</v>
      </c>
      <c r="E201" s="1">
        <v>8372</v>
      </c>
      <c r="F201" s="15">
        <v>21472.17</v>
      </c>
      <c r="G201" s="15" t="str">
        <f>IF(OR(Table14[[#This Row],[Sales]]&gt;($B$5+1.5*$B$9),Table14[[#This Row],[Sales]]&lt;($B$7-1.5*$B$9)),"Outlier","Normal")</f>
        <v>Normal</v>
      </c>
      <c r="H201" s="22"/>
      <c r="I201" s="22">
        <f>Table1[[#This Row],[Sales]]/Table1[[#This Row],[USD_Spend]]</f>
        <v>13.34536313995938</v>
      </c>
    </row>
    <row r="202" spans="1:9" x14ac:dyDescent="0.35">
      <c r="A202" s="3" t="s">
        <v>70</v>
      </c>
      <c r="B202" s="15">
        <v>7794.99</v>
      </c>
      <c r="C202" s="1" t="str">
        <f>IF(OR(Table14[[#This Row],[USD_Spend]]&gt;($B$4+1.5*$B$8),Table14[[#This Row],[USD_Spend]]&lt;($B$6-1.5*$B$8)),"Outlier","Normal")</f>
        <v>Normal</v>
      </c>
      <c r="D202" s="1">
        <v>260875</v>
      </c>
      <c r="E202" s="1">
        <v>11539</v>
      </c>
      <c r="F202" s="15">
        <v>154581.81</v>
      </c>
      <c r="G202" s="15" t="str">
        <f>IF(OR(Table14[[#This Row],[Sales]]&gt;($B$5+1.5*$B$9),Table14[[#This Row],[Sales]]&lt;($B$7-1.5*$B$9)),"Outlier","Normal")</f>
        <v>Normal</v>
      </c>
      <c r="H202" s="22"/>
      <c r="I202" s="22">
        <f>Table1[[#This Row],[Sales]]/Table1[[#This Row],[USD_Spend]]</f>
        <v>8.4010582399440228</v>
      </c>
    </row>
    <row r="203" spans="1:9" x14ac:dyDescent="0.35">
      <c r="A203" s="3" t="s">
        <v>110</v>
      </c>
      <c r="B203" s="15">
        <v>9715.59</v>
      </c>
      <c r="C203" s="1" t="str">
        <f>IF(OR(Table14[[#This Row],[USD_Spend]]&gt;($B$4+1.5*$B$8),Table14[[#This Row],[USD_Spend]]&lt;($B$6-1.5*$B$8)),"Outlier","Normal")</f>
        <v>Normal</v>
      </c>
      <c r="D203" s="1">
        <v>94736</v>
      </c>
      <c r="E203" s="1">
        <v>32054</v>
      </c>
      <c r="F203" s="15">
        <v>86494.21</v>
      </c>
      <c r="G203" s="15" t="str">
        <f>IF(OR(Table14[[#This Row],[Sales]]&gt;($B$5+1.5*$B$9),Table14[[#This Row],[Sales]]&lt;($B$7-1.5*$B$9)),"Outlier","Normal")</f>
        <v>Normal</v>
      </c>
      <c r="H203" s="22"/>
      <c r="I203" s="22">
        <f>Table1[[#This Row],[Sales]]/Table1[[#This Row],[USD_Spend]]</f>
        <v>2.4993772230661291</v>
      </c>
    </row>
    <row r="204" spans="1:9" x14ac:dyDescent="0.35">
      <c r="A204" s="3" t="s">
        <v>118</v>
      </c>
      <c r="B204" s="15">
        <v>35172.69</v>
      </c>
      <c r="C204" s="1" t="str">
        <f>IF(OR(Table14[[#This Row],[USD_Spend]]&gt;($B$4+1.5*$B$8),Table14[[#This Row],[USD_Spend]]&lt;($B$6-1.5*$B$8)),"Outlier","Normal")</f>
        <v>Normal</v>
      </c>
      <c r="D204" s="1">
        <v>152371</v>
      </c>
      <c r="E204" s="1">
        <v>5648</v>
      </c>
      <c r="F204" s="15">
        <v>38618.97</v>
      </c>
      <c r="G204" s="15" t="str">
        <f>IF(OR(Table14[[#This Row],[Sales]]&gt;($B$5+1.5*$B$9),Table14[[#This Row],[Sales]]&lt;($B$7-1.5*$B$9)),"Outlier","Normal")</f>
        <v>Normal</v>
      </c>
      <c r="H204" s="22"/>
      <c r="I204" s="22">
        <f>Table1[[#This Row],[Sales]]/Table1[[#This Row],[USD_Spend]]</f>
        <v>7.0444754710169937</v>
      </c>
    </row>
    <row r="205" spans="1:9" x14ac:dyDescent="0.35">
      <c r="A205" s="3" t="s">
        <v>115</v>
      </c>
      <c r="B205" s="15">
        <v>10526.83</v>
      </c>
      <c r="C205" s="1" t="str">
        <f>IF(OR(Table14[[#This Row],[USD_Spend]]&gt;($B$4+1.5*$B$8),Table14[[#This Row],[USD_Spend]]&lt;($B$6-1.5*$B$8)),"Outlier","Normal")</f>
        <v>Normal</v>
      </c>
      <c r="D205" s="1">
        <v>781037</v>
      </c>
      <c r="E205" s="1">
        <v>42779</v>
      </c>
      <c r="F205" s="15">
        <v>7237.47</v>
      </c>
      <c r="G205" s="15" t="str">
        <f>IF(OR(Table14[[#This Row],[Sales]]&gt;($B$5+1.5*$B$9),Table14[[#This Row],[Sales]]&lt;($B$7-1.5*$B$9)),"Outlier","Normal")</f>
        <v>Normal</v>
      </c>
      <c r="H205" s="22"/>
      <c r="I205" s="22">
        <f>Table1[[#This Row],[Sales]]/Table1[[#This Row],[USD_Spend]]</f>
        <v>5.2611194601531128</v>
      </c>
    </row>
    <row r="206" spans="1:9" x14ac:dyDescent="0.35">
      <c r="A206" s="3" t="s">
        <v>57</v>
      </c>
      <c r="B206" s="15">
        <v>2723.03</v>
      </c>
      <c r="C206" s="1" t="str">
        <f>IF(OR(Table14[[#This Row],[USD_Spend]]&gt;($B$4+1.5*$B$8),Table14[[#This Row],[USD_Spend]]&lt;($B$6-1.5*$B$8)),"Outlier","Normal")</f>
        <v>Normal</v>
      </c>
      <c r="D206" s="1">
        <v>814819</v>
      </c>
      <c r="E206" s="1">
        <v>25332</v>
      </c>
      <c r="F206" s="15">
        <v>91389.15</v>
      </c>
      <c r="G206" s="15" t="str">
        <f>IF(OR(Table14[[#This Row],[Sales]]&gt;($B$5+1.5*$B$9),Table14[[#This Row],[Sales]]&lt;($B$7-1.5*$B$9)),"Outlier","Normal")</f>
        <v>Normal</v>
      </c>
      <c r="H206" s="22"/>
      <c r="I206" s="22">
        <f>Table1[[#This Row],[Sales]]/Table1[[#This Row],[USD_Spend]]</f>
        <v>13.699108925784296</v>
      </c>
    </row>
    <row r="207" spans="1:9" x14ac:dyDescent="0.35">
      <c r="A207" s="3" t="s">
        <v>47</v>
      </c>
      <c r="B207" s="15">
        <v>12775.41</v>
      </c>
      <c r="C207" s="1" t="str">
        <f>IF(OR(Table14[[#This Row],[USD_Spend]]&gt;($B$4+1.5*$B$8),Table14[[#This Row],[USD_Spend]]&lt;($B$6-1.5*$B$8)),"Outlier","Normal")</f>
        <v>Normal</v>
      </c>
      <c r="D207" s="1">
        <v>617913</v>
      </c>
      <c r="E207" s="1">
        <v>22895</v>
      </c>
      <c r="F207" s="15">
        <v>91289.8</v>
      </c>
      <c r="G207" s="15" t="str">
        <f>IF(OR(Table14[[#This Row],[Sales]]&gt;($B$5+1.5*$B$9),Table14[[#This Row],[Sales]]&lt;($B$7-1.5*$B$9)),"Outlier","Normal")</f>
        <v>Normal</v>
      </c>
      <c r="H207" s="22"/>
      <c r="I207" s="22">
        <f>Table1[[#This Row],[Sales]]/Table1[[#This Row],[USD_Spend]]</f>
        <v>3.7902787946068983</v>
      </c>
    </row>
    <row r="208" spans="1:9" x14ac:dyDescent="0.35">
      <c r="A208" s="3" t="s">
        <v>79</v>
      </c>
      <c r="B208" s="15">
        <v>32375.7</v>
      </c>
      <c r="C208" s="1" t="str">
        <f>IF(OR(Table14[[#This Row],[USD_Spend]]&gt;($B$4+1.5*$B$8),Table14[[#This Row],[USD_Spend]]&lt;($B$6-1.5*$B$8)),"Outlier","Normal")</f>
        <v>Normal</v>
      </c>
      <c r="D208" s="1">
        <v>747114</v>
      </c>
      <c r="E208" s="1">
        <v>2350</v>
      </c>
      <c r="F208" s="15">
        <v>151725.68</v>
      </c>
      <c r="G208" s="15" t="str">
        <f>IF(OR(Table14[[#This Row],[Sales]]&gt;($B$5+1.5*$B$9),Table14[[#This Row],[Sales]]&lt;($B$7-1.5*$B$9)),"Outlier","Normal")</f>
        <v>Normal</v>
      </c>
      <c r="H208" s="22"/>
      <c r="I208" s="22">
        <f>Table1[[#This Row],[Sales]]/Table1[[#This Row],[USD_Spend]]</f>
        <v>77.509547094188378</v>
      </c>
    </row>
    <row r="209" spans="1:9" x14ac:dyDescent="0.35">
      <c r="A209" s="3" t="s">
        <v>57</v>
      </c>
      <c r="B209" s="15">
        <v>1263.53</v>
      </c>
      <c r="C209" s="1" t="str">
        <f>IF(OR(Table14[[#This Row],[USD_Spend]]&gt;($B$4+1.5*$B$8),Table14[[#This Row],[USD_Spend]]&lt;($B$6-1.5*$B$8)),"Outlier","Normal")</f>
        <v>Normal</v>
      </c>
      <c r="D209" s="1">
        <v>204015</v>
      </c>
      <c r="E209" s="1">
        <v>11641</v>
      </c>
      <c r="F209" s="15">
        <v>51270.68</v>
      </c>
      <c r="G209" s="15" t="str">
        <f>IF(OR(Table14[[#This Row],[Sales]]&gt;($B$5+1.5*$B$9),Table14[[#This Row],[Sales]]&lt;($B$7-1.5*$B$9)),"Outlier","Normal")</f>
        <v>Normal</v>
      </c>
      <c r="H209" s="22"/>
      <c r="I209" s="22">
        <f>Table1[[#This Row],[Sales]]/Table1[[#This Row],[USD_Spend]]</f>
        <v>92.974498937455721</v>
      </c>
    </row>
    <row r="210" spans="1:9" x14ac:dyDescent="0.35">
      <c r="A210" s="3" t="s">
        <v>67</v>
      </c>
      <c r="B210" s="15">
        <v>34133.64</v>
      </c>
      <c r="C210" s="1" t="str">
        <f>IF(OR(Table14[[#This Row],[USD_Spend]]&gt;($B$4+1.5*$B$8),Table14[[#This Row],[USD_Spend]]&lt;($B$6-1.5*$B$8)),"Outlier","Normal")</f>
        <v>Normal</v>
      </c>
      <c r="D210" s="1">
        <v>158513</v>
      </c>
      <c r="E210" s="1">
        <v>23509</v>
      </c>
      <c r="F210" s="15">
        <v>126968.9</v>
      </c>
      <c r="G210" s="15" t="str">
        <f>IF(OR(Table14[[#This Row],[Sales]]&gt;($B$5+1.5*$B$9),Table14[[#This Row],[Sales]]&lt;($B$7-1.5*$B$9)),"Outlier","Normal")</f>
        <v>Normal</v>
      </c>
      <c r="H210" s="22"/>
      <c r="I210" s="22">
        <f>Table1[[#This Row],[Sales]]/Table1[[#This Row],[USD_Spend]]</f>
        <v>26.662528119559475</v>
      </c>
    </row>
    <row r="211" spans="1:9" x14ac:dyDescent="0.35">
      <c r="A211" s="3" t="s">
        <v>96</v>
      </c>
      <c r="B211" s="15">
        <v>10620.01</v>
      </c>
      <c r="C211" s="1" t="str">
        <f>IF(OR(Table14[[#This Row],[USD_Spend]]&gt;($B$4+1.5*$B$8),Table14[[#This Row],[USD_Spend]]&lt;($B$6-1.5*$B$8)),"Outlier","Normal")</f>
        <v>Normal</v>
      </c>
      <c r="D211" s="1">
        <v>270247</v>
      </c>
      <c r="E211" s="1">
        <v>7862</v>
      </c>
      <c r="F211" s="15">
        <v>141727.89000000001</v>
      </c>
      <c r="G211" s="15" t="str">
        <f>IF(OR(Table14[[#This Row],[Sales]]&gt;($B$5+1.5*$B$9),Table14[[#This Row],[Sales]]&lt;($B$7-1.5*$B$9)),"Outlier","Normal")</f>
        <v>Normal</v>
      </c>
      <c r="H211" s="22"/>
      <c r="I211" s="22">
        <f>Table1[[#This Row],[Sales]]/Table1[[#This Row],[USD_Spend]]</f>
        <v>122.08568072633383</v>
      </c>
    </row>
    <row r="212" spans="1:9" x14ac:dyDescent="0.35">
      <c r="A212" s="3" t="s">
        <v>85</v>
      </c>
      <c r="B212" s="15">
        <v>26124.51</v>
      </c>
      <c r="C212" s="1" t="str">
        <f>IF(OR(Table14[[#This Row],[USD_Spend]]&gt;($B$4+1.5*$B$8),Table14[[#This Row],[USD_Spend]]&lt;($B$6-1.5*$B$8)),"Outlier","Normal")</f>
        <v>Normal</v>
      </c>
      <c r="D212" s="1">
        <v>310947</v>
      </c>
      <c r="E212" s="1">
        <v>22931</v>
      </c>
      <c r="F212" s="15">
        <v>219473.53</v>
      </c>
      <c r="G212" s="15" t="str">
        <f>IF(OR(Table14[[#This Row],[Sales]]&gt;($B$5+1.5*$B$9),Table14[[#This Row],[Sales]]&lt;($B$7-1.5*$B$9)),"Outlier","Normal")</f>
        <v>Normal</v>
      </c>
      <c r="H212" s="22"/>
      <c r="I212" s="22">
        <f>Table1[[#This Row],[Sales]]/Table1[[#This Row],[USD_Spend]]</f>
        <v>3.1627371810541756</v>
      </c>
    </row>
    <row r="213" spans="1:9" x14ac:dyDescent="0.35">
      <c r="A213" s="3" t="s">
        <v>88</v>
      </c>
      <c r="B213" s="15">
        <v>41612.01</v>
      </c>
      <c r="C213" s="1" t="str">
        <f>IF(OR(Table14[[#This Row],[USD_Spend]]&gt;($B$4+1.5*$B$8),Table14[[#This Row],[USD_Spend]]&lt;($B$6-1.5*$B$8)),"Outlier","Normal")</f>
        <v>Normal</v>
      </c>
      <c r="D213" s="1">
        <v>854554</v>
      </c>
      <c r="E213" s="1">
        <v>39423</v>
      </c>
      <c r="F213" s="15">
        <v>104004.11</v>
      </c>
      <c r="G213" s="15" t="str">
        <f>IF(OR(Table14[[#This Row],[Sales]]&gt;($B$5+1.5*$B$9),Table14[[#This Row],[Sales]]&lt;($B$7-1.5*$B$9)),"Outlier","Normal")</f>
        <v>Normal</v>
      </c>
      <c r="H213" s="22"/>
      <c r="I213" s="22">
        <f>Table1[[#This Row],[Sales]]/Table1[[#This Row],[USD_Spend]]</f>
        <v>4.1684446726858297</v>
      </c>
    </row>
    <row r="214" spans="1:9" x14ac:dyDescent="0.35">
      <c r="A214" s="3" t="s">
        <v>18</v>
      </c>
      <c r="B214" s="15">
        <v>28255.35</v>
      </c>
      <c r="C214" s="1" t="str">
        <f>IF(OR(Table14[[#This Row],[USD_Spend]]&gt;($B$4+1.5*$B$8),Table14[[#This Row],[USD_Spend]]&lt;($B$6-1.5*$B$8)),"Outlier","Normal")</f>
        <v>Normal</v>
      </c>
      <c r="D214" s="1">
        <v>341777</v>
      </c>
      <c r="E214" s="1">
        <v>7545</v>
      </c>
      <c r="F214" s="15">
        <v>199044.12</v>
      </c>
      <c r="G214" s="15" t="str">
        <f>IF(OR(Table14[[#This Row],[Sales]]&gt;($B$5+1.5*$B$9),Table14[[#This Row],[Sales]]&lt;($B$7-1.5*$B$9)),"Outlier","Normal")</f>
        <v>Normal</v>
      </c>
      <c r="H214" s="22"/>
      <c r="I214" s="22">
        <f>Table1[[#This Row],[Sales]]/Table1[[#This Row],[USD_Spend]]</f>
        <v>10.756205433220838</v>
      </c>
    </row>
    <row r="215" spans="1:9" x14ac:dyDescent="0.35">
      <c r="A215" s="3" t="s">
        <v>90</v>
      </c>
      <c r="B215" s="15">
        <v>40989.4</v>
      </c>
      <c r="C215" s="1" t="str">
        <f>IF(OR(Table14[[#This Row],[USD_Spend]]&gt;($B$4+1.5*$B$8),Table14[[#This Row],[USD_Spend]]&lt;($B$6-1.5*$B$8)),"Outlier","Normal")</f>
        <v>Normal</v>
      </c>
      <c r="D215" s="1">
        <v>504392</v>
      </c>
      <c r="E215" s="1">
        <v>1386</v>
      </c>
      <c r="F215" s="15">
        <v>215650.13</v>
      </c>
      <c r="G215" s="15" t="str">
        <f>IF(OR(Table14[[#This Row],[Sales]]&gt;($B$5+1.5*$B$9),Table14[[#This Row],[Sales]]&lt;($B$7-1.5*$B$9)),"Outlier","Normal")</f>
        <v>Normal</v>
      </c>
      <c r="H215" s="22"/>
      <c r="I215" s="22">
        <f>Table1[[#This Row],[Sales]]/Table1[[#This Row],[USD_Spend]]</f>
        <v>139.79700987098397</v>
      </c>
    </row>
    <row r="216" spans="1:9" x14ac:dyDescent="0.35">
      <c r="A216" s="3" t="s">
        <v>50</v>
      </c>
      <c r="B216" s="15">
        <v>7246.31</v>
      </c>
      <c r="C216" s="1" t="str">
        <f>IF(OR(Table14[[#This Row],[USD_Spend]]&gt;($B$4+1.5*$B$8),Table14[[#This Row],[USD_Spend]]&lt;($B$6-1.5*$B$8)),"Outlier","Normal")</f>
        <v>Normal</v>
      </c>
      <c r="D216" s="1">
        <v>635380</v>
      </c>
      <c r="E216" s="1">
        <v>4263</v>
      </c>
      <c r="F216" s="15">
        <v>99267.99</v>
      </c>
      <c r="G216" s="15" t="str">
        <f>IF(OR(Table14[[#This Row],[Sales]]&gt;($B$5+1.5*$B$9),Table14[[#This Row],[Sales]]&lt;($B$7-1.5*$B$9)),"Outlier","Normal")</f>
        <v>Normal</v>
      </c>
      <c r="H216" s="22"/>
      <c r="I216" s="22">
        <f>Table1[[#This Row],[Sales]]/Table1[[#This Row],[USD_Spend]]</f>
        <v>17.723613170216623</v>
      </c>
    </row>
    <row r="217" spans="1:9" x14ac:dyDescent="0.35">
      <c r="A217" s="3" t="s">
        <v>34</v>
      </c>
      <c r="B217" s="15">
        <v>25077.96</v>
      </c>
      <c r="C217" s="1" t="str">
        <f>IF(OR(Table14[[#This Row],[USD_Spend]]&gt;($B$4+1.5*$B$8),Table14[[#This Row],[USD_Spend]]&lt;($B$6-1.5*$B$8)),"Outlier","Normal")</f>
        <v>Normal</v>
      </c>
      <c r="D217" s="1">
        <v>377121</v>
      </c>
      <c r="E217" s="1">
        <v>36555</v>
      </c>
      <c r="F217" s="15">
        <v>95052.46</v>
      </c>
      <c r="G217" s="15" t="str">
        <f>IF(OR(Table14[[#This Row],[Sales]]&gt;($B$5+1.5*$B$9),Table14[[#This Row],[Sales]]&lt;($B$7-1.5*$B$9)),"Outlier","Normal")</f>
        <v>Normal</v>
      </c>
      <c r="H217" s="22"/>
      <c r="I217" s="22">
        <f>Table1[[#This Row],[Sales]]/Table1[[#This Row],[USD_Spend]]</f>
        <v>11.017309499639078</v>
      </c>
    </row>
    <row r="218" spans="1:9" x14ac:dyDescent="0.35">
      <c r="A218" s="3" t="s">
        <v>75</v>
      </c>
      <c r="B218" s="15">
        <v>1247.5</v>
      </c>
      <c r="C218" s="1" t="str">
        <f>IF(OR(Table14[[#This Row],[USD_Spend]]&gt;($B$4+1.5*$B$8),Table14[[#This Row],[USD_Spend]]&lt;($B$6-1.5*$B$8)),"Outlier","Normal")</f>
        <v>Normal</v>
      </c>
      <c r="D218" s="1">
        <v>775847</v>
      </c>
      <c r="E218" s="1">
        <v>47636</v>
      </c>
      <c r="F218" s="15">
        <v>96693.16</v>
      </c>
      <c r="G218" s="15" t="str">
        <f>IF(OR(Table14[[#This Row],[Sales]]&gt;($B$5+1.5*$B$9),Table14[[#This Row],[Sales]]&lt;($B$7-1.5*$B$9)),"Outlier","Normal")</f>
        <v>Normal</v>
      </c>
      <c r="H218" s="22"/>
      <c r="I218" s="22">
        <f>Table1[[#This Row],[Sales]]/Table1[[#This Row],[USD_Spend]]</f>
        <v>2.2714271411559706</v>
      </c>
    </row>
    <row r="219" spans="1:9" x14ac:dyDescent="0.35">
      <c r="A219" s="3" t="s">
        <v>117</v>
      </c>
      <c r="B219" s="15">
        <v>959.96</v>
      </c>
      <c r="C219" s="1" t="str">
        <f>IF(OR(Table14[[#This Row],[USD_Spend]]&gt;($B$4+1.5*$B$8),Table14[[#This Row],[USD_Spend]]&lt;($B$6-1.5*$B$8)),"Outlier","Normal")</f>
        <v>Normal</v>
      </c>
      <c r="D219" s="1">
        <v>805128</v>
      </c>
      <c r="E219" s="1">
        <v>9032</v>
      </c>
      <c r="F219" s="15">
        <v>89251.8</v>
      </c>
      <c r="G219" s="15" t="str">
        <f>IF(OR(Table14[[#This Row],[Sales]]&gt;($B$5+1.5*$B$9),Table14[[#This Row],[Sales]]&lt;($B$7-1.5*$B$9)),"Outlier","Normal")</f>
        <v>Normal</v>
      </c>
      <c r="H219" s="22"/>
      <c r="I219" s="22">
        <f>Table1[[#This Row],[Sales]]/Table1[[#This Row],[USD_Spend]]</f>
        <v>39.647888545056816</v>
      </c>
    </row>
    <row r="220" spans="1:9" x14ac:dyDescent="0.35">
      <c r="A220" s="3" t="s">
        <v>95</v>
      </c>
      <c r="B220" s="15">
        <v>5112.1000000000004</v>
      </c>
      <c r="C220" s="1" t="str">
        <f>IF(OR(Table14[[#This Row],[USD_Spend]]&gt;($B$4+1.5*$B$8),Table14[[#This Row],[USD_Spend]]&lt;($B$6-1.5*$B$8)),"Outlier","Normal")</f>
        <v>Normal</v>
      </c>
      <c r="D220" s="1">
        <v>436259</v>
      </c>
      <c r="E220" s="1">
        <v>8012</v>
      </c>
      <c r="F220" s="15">
        <v>136301.51</v>
      </c>
      <c r="G220" s="15" t="str">
        <f>IF(OR(Table14[[#This Row],[Sales]]&gt;($B$5+1.5*$B$9),Table14[[#This Row],[Sales]]&lt;($B$7-1.5*$B$9)),"Outlier","Normal")</f>
        <v>Normal</v>
      </c>
      <c r="H220" s="22"/>
      <c r="I220" s="22">
        <f>Table1[[#This Row],[Sales]]/Table1[[#This Row],[USD_Spend]]</f>
        <v>2.3647846179285379</v>
      </c>
    </row>
    <row r="221" spans="1:9" x14ac:dyDescent="0.35">
      <c r="A221" s="3" t="s">
        <v>50</v>
      </c>
      <c r="B221" s="15">
        <v>945.02</v>
      </c>
      <c r="C221" s="1" t="str">
        <f>IF(OR(Table14[[#This Row],[USD_Spend]]&gt;($B$4+1.5*$B$8),Table14[[#This Row],[USD_Spend]]&lt;($B$6-1.5*$B$8)),"Outlier","Normal")</f>
        <v>Normal</v>
      </c>
      <c r="D221" s="1">
        <v>12805</v>
      </c>
      <c r="E221" s="1">
        <v>26872</v>
      </c>
      <c r="F221" s="15">
        <v>115373.41</v>
      </c>
      <c r="G221" s="15" t="str">
        <f>IF(OR(Table14[[#This Row],[Sales]]&gt;($B$5+1.5*$B$9),Table14[[#This Row],[Sales]]&lt;($B$7-1.5*$B$9)),"Outlier","Normal")</f>
        <v>Normal</v>
      </c>
      <c r="H221" s="22"/>
      <c r="I221" s="22">
        <f>Table1[[#This Row],[Sales]]/Table1[[#This Row],[USD_Spend]]</f>
        <v>1.0030123851683097</v>
      </c>
    </row>
    <row r="222" spans="1:9" x14ac:dyDescent="0.35">
      <c r="A222" s="3" t="s">
        <v>50</v>
      </c>
      <c r="B222" s="15">
        <v>3558.99</v>
      </c>
      <c r="C222" s="1" t="str">
        <f>IF(OR(Table14[[#This Row],[USD_Spend]]&gt;($B$4+1.5*$B$8),Table14[[#This Row],[USD_Spend]]&lt;($B$6-1.5*$B$8)),"Outlier","Normal")</f>
        <v>Normal</v>
      </c>
      <c r="D222" s="1">
        <v>966167</v>
      </c>
      <c r="E222" s="1">
        <v>38846</v>
      </c>
      <c r="F222" s="15">
        <v>11256.15</v>
      </c>
      <c r="G222" s="15" t="str">
        <f>IF(OR(Table14[[#This Row],[Sales]]&gt;($B$5+1.5*$B$9),Table14[[#This Row],[Sales]]&lt;($B$7-1.5*$B$9)),"Outlier","Normal")</f>
        <v>Normal</v>
      </c>
      <c r="H222" s="22"/>
      <c r="I222" s="22">
        <f>Table1[[#This Row],[Sales]]/Table1[[#This Row],[USD_Spend]]</f>
        <v>72.269784891446605</v>
      </c>
    </row>
    <row r="223" spans="1:9" x14ac:dyDescent="0.35">
      <c r="A223" s="3" t="s">
        <v>118</v>
      </c>
      <c r="B223" s="15">
        <v>11858.79</v>
      </c>
      <c r="C223" s="1" t="str">
        <f>IF(OR(Table14[[#This Row],[USD_Spend]]&gt;($B$4+1.5*$B$8),Table14[[#This Row],[USD_Spend]]&lt;($B$6-1.5*$B$8)),"Outlier","Normal")</f>
        <v>Normal</v>
      </c>
      <c r="D223" s="1">
        <v>213765</v>
      </c>
      <c r="E223" s="1">
        <v>7611</v>
      </c>
      <c r="F223" s="15">
        <v>49432.71</v>
      </c>
      <c r="G223" s="15" t="str">
        <f>IF(OR(Table14[[#This Row],[Sales]]&gt;($B$5+1.5*$B$9),Table14[[#This Row],[Sales]]&lt;($B$7-1.5*$B$9)),"Outlier","Normal")</f>
        <v>Normal</v>
      </c>
      <c r="H223" s="22"/>
      <c r="I223" s="22">
        <f>Table1[[#This Row],[Sales]]/Table1[[#This Row],[USD_Spend]]</f>
        <v>330.75756865044463</v>
      </c>
    </row>
    <row r="224" spans="1:9" x14ac:dyDescent="0.35">
      <c r="A224" s="3" t="s">
        <v>115</v>
      </c>
      <c r="B224" s="15">
        <v>7481.75</v>
      </c>
      <c r="C224" s="1" t="str">
        <f>IF(OR(Table14[[#This Row],[USD_Spend]]&gt;($B$4+1.5*$B$8),Table14[[#This Row],[USD_Spend]]&lt;($B$6-1.5*$B$8)),"Outlier","Normal")</f>
        <v>Normal</v>
      </c>
      <c r="D224" s="1">
        <v>63802</v>
      </c>
      <c r="E224" s="1">
        <v>27597</v>
      </c>
      <c r="F224" s="15">
        <v>80475.240000000005</v>
      </c>
      <c r="G224" s="15" t="str">
        <f>IF(OR(Table14[[#This Row],[Sales]]&gt;($B$5+1.5*$B$9),Table14[[#This Row],[Sales]]&lt;($B$7-1.5*$B$9)),"Outlier","Normal")</f>
        <v>Normal</v>
      </c>
      <c r="H224" s="22"/>
      <c r="I224" s="22">
        <f>Table1[[#This Row],[Sales]]/Table1[[#This Row],[USD_Spend]]</f>
        <v>5.0958645927975921</v>
      </c>
    </row>
    <row r="225" spans="1:9" x14ac:dyDescent="0.35">
      <c r="A225" s="3" t="s">
        <v>114</v>
      </c>
      <c r="B225" s="15">
        <v>1630.03</v>
      </c>
      <c r="C225" s="1" t="str">
        <f>IF(OR(Table14[[#This Row],[USD_Spend]]&gt;($B$4+1.5*$B$8),Table14[[#This Row],[USD_Spend]]&lt;($B$6-1.5*$B$8)),"Outlier","Normal")</f>
        <v>Normal</v>
      </c>
      <c r="D225" s="1">
        <v>21510</v>
      </c>
      <c r="E225" s="1">
        <v>49679</v>
      </c>
      <c r="F225" s="15">
        <v>227873.32</v>
      </c>
      <c r="G225" s="15" t="str">
        <f>IF(OR(Table14[[#This Row],[Sales]]&gt;($B$5+1.5*$B$9),Table14[[#This Row],[Sales]]&lt;($B$7-1.5*$B$9)),"Outlier","Normal")</f>
        <v>Normal</v>
      </c>
      <c r="H225" s="22"/>
      <c r="I225" s="22">
        <f>Table1[[#This Row],[Sales]]/Table1[[#This Row],[USD_Spend]]</f>
        <v>16.366221527831357</v>
      </c>
    </row>
    <row r="226" spans="1:9" x14ac:dyDescent="0.35">
      <c r="A226" s="3" t="s">
        <v>94</v>
      </c>
      <c r="B226" s="15">
        <v>4687.8500000000004</v>
      </c>
      <c r="C226" s="1" t="str">
        <f>IF(OR(Table14[[#This Row],[USD_Spend]]&gt;($B$4+1.5*$B$8),Table14[[#This Row],[USD_Spend]]&lt;($B$6-1.5*$B$8)),"Outlier","Normal")</f>
        <v>Normal</v>
      </c>
      <c r="D226" s="1">
        <v>319234</v>
      </c>
      <c r="E226" s="1">
        <v>1415</v>
      </c>
      <c r="F226" s="15">
        <v>83085.64</v>
      </c>
      <c r="G226" s="15" t="str">
        <f>IF(OR(Table14[[#This Row],[Sales]]&gt;($B$5+1.5*$B$9),Table14[[#This Row],[Sales]]&lt;($B$7-1.5*$B$9)),"Outlier","Normal")</f>
        <v>Normal</v>
      </c>
      <c r="H226" s="22"/>
      <c r="I226" s="22">
        <f>Table1[[#This Row],[Sales]]/Table1[[#This Row],[USD_Spend]]</f>
        <v>1.005591827242148</v>
      </c>
    </row>
    <row r="227" spans="1:9" x14ac:dyDescent="0.35">
      <c r="A227" s="3" t="s">
        <v>50</v>
      </c>
      <c r="B227" s="15">
        <v>14864.67</v>
      </c>
      <c r="C227" s="1" t="str">
        <f>IF(OR(Table14[[#This Row],[USD_Spend]]&gt;($B$4+1.5*$B$8),Table14[[#This Row],[USD_Spend]]&lt;($B$6-1.5*$B$8)),"Outlier","Normal")</f>
        <v>Normal</v>
      </c>
      <c r="D227" s="1">
        <v>745911</v>
      </c>
      <c r="E227" s="1">
        <v>44896</v>
      </c>
      <c r="F227" s="15">
        <v>163768.67000000001</v>
      </c>
      <c r="G227" s="15" t="str">
        <f>IF(OR(Table14[[#This Row],[Sales]]&gt;($B$5+1.5*$B$9),Table14[[#This Row],[Sales]]&lt;($B$7-1.5*$B$9)),"Outlier","Normal")</f>
        <v>Normal</v>
      </c>
      <c r="H227" s="22"/>
      <c r="I227" s="22">
        <f>Table1[[#This Row],[Sales]]/Table1[[#This Row],[USD_Spend]]</f>
        <v>5.132829687383607</v>
      </c>
    </row>
    <row r="228" spans="1:9" x14ac:dyDescent="0.35">
      <c r="A228" s="3" t="s">
        <v>111</v>
      </c>
      <c r="B228" s="15">
        <v>30164.080000000002</v>
      </c>
      <c r="C228" s="1" t="str">
        <f>IF(OR(Table14[[#This Row],[USD_Spend]]&gt;($B$4+1.5*$B$8),Table14[[#This Row],[USD_Spend]]&lt;($B$6-1.5*$B$8)),"Outlier","Normal")</f>
        <v>Normal</v>
      </c>
      <c r="D228" s="1">
        <v>831021</v>
      </c>
      <c r="E228" s="1">
        <v>47336</v>
      </c>
      <c r="F228" s="15">
        <v>68515.509999999995</v>
      </c>
      <c r="G228" s="15" t="str">
        <f>IF(OR(Table14[[#This Row],[Sales]]&gt;($B$5+1.5*$B$9),Table14[[#This Row],[Sales]]&lt;($B$7-1.5*$B$9)),"Outlier","Normal")</f>
        <v>Normal</v>
      </c>
      <c r="H228" s="22"/>
      <c r="I228" s="22">
        <f>Table1[[#This Row],[Sales]]/Table1[[#This Row],[USD_Spend]]</f>
        <v>1.7029080114280988</v>
      </c>
    </row>
    <row r="229" spans="1:9" x14ac:dyDescent="0.35">
      <c r="A229" s="3" t="s">
        <v>62</v>
      </c>
      <c r="B229" s="15">
        <v>5997.76</v>
      </c>
      <c r="C229" s="1" t="str">
        <f>IF(OR(Table14[[#This Row],[USD_Spend]]&gt;($B$4+1.5*$B$8),Table14[[#This Row],[USD_Spend]]&lt;($B$6-1.5*$B$8)),"Outlier","Normal")</f>
        <v>Normal</v>
      </c>
      <c r="D229" s="1">
        <v>25743</v>
      </c>
      <c r="E229" s="1">
        <v>17785</v>
      </c>
      <c r="F229" s="15">
        <v>237798.52</v>
      </c>
      <c r="G229" s="15" t="str">
        <f>IF(OR(Table14[[#This Row],[Sales]]&gt;($B$5+1.5*$B$9),Table14[[#This Row],[Sales]]&lt;($B$7-1.5*$B$9)),"Outlier","Normal")</f>
        <v>Normal</v>
      </c>
      <c r="H229" s="22"/>
      <c r="I229" s="22">
        <f>Table1[[#This Row],[Sales]]/Table1[[#This Row],[USD_Spend]]</f>
        <v>2.1367507711869416</v>
      </c>
    </row>
    <row r="230" spans="1:9" x14ac:dyDescent="0.35">
      <c r="A230" s="3" t="s">
        <v>117</v>
      </c>
      <c r="B230" s="15">
        <v>20682.78</v>
      </c>
      <c r="C230" s="1" t="str">
        <f>IF(OR(Table14[[#This Row],[USD_Spend]]&gt;($B$4+1.5*$B$8),Table14[[#This Row],[USD_Spend]]&lt;($B$6-1.5*$B$8)),"Outlier","Normal")</f>
        <v>Normal</v>
      </c>
      <c r="D230" s="1">
        <v>343120</v>
      </c>
      <c r="E230" s="1">
        <v>27382</v>
      </c>
      <c r="F230" s="15">
        <v>48910.32</v>
      </c>
      <c r="G230" s="15" t="str">
        <f>IF(OR(Table14[[#This Row],[Sales]]&gt;($B$5+1.5*$B$9),Table14[[#This Row],[Sales]]&lt;($B$7-1.5*$B$9)),"Outlier","Normal")</f>
        <v>Normal</v>
      </c>
      <c r="H230" s="22"/>
      <c r="I230" s="22">
        <f>Table1[[#This Row],[Sales]]/Table1[[#This Row],[USD_Spend]]</f>
        <v>0.81756250964132893</v>
      </c>
    </row>
    <row r="231" spans="1:9" x14ac:dyDescent="0.35">
      <c r="A231" s="3" t="s">
        <v>98</v>
      </c>
      <c r="B231" s="15">
        <v>31463.439999999999</v>
      </c>
      <c r="C231" s="1" t="str">
        <f>IF(OR(Table14[[#This Row],[USD_Spend]]&gt;($B$4+1.5*$B$8),Table14[[#This Row],[USD_Spend]]&lt;($B$6-1.5*$B$8)),"Outlier","Normal")</f>
        <v>Normal</v>
      </c>
      <c r="D231" s="1">
        <v>214189</v>
      </c>
      <c r="E231" s="1">
        <v>17789</v>
      </c>
      <c r="F231" s="15">
        <v>31558.22</v>
      </c>
      <c r="G231" s="15" t="str">
        <f>IF(OR(Table14[[#This Row],[Sales]]&gt;($B$5+1.5*$B$9),Table14[[#This Row],[Sales]]&lt;($B$7-1.5*$B$9)),"Outlier","Normal")</f>
        <v>Normal</v>
      </c>
      <c r="H231" s="22"/>
      <c r="I231" s="22">
        <f>Table1[[#This Row],[Sales]]/Table1[[#This Row],[USD_Spend]]</f>
        <v>1.6990831477898278</v>
      </c>
    </row>
    <row r="232" spans="1:9" x14ac:dyDescent="0.35">
      <c r="A232" s="3" t="s">
        <v>27</v>
      </c>
      <c r="B232" s="15">
        <v>2001.78</v>
      </c>
      <c r="C232" s="1" t="str">
        <f>IF(OR(Table14[[#This Row],[USD_Spend]]&gt;($B$4+1.5*$B$8),Table14[[#This Row],[USD_Spend]]&lt;($B$6-1.5*$B$8)),"Outlier","Normal")</f>
        <v>Normal</v>
      </c>
      <c r="D232" s="1">
        <v>226995</v>
      </c>
      <c r="E232" s="1">
        <v>3990</v>
      </c>
      <c r="F232" s="15">
        <v>144668.21</v>
      </c>
      <c r="G232" s="15" t="str">
        <f>IF(OR(Table14[[#This Row],[Sales]]&gt;($B$5+1.5*$B$9),Table14[[#This Row],[Sales]]&lt;($B$7-1.5*$B$9)),"Outlier","Normal")</f>
        <v>Normal</v>
      </c>
      <c r="H232" s="22"/>
      <c r="I232" s="22">
        <f>Table1[[#This Row],[Sales]]/Table1[[#This Row],[USD_Spend]]</f>
        <v>0.72306548476308641</v>
      </c>
    </row>
    <row r="233" spans="1:9" x14ac:dyDescent="0.35">
      <c r="A233" s="3" t="s">
        <v>95</v>
      </c>
      <c r="B233" s="15">
        <v>511.65</v>
      </c>
      <c r="C233" s="1" t="str">
        <f>IF(OR(Table14[[#This Row],[USD_Spend]]&gt;($B$4+1.5*$B$8),Table14[[#This Row],[USD_Spend]]&lt;($B$6-1.5*$B$8)),"Outlier","Normal")</f>
        <v>Normal</v>
      </c>
      <c r="D233" s="1">
        <v>78652</v>
      </c>
      <c r="E233" s="1">
        <v>13913</v>
      </c>
      <c r="F233" s="15">
        <v>169232.11</v>
      </c>
      <c r="G233" s="15" t="str">
        <f>IF(OR(Table14[[#This Row],[Sales]]&gt;($B$5+1.5*$B$9),Table14[[#This Row],[Sales]]&lt;($B$7-1.5*$B$9)),"Outlier","Normal")</f>
        <v>Normal</v>
      </c>
      <c r="H233" s="22"/>
      <c r="I233" s="22">
        <f>Table1[[#This Row],[Sales]]/Table1[[#This Row],[USD_Spend]]</f>
        <v>2.6910604783296574</v>
      </c>
    </row>
    <row r="234" spans="1:9" x14ac:dyDescent="0.35">
      <c r="A234" s="3" t="s">
        <v>68</v>
      </c>
      <c r="B234" s="15">
        <v>19382.13</v>
      </c>
      <c r="C234" s="1" t="str">
        <f>IF(OR(Table14[[#This Row],[USD_Spend]]&gt;($B$4+1.5*$B$8),Table14[[#This Row],[USD_Spend]]&lt;($B$6-1.5*$B$8)),"Outlier","Normal")</f>
        <v>Normal</v>
      </c>
      <c r="D234" s="1">
        <v>530226</v>
      </c>
      <c r="E234" s="1">
        <v>2032</v>
      </c>
      <c r="F234" s="15">
        <v>98768.71</v>
      </c>
      <c r="G234" s="15" t="str">
        <f>IF(OR(Table14[[#This Row],[Sales]]&gt;($B$5+1.5*$B$9),Table14[[#This Row],[Sales]]&lt;($B$7-1.5*$B$9)),"Outlier","Normal")</f>
        <v>Normal</v>
      </c>
      <c r="H234" s="22"/>
      <c r="I234" s="22">
        <f>Table1[[#This Row],[Sales]]/Table1[[#This Row],[USD_Spend]]</f>
        <v>7.8629401767645204</v>
      </c>
    </row>
    <row r="235" spans="1:9" x14ac:dyDescent="0.35">
      <c r="A235" s="3" t="s">
        <v>110</v>
      </c>
      <c r="B235" s="15">
        <v>9331.92</v>
      </c>
      <c r="C235" s="1" t="str">
        <f>IF(OR(Table14[[#This Row],[USD_Spend]]&gt;($B$4+1.5*$B$8),Table14[[#This Row],[USD_Spend]]&lt;($B$6-1.5*$B$8)),"Outlier","Normal")</f>
        <v>Normal</v>
      </c>
      <c r="D235" s="1">
        <v>714827</v>
      </c>
      <c r="E235" s="1">
        <v>44820</v>
      </c>
      <c r="F235" s="15">
        <v>152728.26999999999</v>
      </c>
      <c r="G235" s="15" t="str">
        <f>IF(OR(Table14[[#This Row],[Sales]]&gt;($B$5+1.5*$B$9),Table14[[#This Row],[Sales]]&lt;($B$7-1.5*$B$9)),"Outlier","Normal")</f>
        <v>Normal</v>
      </c>
      <c r="H235" s="22"/>
      <c r="I235" s="22">
        <f>Table1[[#This Row],[Sales]]/Table1[[#This Row],[USD_Spend]]</f>
        <v>8.6730231437287397</v>
      </c>
    </row>
    <row r="236" spans="1:9" x14ac:dyDescent="0.35">
      <c r="A236" s="3" t="s">
        <v>47</v>
      </c>
      <c r="B236" s="15">
        <v>26443.95</v>
      </c>
      <c r="C236" s="1" t="str">
        <f>IF(OR(Table14[[#This Row],[USD_Spend]]&gt;($B$4+1.5*$B$8),Table14[[#This Row],[USD_Spend]]&lt;($B$6-1.5*$B$8)),"Outlier","Normal")</f>
        <v>Normal</v>
      </c>
      <c r="D236" s="1">
        <v>733108</v>
      </c>
      <c r="E236" s="1">
        <v>23814</v>
      </c>
      <c r="F236" s="15">
        <v>26591.82</v>
      </c>
      <c r="G236" s="15" t="str">
        <f>IF(OR(Table14[[#This Row],[Sales]]&gt;($B$5+1.5*$B$9),Table14[[#This Row],[Sales]]&lt;($B$7-1.5*$B$9)),"Outlier","Normal")</f>
        <v>Normal</v>
      </c>
      <c r="H236" s="22"/>
      <c r="I236" s="22">
        <f>Table1[[#This Row],[Sales]]/Table1[[#This Row],[USD_Spend]]</f>
        <v>2.4376913908409628</v>
      </c>
    </row>
    <row r="237" spans="1:9" x14ac:dyDescent="0.35">
      <c r="A237" s="3" t="s">
        <v>97</v>
      </c>
      <c r="B237" s="15">
        <v>8054.6</v>
      </c>
      <c r="C237" s="1" t="str">
        <f>IF(OR(Table14[[#This Row],[USD_Spend]]&gt;($B$4+1.5*$B$8),Table14[[#This Row],[USD_Spend]]&lt;($B$6-1.5*$B$8)),"Outlier","Normal")</f>
        <v>Normal</v>
      </c>
      <c r="D237" s="1">
        <v>312143</v>
      </c>
      <c r="E237" s="1">
        <v>3201</v>
      </c>
      <c r="F237" s="15">
        <v>41342.89</v>
      </c>
      <c r="G237" s="15" t="str">
        <f>IF(OR(Table14[[#This Row],[Sales]]&gt;($B$5+1.5*$B$9),Table14[[#This Row],[Sales]]&lt;($B$7-1.5*$B$9)),"Outlier","Normal")</f>
        <v>Normal</v>
      </c>
      <c r="H237" s="22"/>
      <c r="I237" s="22">
        <f>Table1[[#This Row],[Sales]]/Table1[[#This Row],[USD_Spend]]</f>
        <v>1.0552258058485655</v>
      </c>
    </row>
    <row r="238" spans="1:9" x14ac:dyDescent="0.35">
      <c r="A238" s="3" t="s">
        <v>96</v>
      </c>
      <c r="B238" s="15">
        <v>21515.39</v>
      </c>
      <c r="C238" s="1" t="str">
        <f>IF(OR(Table14[[#This Row],[USD_Spend]]&gt;($B$4+1.5*$B$8),Table14[[#This Row],[USD_Spend]]&lt;($B$6-1.5*$B$8)),"Outlier","Normal")</f>
        <v>Normal</v>
      </c>
      <c r="D238" s="1">
        <v>174663</v>
      </c>
      <c r="E238" s="1">
        <v>7357</v>
      </c>
      <c r="F238" s="15">
        <v>36638.730000000003</v>
      </c>
      <c r="G238" s="15" t="str">
        <f>IF(OR(Table14[[#This Row],[Sales]]&gt;($B$5+1.5*$B$9),Table14[[#This Row],[Sales]]&lt;($B$7-1.5*$B$9)),"Outlier","Normal")</f>
        <v>Normal</v>
      </c>
      <c r="H238" s="22"/>
      <c r="I238" s="22">
        <f>Table1[[#This Row],[Sales]]/Table1[[#This Row],[USD_Spend]]</f>
        <v>10.482634517944492</v>
      </c>
    </row>
    <row r="239" spans="1:9" x14ac:dyDescent="0.35">
      <c r="A239" s="3" t="s">
        <v>111</v>
      </c>
      <c r="B239" s="15">
        <v>12017.19</v>
      </c>
      <c r="C239" s="1" t="str">
        <f>IF(OR(Table14[[#This Row],[USD_Spend]]&gt;($B$4+1.5*$B$8),Table14[[#This Row],[USD_Spend]]&lt;($B$6-1.5*$B$8)),"Outlier","Normal")</f>
        <v>Normal</v>
      </c>
      <c r="D239" s="1">
        <v>305485</v>
      </c>
      <c r="E239" s="1">
        <v>13119</v>
      </c>
      <c r="F239" s="15">
        <v>25677.74</v>
      </c>
      <c r="G239" s="15" t="str">
        <f>IF(OR(Table14[[#This Row],[Sales]]&gt;($B$5+1.5*$B$9),Table14[[#This Row],[Sales]]&lt;($B$7-1.5*$B$9)),"Outlier","Normal")</f>
        <v>Normal</v>
      </c>
      <c r="H239" s="22"/>
      <c r="I239" s="22">
        <f>Table1[[#This Row],[Sales]]/Table1[[#This Row],[USD_Spend]]</f>
        <v>15.285065048613735</v>
      </c>
    </row>
    <row r="240" spans="1:9" x14ac:dyDescent="0.35">
      <c r="A240" s="3" t="s">
        <v>71</v>
      </c>
      <c r="B240" s="15">
        <v>36950.300000000003</v>
      </c>
      <c r="C240" s="1" t="str">
        <f>IF(OR(Table14[[#This Row],[USD_Spend]]&gt;($B$4+1.5*$B$8),Table14[[#This Row],[USD_Spend]]&lt;($B$6-1.5*$B$8)),"Outlier","Normal")</f>
        <v>Normal</v>
      </c>
      <c r="D240" s="1">
        <v>304736</v>
      </c>
      <c r="E240" s="1">
        <v>25844</v>
      </c>
      <c r="F240" s="15">
        <v>30209.18</v>
      </c>
      <c r="G240" s="15" t="str">
        <f>IF(OR(Table14[[#This Row],[Sales]]&gt;($B$5+1.5*$B$9),Table14[[#This Row],[Sales]]&lt;($B$7-1.5*$B$9)),"Outlier","Normal")</f>
        <v>Normal</v>
      </c>
      <c r="H240" s="22"/>
      <c r="I240" s="22">
        <f>Table1[[#This Row],[Sales]]/Table1[[#This Row],[USD_Spend]]</f>
        <v>4.1231285546098171</v>
      </c>
    </row>
    <row r="241" spans="1:9" x14ac:dyDescent="0.35">
      <c r="A241" s="3" t="s">
        <v>114</v>
      </c>
      <c r="B241" s="15">
        <v>38409.68</v>
      </c>
      <c r="C241" s="1" t="str">
        <f>IF(OR(Table14[[#This Row],[USD_Spend]]&gt;($B$4+1.5*$B$8),Table14[[#This Row],[USD_Spend]]&lt;($B$6-1.5*$B$8)),"Outlier","Normal")</f>
        <v>Normal</v>
      </c>
      <c r="D241" s="1">
        <v>366324</v>
      </c>
      <c r="E241" s="1">
        <v>36440</v>
      </c>
      <c r="F241" s="15">
        <v>65261.24</v>
      </c>
      <c r="G241" s="15" t="str">
        <f>IF(OR(Table14[[#This Row],[Sales]]&gt;($B$5+1.5*$B$9),Table14[[#This Row],[Sales]]&lt;($B$7-1.5*$B$9)),"Outlier","Normal")</f>
        <v>Normal</v>
      </c>
      <c r="H241" s="22"/>
      <c r="I241" s="22">
        <f>Table1[[#This Row],[Sales]]/Table1[[#This Row],[USD_Spend]]</f>
        <v>1.2660264387704916</v>
      </c>
    </row>
    <row r="242" spans="1:9" x14ac:dyDescent="0.35">
      <c r="A242" s="3" t="s">
        <v>27</v>
      </c>
      <c r="B242" s="15">
        <v>25864.49</v>
      </c>
      <c r="C242" s="1" t="str">
        <f>IF(OR(Table14[[#This Row],[USD_Spend]]&gt;($B$4+1.5*$B$8),Table14[[#This Row],[USD_Spend]]&lt;($B$6-1.5*$B$8)),"Outlier","Normal")</f>
        <v>Normal</v>
      </c>
      <c r="D242" s="1">
        <v>276659</v>
      </c>
      <c r="E242" s="1">
        <v>38732</v>
      </c>
      <c r="F242" s="15">
        <v>18701.72</v>
      </c>
      <c r="G242" s="15" t="str">
        <f>IF(OR(Table14[[#This Row],[Sales]]&gt;($B$5+1.5*$B$9),Table14[[#This Row],[Sales]]&lt;($B$7-1.5*$B$9)),"Outlier","Normal")</f>
        <v>Normal</v>
      </c>
      <c r="H242" s="22"/>
      <c r="I242" s="22">
        <f>Table1[[#This Row],[Sales]]/Table1[[#This Row],[USD_Spend]]</f>
        <v>1.7941618875545673</v>
      </c>
    </row>
    <row r="243" spans="1:9" x14ac:dyDescent="0.35">
      <c r="A243" s="3" t="s">
        <v>106</v>
      </c>
      <c r="B243" s="15">
        <v>38100.92</v>
      </c>
      <c r="C243" s="1" t="str">
        <f>IF(OR(Table14[[#This Row],[USD_Spend]]&gt;($B$4+1.5*$B$8),Table14[[#This Row],[USD_Spend]]&lt;($B$6-1.5*$B$8)),"Outlier","Normal")</f>
        <v>Normal</v>
      </c>
      <c r="D243" s="1">
        <v>374462</v>
      </c>
      <c r="E243" s="1">
        <v>45776</v>
      </c>
      <c r="F243" s="15">
        <v>102531.88</v>
      </c>
      <c r="G243" s="15" t="str">
        <f>IF(OR(Table14[[#This Row],[Sales]]&gt;($B$5+1.5*$B$9),Table14[[#This Row],[Sales]]&lt;($B$7-1.5*$B$9)),"Outlier","Normal")</f>
        <v>Normal</v>
      </c>
      <c r="H243" s="22"/>
      <c r="I243" s="22">
        <f>Table1[[#This Row],[Sales]]/Table1[[#This Row],[USD_Spend]]</f>
        <v>126.04862416269096</v>
      </c>
    </row>
    <row r="244" spans="1:9" x14ac:dyDescent="0.35">
      <c r="A244" s="3" t="s">
        <v>86</v>
      </c>
      <c r="B244" s="15">
        <v>29114.44</v>
      </c>
      <c r="C244" s="1" t="str">
        <f>IF(OR(Table14[[#This Row],[USD_Spend]]&gt;($B$4+1.5*$B$8),Table14[[#This Row],[USD_Spend]]&lt;($B$6-1.5*$B$8)),"Outlier","Normal")</f>
        <v>Normal</v>
      </c>
      <c r="D244" s="1">
        <v>741514</v>
      </c>
      <c r="E244" s="1">
        <v>23613</v>
      </c>
      <c r="F244" s="15">
        <v>228925.1</v>
      </c>
      <c r="G244" s="15" t="str">
        <f>IF(OR(Table14[[#This Row],[Sales]]&gt;($B$5+1.5*$B$9),Table14[[#This Row],[Sales]]&lt;($B$7-1.5*$B$9)),"Outlier","Normal")</f>
        <v>Normal</v>
      </c>
      <c r="H244" s="22"/>
      <c r="I244" s="22">
        <f>Table1[[#This Row],[Sales]]/Table1[[#This Row],[USD_Spend]]</f>
        <v>28.581426348836636</v>
      </c>
    </row>
    <row r="245" spans="1:9" x14ac:dyDescent="0.35">
      <c r="A245" s="3" t="s">
        <v>85</v>
      </c>
      <c r="B245" s="15">
        <v>10706.14</v>
      </c>
      <c r="C245" s="1" t="str">
        <f>IF(OR(Table14[[#This Row],[USD_Spend]]&gt;($B$4+1.5*$B$8),Table14[[#This Row],[USD_Spend]]&lt;($B$6-1.5*$B$8)),"Outlier","Normal")</f>
        <v>Normal</v>
      </c>
      <c r="D245" s="1">
        <v>213586</v>
      </c>
      <c r="E245" s="1">
        <v>41520</v>
      </c>
      <c r="F245" s="15">
        <v>92854.6</v>
      </c>
      <c r="G245" s="15" t="str">
        <f>IF(OR(Table14[[#This Row],[Sales]]&gt;($B$5+1.5*$B$9),Table14[[#This Row],[Sales]]&lt;($B$7-1.5*$B$9)),"Outlier","Normal")</f>
        <v>Normal</v>
      </c>
      <c r="H245" s="22"/>
      <c r="I245" s="22">
        <f>Table1[[#This Row],[Sales]]/Table1[[#This Row],[USD_Spend]]</f>
        <v>3.4828008313724856</v>
      </c>
    </row>
    <row r="246" spans="1:9" x14ac:dyDescent="0.35">
      <c r="A246" s="3" t="s">
        <v>101</v>
      </c>
      <c r="B246" s="15">
        <v>20488.18</v>
      </c>
      <c r="C246" s="1" t="str">
        <f>IF(OR(Table14[[#This Row],[USD_Spend]]&gt;($B$4+1.5*$B$8),Table14[[#This Row],[USD_Spend]]&lt;($B$6-1.5*$B$8)),"Outlier","Normal")</f>
        <v>Normal</v>
      </c>
      <c r="D246" s="1">
        <v>965077</v>
      </c>
      <c r="E246" s="1">
        <v>43293</v>
      </c>
      <c r="F246" s="15">
        <v>49943.86</v>
      </c>
      <c r="G246" s="15" t="str">
        <f>IF(OR(Table14[[#This Row],[Sales]]&gt;($B$5+1.5*$B$9),Table14[[#This Row],[Sales]]&lt;($B$7-1.5*$B$9)),"Outlier","Normal")</f>
        <v>Normal</v>
      </c>
      <c r="H246" s="22"/>
      <c r="I246" s="22">
        <f>Table1[[#This Row],[Sales]]/Table1[[#This Row],[USD_Spend]]</f>
        <v>306.62658529016238</v>
      </c>
    </row>
    <row r="247" spans="1:9" x14ac:dyDescent="0.35">
      <c r="A247" s="3" t="s">
        <v>88</v>
      </c>
      <c r="B247" s="15">
        <v>25676.04</v>
      </c>
      <c r="C247" s="1" t="str">
        <f>IF(OR(Table14[[#This Row],[USD_Spend]]&gt;($B$4+1.5*$B$8),Table14[[#This Row],[USD_Spend]]&lt;($B$6-1.5*$B$8)),"Outlier","Normal")</f>
        <v>Normal</v>
      </c>
      <c r="D247" s="1">
        <v>221741</v>
      </c>
      <c r="E247" s="1">
        <v>29898</v>
      </c>
      <c r="F247" s="15">
        <v>27094.02</v>
      </c>
      <c r="G247" s="15" t="str">
        <f>IF(OR(Table14[[#This Row],[Sales]]&gt;($B$5+1.5*$B$9),Table14[[#This Row],[Sales]]&lt;($B$7-1.5*$B$9)),"Outlier","Normal")</f>
        <v>Normal</v>
      </c>
      <c r="H247" s="22"/>
      <c r="I247" s="22">
        <f>Table1[[#This Row],[Sales]]/Table1[[#This Row],[USD_Spend]]</f>
        <v>4.5068329738155297</v>
      </c>
    </row>
    <row r="248" spans="1:9" x14ac:dyDescent="0.35">
      <c r="A248" s="3" t="s">
        <v>117</v>
      </c>
      <c r="B248" s="15">
        <v>22814.799999999999</v>
      </c>
      <c r="C248" s="1" t="str">
        <f>IF(OR(Table14[[#This Row],[USD_Spend]]&gt;($B$4+1.5*$B$8),Table14[[#This Row],[USD_Spend]]&lt;($B$6-1.5*$B$8)),"Outlier","Normal")</f>
        <v>Normal</v>
      </c>
      <c r="D248" s="1">
        <v>516773</v>
      </c>
      <c r="E248" s="1">
        <v>47000</v>
      </c>
      <c r="F248" s="15">
        <v>239159.21</v>
      </c>
      <c r="G248" s="15" t="str">
        <f>IF(OR(Table14[[#This Row],[Sales]]&gt;($B$5+1.5*$B$9),Table14[[#This Row],[Sales]]&lt;($B$7-1.5*$B$9)),"Outlier","Normal")</f>
        <v>Normal</v>
      </c>
      <c r="H248" s="22"/>
      <c r="I248" s="22">
        <f>Table1[[#This Row],[Sales]]/Table1[[#This Row],[USD_Spend]]</f>
        <v>12.193953556875645</v>
      </c>
    </row>
    <row r="249" spans="1:9" x14ac:dyDescent="0.35">
      <c r="A249" s="3" t="s">
        <v>66</v>
      </c>
      <c r="B249" s="15">
        <v>16355.46</v>
      </c>
      <c r="C249" s="1" t="str">
        <f>IF(OR(Table14[[#This Row],[USD_Spend]]&gt;($B$4+1.5*$B$8),Table14[[#This Row],[USD_Spend]]&lt;($B$6-1.5*$B$8)),"Outlier","Normal")</f>
        <v>Normal</v>
      </c>
      <c r="D249" s="1">
        <v>211332</v>
      </c>
      <c r="E249" s="1">
        <v>14946</v>
      </c>
      <c r="F249" s="15">
        <v>249994.27</v>
      </c>
      <c r="G249" s="15" t="str">
        <f>IF(OR(Table14[[#This Row],[Sales]]&gt;($B$5+1.5*$B$9),Table14[[#This Row],[Sales]]&lt;($B$7-1.5*$B$9)),"Outlier","Normal")</f>
        <v>Normal</v>
      </c>
      <c r="H249" s="22"/>
      <c r="I249" s="22">
        <f>Table1[[#This Row],[Sales]]/Table1[[#This Row],[USD_Spend]]</f>
        <v>13.041442222763278</v>
      </c>
    </row>
    <row r="250" spans="1:9" x14ac:dyDescent="0.35">
      <c r="A250" s="3" t="s">
        <v>102</v>
      </c>
      <c r="B250" s="15">
        <v>21888.83</v>
      </c>
      <c r="C250" s="1" t="str">
        <f>IF(OR(Table14[[#This Row],[USD_Spend]]&gt;($B$4+1.5*$B$8),Table14[[#This Row],[USD_Spend]]&lt;($B$6-1.5*$B$8)),"Outlier","Normal")</f>
        <v>Normal</v>
      </c>
      <c r="D250" s="1">
        <v>105674</v>
      </c>
      <c r="E250" s="1">
        <v>30902</v>
      </c>
      <c r="F250" s="15">
        <v>90250.46</v>
      </c>
      <c r="G250" s="15" t="str">
        <f>IF(OR(Table14[[#This Row],[Sales]]&gt;($B$5+1.5*$B$9),Table14[[#This Row],[Sales]]&lt;($B$7-1.5*$B$9)),"Outlier","Normal")</f>
        <v>Normal</v>
      </c>
      <c r="H250" s="22"/>
      <c r="I250" s="22">
        <f>Table1[[#This Row],[Sales]]/Table1[[#This Row],[USD_Spend]]</f>
        <v>3.79424910617068</v>
      </c>
    </row>
    <row r="251" spans="1:9" x14ac:dyDescent="0.35">
      <c r="A251" s="3" t="s">
        <v>93</v>
      </c>
      <c r="B251" s="15">
        <v>35155.19</v>
      </c>
      <c r="C251" s="1" t="str">
        <f>IF(OR(Table14[[#This Row],[USD_Spend]]&gt;($B$4+1.5*$B$8),Table14[[#This Row],[USD_Spend]]&lt;($B$6-1.5*$B$8)),"Outlier","Normal")</f>
        <v>Normal</v>
      </c>
      <c r="D251" s="1">
        <v>708724</v>
      </c>
      <c r="E251" s="1">
        <v>10158</v>
      </c>
      <c r="F251" s="15">
        <v>44507.4</v>
      </c>
      <c r="G251" s="15" t="str">
        <f>IF(OR(Table14[[#This Row],[Sales]]&gt;($B$5+1.5*$B$9),Table14[[#This Row],[Sales]]&lt;($B$7-1.5*$B$9)),"Outlier","Normal")</f>
        <v>Normal</v>
      </c>
      <c r="H251" s="22"/>
      <c r="I251" s="22">
        <f>Table1[[#This Row],[Sales]]/Table1[[#This Row],[USD_Spend]]</f>
        <v>8.9345534229821055</v>
      </c>
    </row>
    <row r="252" spans="1:9" x14ac:dyDescent="0.35">
      <c r="A252" s="3" t="s">
        <v>105</v>
      </c>
      <c r="B252" s="15">
        <v>21613.15</v>
      </c>
      <c r="C252" s="1" t="str">
        <f>IF(OR(Table14[[#This Row],[USD_Spend]]&gt;($B$4+1.5*$B$8),Table14[[#This Row],[USD_Spend]]&lt;($B$6-1.5*$B$8)),"Outlier","Normal")</f>
        <v>Normal</v>
      </c>
      <c r="D252" s="1">
        <v>448555</v>
      </c>
      <c r="E252" s="1">
        <v>39187</v>
      </c>
      <c r="F252" s="15">
        <v>38777.49</v>
      </c>
      <c r="G252" s="15" t="str">
        <f>IF(OR(Table14[[#This Row],[Sales]]&gt;($B$5+1.5*$B$9),Table14[[#This Row],[Sales]]&lt;($B$7-1.5*$B$9)),"Outlier","Normal")</f>
        <v>Normal</v>
      </c>
      <c r="H252" s="22"/>
      <c r="I252" s="22">
        <f>Table1[[#This Row],[Sales]]/Table1[[#This Row],[USD_Spend]]</f>
        <v>21.310749439888042</v>
      </c>
    </row>
    <row r="253" spans="1:9" x14ac:dyDescent="0.35">
      <c r="A253" s="3" t="s">
        <v>89</v>
      </c>
      <c r="B253" s="15">
        <v>1867.59</v>
      </c>
      <c r="C253" s="1" t="str">
        <f>IF(OR(Table14[[#This Row],[USD_Spend]]&gt;($B$4+1.5*$B$8),Table14[[#This Row],[USD_Spend]]&lt;($B$6-1.5*$B$8)),"Outlier","Normal")</f>
        <v>Normal</v>
      </c>
      <c r="D253" s="1">
        <v>704180</v>
      </c>
      <c r="E253" s="1">
        <v>16591</v>
      </c>
      <c r="F253" s="15">
        <v>235407.15</v>
      </c>
      <c r="G253" s="15" t="str">
        <f>IF(OR(Table14[[#This Row],[Sales]]&gt;($B$5+1.5*$B$9),Table14[[#This Row],[Sales]]&lt;($B$7-1.5*$B$9)),"Outlier","Normal")</f>
        <v>Normal</v>
      </c>
      <c r="H253" s="22"/>
      <c r="I253" s="22">
        <f>Table1[[#This Row],[Sales]]/Table1[[#This Row],[USD_Spend]]</f>
        <v>8.3224861192469497</v>
      </c>
    </row>
    <row r="254" spans="1:9" x14ac:dyDescent="0.35">
      <c r="A254" s="3" t="s">
        <v>96</v>
      </c>
      <c r="B254" s="15">
        <v>7719.43</v>
      </c>
      <c r="C254" s="1" t="str">
        <f>IF(OR(Table14[[#This Row],[USD_Spend]]&gt;($B$4+1.5*$B$8),Table14[[#This Row],[USD_Spend]]&lt;($B$6-1.5*$B$8)),"Outlier","Normal")</f>
        <v>Normal</v>
      </c>
      <c r="D254" s="1">
        <v>40915</v>
      </c>
      <c r="E254" s="1">
        <v>20985</v>
      </c>
      <c r="F254" s="15">
        <v>220632.32000000001</v>
      </c>
      <c r="G254" s="15" t="str">
        <f>IF(OR(Table14[[#This Row],[Sales]]&gt;($B$5+1.5*$B$9),Table14[[#This Row],[Sales]]&lt;($B$7-1.5*$B$9)),"Outlier","Normal")</f>
        <v>Normal</v>
      </c>
      <c r="H254" s="22"/>
      <c r="I254" s="22">
        <f>Table1[[#This Row],[Sales]]/Table1[[#This Row],[USD_Spend]]</f>
        <v>4.7814222769796189</v>
      </c>
    </row>
    <row r="255" spans="1:9" x14ac:dyDescent="0.35">
      <c r="A255" s="3" t="s">
        <v>91</v>
      </c>
      <c r="B255" s="15">
        <v>19957.36</v>
      </c>
      <c r="C255" s="1" t="str">
        <f>IF(OR(Table14[[#This Row],[USD_Spend]]&gt;($B$4+1.5*$B$8),Table14[[#This Row],[USD_Spend]]&lt;($B$6-1.5*$B$8)),"Outlier","Normal")</f>
        <v>Normal</v>
      </c>
      <c r="D255" s="1">
        <v>477429</v>
      </c>
      <c r="E255" s="1">
        <v>3024</v>
      </c>
      <c r="F255" s="15">
        <v>69507.509999999995</v>
      </c>
      <c r="G255" s="15" t="str">
        <f>IF(OR(Table14[[#This Row],[Sales]]&gt;($B$5+1.5*$B$9),Table14[[#This Row],[Sales]]&lt;($B$7-1.5*$B$9)),"Outlier","Normal")</f>
        <v>Normal</v>
      </c>
      <c r="H255" s="22"/>
      <c r="I255" s="22">
        <f>Table1[[#This Row],[Sales]]/Table1[[#This Row],[USD_Spend]]</f>
        <v>36.196182875572049</v>
      </c>
    </row>
    <row r="256" spans="1:9" x14ac:dyDescent="0.35">
      <c r="A256" s="3" t="s">
        <v>77</v>
      </c>
      <c r="B256" s="15">
        <v>483.35</v>
      </c>
      <c r="C256" s="1" t="str">
        <f>IF(OR(Table14[[#This Row],[USD_Spend]]&gt;($B$4+1.5*$B$8),Table14[[#This Row],[USD_Spend]]&lt;($B$6-1.5*$B$8)),"Outlier","Normal")</f>
        <v>Normal</v>
      </c>
      <c r="D256" s="1">
        <v>143882</v>
      </c>
      <c r="E256" s="1">
        <v>20525</v>
      </c>
      <c r="F256" s="15">
        <v>148207.96</v>
      </c>
      <c r="G256" s="15" t="str">
        <f>IF(OR(Table14[[#This Row],[Sales]]&gt;($B$5+1.5*$B$9),Table14[[#This Row],[Sales]]&lt;($B$7-1.5*$B$9)),"Outlier","Normal")</f>
        <v>Normal</v>
      </c>
      <c r="H256" s="22"/>
      <c r="I256" s="22">
        <f>Table1[[#This Row],[Sales]]/Table1[[#This Row],[USD_Spend]]</f>
        <v>3.3941566808857653</v>
      </c>
    </row>
    <row r="257" spans="1:9" x14ac:dyDescent="0.35">
      <c r="A257" s="3" t="s">
        <v>78</v>
      </c>
      <c r="B257" s="15">
        <v>15608.87</v>
      </c>
      <c r="C257" s="1" t="str">
        <f>IF(OR(Table14[[#This Row],[USD_Spend]]&gt;($B$4+1.5*$B$8),Table14[[#This Row],[USD_Spend]]&lt;($B$6-1.5*$B$8)),"Outlier","Normal")</f>
        <v>Normal</v>
      </c>
      <c r="D257" s="1">
        <v>846020</v>
      </c>
      <c r="E257" s="1">
        <v>34131</v>
      </c>
      <c r="F257" s="15">
        <v>70346.570000000007</v>
      </c>
      <c r="G257" s="15" t="str">
        <f>IF(OR(Table14[[#This Row],[Sales]]&gt;($B$5+1.5*$B$9),Table14[[#This Row],[Sales]]&lt;($B$7-1.5*$B$9)),"Outlier","Normal")</f>
        <v>Normal</v>
      </c>
      <c r="H257" s="22"/>
      <c r="I257" s="22">
        <f>Table1[[#This Row],[Sales]]/Table1[[#This Row],[USD_Spend]]</f>
        <v>6.3972136328474667</v>
      </c>
    </row>
    <row r="258" spans="1:9" x14ac:dyDescent="0.35">
      <c r="A258" s="3" t="s">
        <v>82</v>
      </c>
      <c r="B258" s="15">
        <v>5092.25</v>
      </c>
      <c r="C258" s="1" t="str">
        <f>IF(OR(Table14[[#This Row],[USD_Spend]]&gt;($B$4+1.5*$B$8),Table14[[#This Row],[USD_Spend]]&lt;($B$6-1.5*$B$8)),"Outlier","Normal")</f>
        <v>Normal</v>
      </c>
      <c r="D258" s="1">
        <v>307604</v>
      </c>
      <c r="E258" s="1">
        <v>13593</v>
      </c>
      <c r="F258" s="15">
        <v>62094.66</v>
      </c>
      <c r="G258" s="15" t="str">
        <f>IF(OR(Table14[[#This Row],[Sales]]&gt;($B$5+1.5*$B$9),Table14[[#This Row],[Sales]]&lt;($B$7-1.5*$B$9)),"Outlier","Normal")</f>
        <v>Normal</v>
      </c>
      <c r="H258" s="22"/>
      <c r="I258" s="22">
        <f>Table1[[#This Row],[Sales]]/Table1[[#This Row],[USD_Spend]]</f>
        <v>1.3507265340662009</v>
      </c>
    </row>
    <row r="259" spans="1:9" x14ac:dyDescent="0.35">
      <c r="A259" s="3" t="s">
        <v>83</v>
      </c>
      <c r="B259" s="15">
        <v>5626.87</v>
      </c>
      <c r="C259" s="1" t="str">
        <f>IF(OR(Table14[[#This Row],[USD_Spend]]&gt;($B$4+1.5*$B$8),Table14[[#This Row],[USD_Spend]]&lt;($B$6-1.5*$B$8)),"Outlier","Normal")</f>
        <v>Normal</v>
      </c>
      <c r="D259" s="1">
        <v>52608</v>
      </c>
      <c r="E259" s="1">
        <v>28182</v>
      </c>
      <c r="F259" s="15">
        <v>73382.5</v>
      </c>
      <c r="G259" s="15" t="str">
        <f>IF(OR(Table14[[#This Row],[Sales]]&gt;($B$5+1.5*$B$9),Table14[[#This Row],[Sales]]&lt;($B$7-1.5*$B$9)),"Outlier","Normal")</f>
        <v>Normal</v>
      </c>
      <c r="H259" s="22"/>
      <c r="I259" s="22">
        <f>Table1[[#This Row],[Sales]]/Table1[[#This Row],[USD_Spend]]</f>
        <v>3.041280233604525</v>
      </c>
    </row>
    <row r="260" spans="1:9" x14ac:dyDescent="0.35">
      <c r="A260" s="3" t="s">
        <v>118</v>
      </c>
      <c r="B260" s="15">
        <v>16191.57</v>
      </c>
      <c r="C260" s="1" t="str">
        <f>IF(OR(Table14[[#This Row],[USD_Spend]]&gt;($B$4+1.5*$B$8),Table14[[#This Row],[USD_Spend]]&lt;($B$6-1.5*$B$8)),"Outlier","Normal")</f>
        <v>Normal</v>
      </c>
      <c r="D260" s="1">
        <v>134078</v>
      </c>
      <c r="E260" s="1">
        <v>43426</v>
      </c>
      <c r="F260" s="15">
        <v>61434.85</v>
      </c>
      <c r="G260" s="15" t="str">
        <f>IF(OR(Table14[[#This Row],[Sales]]&gt;($B$5+1.5*$B$9),Table14[[#This Row],[Sales]]&lt;($B$7-1.5*$B$9)),"Outlier","Normal")</f>
        <v>Normal</v>
      </c>
      <c r="H260" s="22"/>
      <c r="I260" s="22">
        <f>Table1[[#This Row],[Sales]]/Table1[[#This Row],[USD_Spend]]</f>
        <v>151.96226666489017</v>
      </c>
    </row>
    <row r="261" spans="1:9" x14ac:dyDescent="0.35">
      <c r="A261" s="3" t="s">
        <v>90</v>
      </c>
      <c r="B261" s="15">
        <v>15698.3</v>
      </c>
      <c r="C261" s="1" t="str">
        <f>IF(OR(Table14[[#This Row],[USD_Spend]]&gt;($B$4+1.5*$B$8),Table14[[#This Row],[USD_Spend]]&lt;($B$6-1.5*$B$8)),"Outlier","Normal")</f>
        <v>Normal</v>
      </c>
      <c r="D261" s="1">
        <v>150727</v>
      </c>
      <c r="E261" s="1">
        <v>39562</v>
      </c>
      <c r="F261" s="15">
        <v>140257.29999999999</v>
      </c>
      <c r="G261" s="15" t="str">
        <f>IF(OR(Table14[[#This Row],[Sales]]&gt;($B$5+1.5*$B$9),Table14[[#This Row],[Sales]]&lt;($B$7-1.5*$B$9)),"Outlier","Normal")</f>
        <v>Normal</v>
      </c>
      <c r="H261" s="22"/>
      <c r="I261" s="22">
        <f>Table1[[#This Row],[Sales]]/Table1[[#This Row],[USD_Spend]]</f>
        <v>1.5289603455126655</v>
      </c>
    </row>
    <row r="262" spans="1:9" x14ac:dyDescent="0.35">
      <c r="A262" s="3" t="s">
        <v>120</v>
      </c>
      <c r="B262" s="15">
        <v>4458.93</v>
      </c>
      <c r="C262" s="1" t="str">
        <f>IF(OR(Table14[[#This Row],[USD_Spend]]&gt;($B$4+1.5*$B$8),Table14[[#This Row],[USD_Spend]]&lt;($B$6-1.5*$B$8)),"Outlier","Normal")</f>
        <v>Normal</v>
      </c>
      <c r="D262" s="1">
        <v>508783</v>
      </c>
      <c r="E262" s="1">
        <v>44607</v>
      </c>
      <c r="F262" s="15">
        <v>95023.14</v>
      </c>
      <c r="G262" s="15" t="str">
        <f>IF(OR(Table14[[#This Row],[Sales]]&gt;($B$5+1.5*$B$9),Table14[[#This Row],[Sales]]&lt;($B$7-1.5*$B$9)),"Outlier","Normal")</f>
        <v>Normal</v>
      </c>
      <c r="H262" s="22"/>
      <c r="I262" s="22">
        <f>Table1[[#This Row],[Sales]]/Table1[[#This Row],[USD_Spend]]</f>
        <v>4.494161700635229</v>
      </c>
    </row>
    <row r="263" spans="1:9" x14ac:dyDescent="0.35">
      <c r="A263" s="3" t="s">
        <v>99</v>
      </c>
      <c r="B263" s="15">
        <v>28543.119999999999</v>
      </c>
      <c r="C263" s="1" t="str">
        <f>IF(OR(Table14[[#This Row],[USD_Spend]]&gt;($B$4+1.5*$B$8),Table14[[#This Row],[USD_Spend]]&lt;($B$6-1.5*$B$8)),"Outlier","Normal")</f>
        <v>Normal</v>
      </c>
      <c r="D263" s="1">
        <v>666493</v>
      </c>
      <c r="E263" s="1">
        <v>2435</v>
      </c>
      <c r="F263" s="15">
        <v>237549.72</v>
      </c>
      <c r="G263" s="15" t="str">
        <f>IF(OR(Table14[[#This Row],[Sales]]&gt;($B$5+1.5*$B$9),Table14[[#This Row],[Sales]]&lt;($B$7-1.5*$B$9)),"Outlier","Normal")</f>
        <v>Normal</v>
      </c>
      <c r="H263" s="22"/>
      <c r="I263" s="22">
        <f>Table1[[#This Row],[Sales]]/Table1[[#This Row],[USD_Spend]]</f>
        <v>3.1023145474088021</v>
      </c>
    </row>
    <row r="264" spans="1:9" x14ac:dyDescent="0.35">
      <c r="A264" s="3" t="s">
        <v>77</v>
      </c>
      <c r="B264" s="15">
        <v>11493.12</v>
      </c>
      <c r="C264" s="1" t="str">
        <f>IF(OR(Table14[[#This Row],[USD_Spend]]&gt;($B$4+1.5*$B$8),Table14[[#This Row],[USD_Spend]]&lt;($B$6-1.5*$B$8)),"Outlier","Normal")</f>
        <v>Normal</v>
      </c>
      <c r="D264" s="1">
        <v>443020</v>
      </c>
      <c r="E264" s="1">
        <v>45352</v>
      </c>
      <c r="F264" s="15">
        <v>54953.46</v>
      </c>
      <c r="G264" s="15" t="str">
        <f>IF(OR(Table14[[#This Row],[Sales]]&gt;($B$5+1.5*$B$9),Table14[[#This Row],[Sales]]&lt;($B$7-1.5*$B$9)),"Outlier","Normal")</f>
        <v>Normal</v>
      </c>
      <c r="H264" s="22"/>
      <c r="I264" s="22">
        <f>Table1[[#This Row],[Sales]]/Table1[[#This Row],[USD_Spend]]</f>
        <v>5.7193941593357813</v>
      </c>
    </row>
    <row r="265" spans="1:9" x14ac:dyDescent="0.35">
      <c r="A265" s="3" t="s">
        <v>109</v>
      </c>
      <c r="B265" s="15">
        <v>5357.96</v>
      </c>
      <c r="C265" s="1" t="str">
        <f>IF(OR(Table14[[#This Row],[USD_Spend]]&gt;($B$4+1.5*$B$8),Table14[[#This Row],[USD_Spend]]&lt;($B$6-1.5*$B$8)),"Outlier","Normal")</f>
        <v>Normal</v>
      </c>
      <c r="D265" s="1">
        <v>997219</v>
      </c>
      <c r="E265" s="1">
        <v>19604</v>
      </c>
      <c r="F265" s="15">
        <v>193937.7</v>
      </c>
      <c r="G265" s="15" t="str">
        <f>IF(OR(Table14[[#This Row],[Sales]]&gt;($B$5+1.5*$B$9),Table14[[#This Row],[Sales]]&lt;($B$7-1.5*$B$9)),"Outlier","Normal")</f>
        <v>Normal</v>
      </c>
      <c r="H265" s="22"/>
      <c r="I265" s="22">
        <f>Table1[[#This Row],[Sales]]/Table1[[#This Row],[USD_Spend]]</f>
        <v>21.885431179560406</v>
      </c>
    </row>
    <row r="266" spans="1:9" x14ac:dyDescent="0.35">
      <c r="A266" s="3" t="s">
        <v>99</v>
      </c>
      <c r="B266" s="15">
        <v>32446.97</v>
      </c>
      <c r="C266" s="1" t="str">
        <f>IF(OR(Table14[[#This Row],[USD_Spend]]&gt;($B$4+1.5*$B$8),Table14[[#This Row],[USD_Spend]]&lt;($B$6-1.5*$B$8)),"Outlier","Normal")</f>
        <v>Normal</v>
      </c>
      <c r="D266" s="1">
        <v>850257</v>
      </c>
      <c r="E266" s="1">
        <v>37970</v>
      </c>
      <c r="F266" s="15">
        <v>110130.1</v>
      </c>
      <c r="G266" s="15" t="str">
        <f>IF(OR(Table14[[#This Row],[Sales]]&gt;($B$5+1.5*$B$9),Table14[[#This Row],[Sales]]&lt;($B$7-1.5*$B$9)),"Outlier","Normal")</f>
        <v>Normal</v>
      </c>
      <c r="H266" s="22"/>
      <c r="I266" s="22">
        <f>Table1[[#This Row],[Sales]]/Table1[[#This Row],[USD_Spend]]</f>
        <v>15.979337433303241</v>
      </c>
    </row>
    <row r="267" spans="1:9" x14ac:dyDescent="0.35">
      <c r="A267" s="3" t="s">
        <v>18</v>
      </c>
      <c r="B267" s="15">
        <v>24342.09</v>
      </c>
      <c r="C267" s="1" t="str">
        <f>IF(OR(Table14[[#This Row],[USD_Spend]]&gt;($B$4+1.5*$B$8),Table14[[#This Row],[USD_Spend]]&lt;($B$6-1.5*$B$8)),"Outlier","Normal")</f>
        <v>Normal</v>
      </c>
      <c r="D267" s="1">
        <v>742377</v>
      </c>
      <c r="E267" s="1">
        <v>15282</v>
      </c>
      <c r="F267" s="15">
        <v>155721.54999999999</v>
      </c>
      <c r="G267" s="15" t="str">
        <f>IF(OR(Table14[[#This Row],[Sales]]&gt;($B$5+1.5*$B$9),Table14[[#This Row],[Sales]]&lt;($B$7-1.5*$B$9)),"Outlier","Normal")</f>
        <v>Normal</v>
      </c>
      <c r="H267" s="22"/>
      <c r="I267" s="22">
        <f>Table1[[#This Row],[Sales]]/Table1[[#This Row],[USD_Spend]]</f>
        <v>28.583212692159105</v>
      </c>
    </row>
    <row r="268" spans="1:9" x14ac:dyDescent="0.35">
      <c r="A268" s="3" t="s">
        <v>57</v>
      </c>
      <c r="B268" s="15">
        <v>35735.42</v>
      </c>
      <c r="C268" s="1" t="str">
        <f>IF(OR(Table14[[#This Row],[USD_Spend]]&gt;($B$4+1.5*$B$8),Table14[[#This Row],[USD_Spend]]&lt;($B$6-1.5*$B$8)),"Outlier","Normal")</f>
        <v>Normal</v>
      </c>
      <c r="D268" s="1">
        <v>505962</v>
      </c>
      <c r="E268" s="1">
        <v>738</v>
      </c>
      <c r="F268" s="15">
        <v>48268.78</v>
      </c>
      <c r="G268" s="15" t="str">
        <f>IF(OR(Table14[[#This Row],[Sales]]&gt;($B$5+1.5*$B$9),Table14[[#This Row],[Sales]]&lt;($B$7-1.5*$B$9)),"Outlier","Normal")</f>
        <v>Normal</v>
      </c>
      <c r="H268" s="22"/>
      <c r="I268" s="22">
        <f>Table1[[#This Row],[Sales]]/Table1[[#This Row],[USD_Spend]]</f>
        <v>2.1283506761862987</v>
      </c>
    </row>
    <row r="269" spans="1:9" x14ac:dyDescent="0.35">
      <c r="A269" s="3" t="s">
        <v>82</v>
      </c>
      <c r="B269" s="15">
        <v>19602.36</v>
      </c>
      <c r="C269" s="1" t="str">
        <f>IF(OR(Table14[[#This Row],[USD_Spend]]&gt;($B$4+1.5*$B$8),Table14[[#This Row],[USD_Spend]]&lt;($B$6-1.5*$B$8)),"Outlier","Normal")</f>
        <v>Normal</v>
      </c>
      <c r="D269" s="1">
        <v>870394</v>
      </c>
      <c r="E269" s="1">
        <v>15015</v>
      </c>
      <c r="F269" s="15">
        <v>59616.27</v>
      </c>
      <c r="G269" s="15" t="str">
        <f>IF(OR(Table14[[#This Row],[Sales]]&gt;($B$5+1.5*$B$9),Table14[[#This Row],[Sales]]&lt;($B$7-1.5*$B$9)),"Outlier","Normal")</f>
        <v>Normal</v>
      </c>
      <c r="H269" s="22"/>
      <c r="I269" s="22">
        <f>Table1[[#This Row],[Sales]]/Table1[[#This Row],[USD_Spend]]</f>
        <v>2.3824881680109891</v>
      </c>
    </row>
    <row r="270" spans="1:9" x14ac:dyDescent="0.35">
      <c r="A270" s="3" t="s">
        <v>78</v>
      </c>
      <c r="B270" s="15">
        <v>750.53</v>
      </c>
      <c r="C270" s="1" t="str">
        <f>IF(OR(Table14[[#This Row],[USD_Spend]]&gt;($B$4+1.5*$B$8),Table14[[#This Row],[USD_Spend]]&lt;($B$6-1.5*$B$8)),"Outlier","Normal")</f>
        <v>Normal</v>
      </c>
      <c r="D270" s="1">
        <v>191043</v>
      </c>
      <c r="E270" s="1">
        <v>46851</v>
      </c>
      <c r="F270" s="15">
        <v>114052.24</v>
      </c>
      <c r="G270" s="15" t="str">
        <f>IF(OR(Table14[[#This Row],[Sales]]&gt;($B$5+1.5*$B$9),Table14[[#This Row],[Sales]]&lt;($B$7-1.5*$B$9)),"Outlier","Normal")</f>
        <v>Normal</v>
      </c>
      <c r="H270" s="22"/>
      <c r="I270" s="22">
        <f>Table1[[#This Row],[Sales]]/Table1[[#This Row],[USD_Spend]]</f>
        <v>7.3460913712722657</v>
      </c>
    </row>
    <row r="271" spans="1:9" x14ac:dyDescent="0.35">
      <c r="A271" s="3" t="s">
        <v>83</v>
      </c>
      <c r="B271" s="15">
        <v>37574.31</v>
      </c>
      <c r="C271" s="1" t="str">
        <f>IF(OR(Table14[[#This Row],[USD_Spend]]&gt;($B$4+1.5*$B$8),Table14[[#This Row],[USD_Spend]]&lt;($B$6-1.5*$B$8)),"Outlier","Normal")</f>
        <v>Normal</v>
      </c>
      <c r="D271" s="1">
        <v>88979</v>
      </c>
      <c r="E271" s="1">
        <v>35216</v>
      </c>
      <c r="F271" s="15">
        <v>57449.63</v>
      </c>
      <c r="G271" s="15" t="str">
        <f>IF(OR(Table14[[#This Row],[Sales]]&gt;($B$5+1.5*$B$9),Table14[[#This Row],[Sales]]&lt;($B$7-1.5*$B$9)),"Outlier","Normal")</f>
        <v>Normal</v>
      </c>
      <c r="H271" s="22"/>
      <c r="I271" s="22">
        <f>Table1[[#This Row],[Sales]]/Table1[[#This Row],[USD_Spend]]</f>
        <v>1.7462999932706758</v>
      </c>
    </row>
    <row r="272" spans="1:9" x14ac:dyDescent="0.35">
      <c r="A272" s="3" t="s">
        <v>113</v>
      </c>
      <c r="B272" s="15">
        <v>19844.82</v>
      </c>
      <c r="C272" s="1" t="str">
        <f>IF(OR(Table14[[#This Row],[USD_Spend]]&gt;($B$4+1.5*$B$8),Table14[[#This Row],[USD_Spend]]&lt;($B$6-1.5*$B$8)),"Outlier","Normal")</f>
        <v>Normal</v>
      </c>
      <c r="D272" s="1">
        <v>284375</v>
      </c>
      <c r="E272" s="1">
        <v>35649</v>
      </c>
      <c r="F272" s="15">
        <v>89185.83</v>
      </c>
      <c r="G272" s="15" t="str">
        <f>IF(OR(Table14[[#This Row],[Sales]]&gt;($B$5+1.5*$B$9),Table14[[#This Row],[Sales]]&lt;($B$7-1.5*$B$9)),"Outlier","Normal")</f>
        <v>Normal</v>
      </c>
      <c r="H272" s="22"/>
      <c r="I272" s="22">
        <f>Table1[[#This Row],[Sales]]/Table1[[#This Row],[USD_Spend]]</f>
        <v>9.6811110023435223</v>
      </c>
    </row>
    <row r="273" spans="1:9" x14ac:dyDescent="0.35">
      <c r="A273" s="3" t="s">
        <v>100</v>
      </c>
      <c r="B273" s="15">
        <v>42313.24</v>
      </c>
      <c r="C273" s="1" t="str">
        <f>IF(OR(Table14[[#This Row],[USD_Spend]]&gt;($B$4+1.5*$B$8),Table14[[#This Row],[USD_Spend]]&lt;($B$6-1.5*$B$8)),"Outlier","Normal")</f>
        <v>Normal</v>
      </c>
      <c r="D273" s="1">
        <v>340926</v>
      </c>
      <c r="E273" s="1">
        <v>20421</v>
      </c>
      <c r="F273" s="15">
        <v>131268.98000000001</v>
      </c>
      <c r="G273" s="15" t="str">
        <f>IF(OR(Table14[[#This Row],[Sales]]&gt;($B$5+1.5*$B$9),Table14[[#This Row],[Sales]]&lt;($B$7-1.5*$B$9)),"Outlier","Normal")</f>
        <v>Normal</v>
      </c>
      <c r="H273" s="22"/>
      <c r="I273" s="22">
        <f>Table1[[#This Row],[Sales]]/Table1[[#This Row],[USD_Spend]]</f>
        <v>71.278304831808001</v>
      </c>
    </row>
    <row r="274" spans="1:9" x14ac:dyDescent="0.35">
      <c r="A274" s="3" t="s">
        <v>67</v>
      </c>
      <c r="B274" s="15">
        <v>26783.94</v>
      </c>
      <c r="C274" s="1" t="str">
        <f>IF(OR(Table14[[#This Row],[USD_Spend]]&gt;($B$4+1.5*$B$8),Table14[[#This Row],[USD_Spend]]&lt;($B$6-1.5*$B$8)),"Outlier","Normal")</f>
        <v>Normal</v>
      </c>
      <c r="D274" s="1">
        <v>874637</v>
      </c>
      <c r="E274" s="1">
        <v>26264</v>
      </c>
      <c r="F274" s="15">
        <v>153187.91</v>
      </c>
      <c r="G274" s="15" t="str">
        <f>IF(OR(Table14[[#This Row],[Sales]]&gt;($B$5+1.5*$B$9),Table14[[#This Row],[Sales]]&lt;($B$7-1.5*$B$9)),"Outlier","Normal")</f>
        <v>Normal</v>
      </c>
      <c r="H274" s="22"/>
      <c r="I274" s="22">
        <f>Table1[[#This Row],[Sales]]/Table1[[#This Row],[USD_Spend]]</f>
        <v>141.56330073774507</v>
      </c>
    </row>
    <row r="275" spans="1:9" x14ac:dyDescent="0.35">
      <c r="A275" s="3" t="s">
        <v>27</v>
      </c>
      <c r="B275" s="15">
        <v>9804.5</v>
      </c>
      <c r="C275" s="1" t="str">
        <f>IF(OR(Table14[[#This Row],[USD_Spend]]&gt;($B$4+1.5*$B$8),Table14[[#This Row],[USD_Spend]]&lt;($B$6-1.5*$B$8)),"Outlier","Normal")</f>
        <v>Normal</v>
      </c>
      <c r="D275" s="1">
        <v>490921</v>
      </c>
      <c r="E275" s="1">
        <v>32712</v>
      </c>
      <c r="F275" s="15">
        <v>214575.71</v>
      </c>
      <c r="G275" s="15" t="str">
        <f>IF(OR(Table14[[#This Row],[Sales]]&gt;($B$5+1.5*$B$9),Table14[[#This Row],[Sales]]&lt;($B$7-1.5*$B$9)),"Outlier","Normal")</f>
        <v>Normal</v>
      </c>
      <c r="H275" s="22"/>
      <c r="I275" s="22">
        <f>Table1[[#This Row],[Sales]]/Table1[[#This Row],[USD_Spend]]</f>
        <v>25.425047943257205</v>
      </c>
    </row>
    <row r="276" spans="1:9" x14ac:dyDescent="0.35">
      <c r="A276" s="3" t="s">
        <v>79</v>
      </c>
      <c r="B276" s="15">
        <v>10611.46</v>
      </c>
      <c r="C276" s="1" t="str">
        <f>IF(OR(Table14[[#This Row],[USD_Spend]]&gt;($B$4+1.5*$B$8),Table14[[#This Row],[USD_Spend]]&lt;($B$6-1.5*$B$8)),"Outlier","Normal")</f>
        <v>Normal</v>
      </c>
      <c r="D276" s="1">
        <v>425011</v>
      </c>
      <c r="E276" s="1">
        <v>8677</v>
      </c>
      <c r="F276" s="15">
        <v>169564.1</v>
      </c>
      <c r="G276" s="15" t="str">
        <f>IF(OR(Table14[[#This Row],[Sales]]&gt;($B$5+1.5*$B$9),Table14[[#This Row],[Sales]]&lt;($B$7-1.5*$B$9)),"Outlier","Normal")</f>
        <v>Normal</v>
      </c>
      <c r="H276" s="22"/>
      <c r="I276" s="22">
        <f>Table1[[#This Row],[Sales]]/Table1[[#This Row],[USD_Spend]]</f>
        <v>33.028570932081408</v>
      </c>
    </row>
    <row r="277" spans="1:9" x14ac:dyDescent="0.35">
      <c r="A277" s="3" t="s">
        <v>101</v>
      </c>
      <c r="B277" s="15">
        <v>7066.41</v>
      </c>
      <c r="C277" s="1" t="str">
        <f>IF(OR(Table14[[#This Row],[USD_Spend]]&gt;($B$4+1.5*$B$8),Table14[[#This Row],[USD_Spend]]&lt;($B$6-1.5*$B$8)),"Outlier","Normal")</f>
        <v>Normal</v>
      </c>
      <c r="D277" s="1">
        <v>158433</v>
      </c>
      <c r="E277" s="1">
        <v>46260</v>
      </c>
      <c r="F277" s="15">
        <v>201980.7</v>
      </c>
      <c r="G277" s="15" t="str">
        <f>IF(OR(Table14[[#This Row],[Sales]]&gt;($B$5+1.5*$B$9),Table14[[#This Row],[Sales]]&lt;($B$7-1.5*$B$9)),"Outlier","Normal")</f>
        <v>Normal</v>
      </c>
      <c r="H277" s="22"/>
      <c r="I277" s="22">
        <f>Table1[[#This Row],[Sales]]/Table1[[#This Row],[USD_Spend]]</f>
        <v>1.8765385060788835</v>
      </c>
    </row>
    <row r="278" spans="1:9" x14ac:dyDescent="0.35">
      <c r="A278" s="3" t="s">
        <v>75</v>
      </c>
      <c r="B278" s="15">
        <v>37844.6</v>
      </c>
      <c r="C278" s="1" t="str">
        <f>IF(OR(Table14[[#This Row],[USD_Spend]]&gt;($B$4+1.5*$B$8),Table14[[#This Row],[USD_Spend]]&lt;($B$6-1.5*$B$8)),"Outlier","Normal")</f>
        <v>Normal</v>
      </c>
      <c r="D278" s="1">
        <v>506574</v>
      </c>
      <c r="E278" s="1">
        <v>7669</v>
      </c>
      <c r="F278" s="15">
        <v>80546.58</v>
      </c>
      <c r="G278" s="15" t="str">
        <f>IF(OR(Table14[[#This Row],[Sales]]&gt;($B$5+1.5*$B$9),Table14[[#This Row],[Sales]]&lt;($B$7-1.5*$B$9)),"Outlier","Normal")</f>
        <v>Normal</v>
      </c>
      <c r="H278" s="22"/>
      <c r="I278" s="22">
        <f>Table1[[#This Row],[Sales]]/Table1[[#This Row],[USD_Spend]]</f>
        <v>9.1130058478249296</v>
      </c>
    </row>
    <row r="279" spans="1:9" x14ac:dyDescent="0.35">
      <c r="A279" s="3" t="s">
        <v>68</v>
      </c>
      <c r="B279" s="15">
        <v>24577.439999999999</v>
      </c>
      <c r="C279" s="1" t="str">
        <f>IF(OR(Table14[[#This Row],[USD_Spend]]&gt;($B$4+1.5*$B$8),Table14[[#This Row],[USD_Spend]]&lt;($B$6-1.5*$B$8)),"Outlier","Normal")</f>
        <v>Normal</v>
      </c>
      <c r="D279" s="1">
        <v>255770</v>
      </c>
      <c r="E279" s="1">
        <v>26045</v>
      </c>
      <c r="F279" s="15">
        <v>58555.46</v>
      </c>
      <c r="G279" s="15" t="str">
        <f>IF(OR(Table14[[#This Row],[Sales]]&gt;($B$5+1.5*$B$9),Table14[[#This Row],[Sales]]&lt;($B$7-1.5*$B$9)),"Outlier","Normal")</f>
        <v>Normal</v>
      </c>
      <c r="H279" s="22"/>
      <c r="I279" s="22">
        <f>Table1[[#This Row],[Sales]]/Table1[[#This Row],[USD_Spend]]</f>
        <v>14.371262329035199</v>
      </c>
    </row>
    <row r="280" spans="1:9" x14ac:dyDescent="0.35">
      <c r="A280" s="3" t="s">
        <v>77</v>
      </c>
      <c r="B280" s="15">
        <v>2844.22</v>
      </c>
      <c r="C280" s="1" t="str">
        <f>IF(OR(Table14[[#This Row],[USD_Spend]]&gt;($B$4+1.5*$B$8),Table14[[#This Row],[USD_Spend]]&lt;($B$6-1.5*$B$8)),"Outlier","Normal")</f>
        <v>Normal</v>
      </c>
      <c r="D280" s="1">
        <v>705732</v>
      </c>
      <c r="E280" s="1">
        <v>40397</v>
      </c>
      <c r="F280" s="15">
        <v>20893.900000000001</v>
      </c>
      <c r="G280" s="15" t="str">
        <f>IF(OR(Table14[[#This Row],[Sales]]&gt;($B$5+1.5*$B$9),Table14[[#This Row],[Sales]]&lt;($B$7-1.5*$B$9)),"Outlier","Normal")</f>
        <v>Normal</v>
      </c>
      <c r="H280" s="22"/>
      <c r="I280" s="22">
        <f>Table1[[#This Row],[Sales]]/Table1[[#This Row],[USD_Spend]]</f>
        <v>48.33211479783612</v>
      </c>
    </row>
    <row r="281" spans="1:9" x14ac:dyDescent="0.35">
      <c r="A281" s="3" t="s">
        <v>101</v>
      </c>
      <c r="B281" s="15">
        <v>8916.2000000000007</v>
      </c>
      <c r="C281" s="1" t="str">
        <f>IF(OR(Table14[[#This Row],[USD_Spend]]&gt;($B$4+1.5*$B$8),Table14[[#This Row],[USD_Spend]]&lt;($B$6-1.5*$B$8)),"Outlier","Normal")</f>
        <v>Normal</v>
      </c>
      <c r="D281" s="1">
        <v>33536</v>
      </c>
      <c r="E281" s="1">
        <v>16069</v>
      </c>
      <c r="F281" s="15">
        <v>15570.36</v>
      </c>
      <c r="G281" s="15" t="str">
        <f>IF(OR(Table14[[#This Row],[Sales]]&gt;($B$5+1.5*$B$9),Table14[[#This Row],[Sales]]&lt;($B$7-1.5*$B$9)),"Outlier","Normal")</f>
        <v>Normal</v>
      </c>
      <c r="H281" s="22"/>
      <c r="I281" s="22">
        <f>Table1[[#This Row],[Sales]]/Table1[[#This Row],[USD_Spend]]</f>
        <v>89.225268981789128</v>
      </c>
    </row>
    <row r="282" spans="1:9" x14ac:dyDescent="0.35">
      <c r="A282" s="3" t="s">
        <v>18</v>
      </c>
      <c r="B282" s="15">
        <v>23904.18</v>
      </c>
      <c r="C282" s="1" t="str">
        <f>IF(OR(Table14[[#This Row],[USD_Spend]]&gt;($B$4+1.5*$B$8),Table14[[#This Row],[USD_Spend]]&lt;($B$6-1.5*$B$8)),"Outlier","Normal")</f>
        <v>Normal</v>
      </c>
      <c r="D282" s="1">
        <v>294263</v>
      </c>
      <c r="E282" s="1">
        <v>3151</v>
      </c>
      <c r="F282" s="15">
        <v>231419.02</v>
      </c>
      <c r="G282" s="15" t="str">
        <f>IF(OR(Table14[[#This Row],[Sales]]&gt;($B$5+1.5*$B$9),Table14[[#This Row],[Sales]]&lt;($B$7-1.5*$B$9)),"Outlier","Normal")</f>
        <v>Normal</v>
      </c>
      <c r="H282" s="22"/>
      <c r="I282" s="22">
        <f>Table1[[#This Row],[Sales]]/Table1[[#This Row],[USD_Spend]]</f>
        <v>37.163287006502316</v>
      </c>
    </row>
    <row r="283" spans="1:9" x14ac:dyDescent="0.35">
      <c r="A283" s="3" t="s">
        <v>84</v>
      </c>
      <c r="B283" s="15">
        <v>2626.76</v>
      </c>
      <c r="C283" s="1" t="str">
        <f>IF(OR(Table14[[#This Row],[USD_Spend]]&gt;($B$4+1.5*$B$8),Table14[[#This Row],[USD_Spend]]&lt;($B$6-1.5*$B$8)),"Outlier","Normal")</f>
        <v>Normal</v>
      </c>
      <c r="D283" s="1">
        <v>348869</v>
      </c>
      <c r="E283" s="1">
        <v>3739</v>
      </c>
      <c r="F283" s="15">
        <v>187231</v>
      </c>
      <c r="G283" s="15" t="str">
        <f>IF(OR(Table14[[#This Row],[Sales]]&gt;($B$5+1.5*$B$9),Table14[[#This Row],[Sales]]&lt;($B$7-1.5*$B$9)),"Outlier","Normal")</f>
        <v>Normal</v>
      </c>
      <c r="H283" s="22"/>
      <c r="I283" s="22">
        <f>Table1[[#This Row],[Sales]]/Table1[[#This Row],[USD_Spend]]</f>
        <v>153.23189825700743</v>
      </c>
    </row>
    <row r="284" spans="1:9" x14ac:dyDescent="0.35">
      <c r="A284" s="3" t="s">
        <v>71</v>
      </c>
      <c r="B284" s="15">
        <v>1266.02</v>
      </c>
      <c r="C284" s="1" t="str">
        <f>IF(OR(Table14[[#This Row],[USD_Spend]]&gt;($B$4+1.5*$B$8),Table14[[#This Row],[USD_Spend]]&lt;($B$6-1.5*$B$8)),"Outlier","Normal")</f>
        <v>Normal</v>
      </c>
      <c r="D284" s="1">
        <v>139144</v>
      </c>
      <c r="E284" s="1">
        <v>24124</v>
      </c>
      <c r="F284" s="15">
        <v>179221.97</v>
      </c>
      <c r="G284" s="15" t="str">
        <f>IF(OR(Table14[[#This Row],[Sales]]&gt;($B$5+1.5*$B$9),Table14[[#This Row],[Sales]]&lt;($B$7-1.5*$B$9)),"Outlier","Normal")</f>
        <v>Normal</v>
      </c>
      <c r="H284" s="22"/>
      <c r="I284" s="22">
        <f>Table1[[#This Row],[Sales]]/Table1[[#This Row],[USD_Spend]]</f>
        <v>63.900677615463351</v>
      </c>
    </row>
    <row r="285" spans="1:9" x14ac:dyDescent="0.35">
      <c r="A285" s="3" t="s">
        <v>117</v>
      </c>
      <c r="B285" s="15">
        <v>5449.15</v>
      </c>
      <c r="C285" s="1" t="str">
        <f>IF(OR(Table14[[#This Row],[USD_Spend]]&gt;($B$4+1.5*$B$8),Table14[[#This Row],[USD_Spend]]&lt;($B$6-1.5*$B$8)),"Outlier","Normal")</f>
        <v>Normal</v>
      </c>
      <c r="D285" s="1">
        <v>486660</v>
      </c>
      <c r="E285" s="1">
        <v>2608</v>
      </c>
      <c r="F285" s="15">
        <v>138544.9</v>
      </c>
      <c r="G285" s="15" t="str">
        <f>IF(OR(Table14[[#This Row],[Sales]]&gt;($B$5+1.5*$B$9),Table14[[#This Row],[Sales]]&lt;($B$7-1.5*$B$9)),"Outlier","Normal")</f>
        <v>Normal</v>
      </c>
      <c r="H285" s="22"/>
      <c r="I285" s="22">
        <f>Table1[[#This Row],[Sales]]/Table1[[#This Row],[USD_Spend]]</f>
        <v>55.109348894449013</v>
      </c>
    </row>
    <row r="286" spans="1:9" x14ac:dyDescent="0.35">
      <c r="A286" s="3" t="s">
        <v>120</v>
      </c>
      <c r="B286" s="15">
        <v>3452.81</v>
      </c>
      <c r="C286" s="1" t="str">
        <f>IF(OR(Table14[[#This Row],[USD_Spend]]&gt;($B$4+1.5*$B$8),Table14[[#This Row],[USD_Spend]]&lt;($B$6-1.5*$B$8)),"Outlier","Normal")</f>
        <v>Normal</v>
      </c>
      <c r="D286" s="1">
        <v>554676</v>
      </c>
      <c r="E286" s="1">
        <v>44663</v>
      </c>
      <c r="F286" s="15">
        <v>114041.38</v>
      </c>
      <c r="G286" s="15" t="str">
        <f>IF(OR(Table14[[#This Row],[Sales]]&gt;($B$5+1.5*$B$9),Table14[[#This Row],[Sales]]&lt;($B$7-1.5*$B$9)),"Outlier","Normal")</f>
        <v>Normal</v>
      </c>
      <c r="H286" s="22"/>
      <c r="I286" s="22">
        <f>Table1[[#This Row],[Sales]]/Table1[[#This Row],[USD_Spend]]</f>
        <v>56.134966393928394</v>
      </c>
    </row>
    <row r="287" spans="1:9" x14ac:dyDescent="0.35">
      <c r="A287" s="3" t="s">
        <v>97</v>
      </c>
      <c r="B287" s="15">
        <v>11312.11</v>
      </c>
      <c r="C287" s="1" t="str">
        <f>IF(OR(Table14[[#This Row],[USD_Spend]]&gt;($B$4+1.5*$B$8),Table14[[#This Row],[USD_Spend]]&lt;($B$6-1.5*$B$8)),"Outlier","Normal")</f>
        <v>Normal</v>
      </c>
      <c r="D287" s="1">
        <v>253949</v>
      </c>
      <c r="E287" s="1">
        <v>36907</v>
      </c>
      <c r="F287" s="15">
        <v>21227.61</v>
      </c>
      <c r="G287" s="15" t="str">
        <f>IF(OR(Table14[[#This Row],[Sales]]&gt;($B$5+1.5*$B$9),Table14[[#This Row],[Sales]]&lt;($B$7-1.5*$B$9)),"Outlier","Normal")</f>
        <v>Normal</v>
      </c>
      <c r="H287" s="22"/>
      <c r="I287" s="22">
        <f>Table1[[#This Row],[Sales]]/Table1[[#This Row],[USD_Spend]]</f>
        <v>2.3344034646207494</v>
      </c>
    </row>
    <row r="288" spans="1:9" x14ac:dyDescent="0.35">
      <c r="A288" s="3" t="s">
        <v>72</v>
      </c>
      <c r="B288" s="15">
        <v>25527.439999999999</v>
      </c>
      <c r="C288" s="1" t="str">
        <f>IF(OR(Table14[[#This Row],[USD_Spend]]&gt;($B$4+1.5*$B$8),Table14[[#This Row],[USD_Spend]]&lt;($B$6-1.5*$B$8)),"Outlier","Normal")</f>
        <v>Normal</v>
      </c>
      <c r="D288" s="1">
        <v>238026</v>
      </c>
      <c r="E288" s="1">
        <v>20076</v>
      </c>
      <c r="F288" s="15">
        <v>232631.71</v>
      </c>
      <c r="G288" s="15" t="str">
        <f>IF(OR(Table14[[#This Row],[Sales]]&gt;($B$5+1.5*$B$9),Table14[[#This Row],[Sales]]&lt;($B$7-1.5*$B$9)),"Outlier","Normal")</f>
        <v>Normal</v>
      </c>
      <c r="H288" s="22"/>
      <c r="I288" s="22">
        <f>Table1[[#This Row],[Sales]]/Table1[[#This Row],[USD_Spend]]</f>
        <v>7.6822779839720292</v>
      </c>
    </row>
    <row r="289" spans="1:9" x14ac:dyDescent="0.35">
      <c r="A289" s="3" t="s">
        <v>71</v>
      </c>
      <c r="B289" s="15">
        <v>8405.9699999999993</v>
      </c>
      <c r="C289" s="1" t="str">
        <f>IF(OR(Table14[[#This Row],[USD_Spend]]&gt;($B$4+1.5*$B$8),Table14[[#This Row],[USD_Spend]]&lt;($B$6-1.5*$B$8)),"Outlier","Normal")</f>
        <v>Normal</v>
      </c>
      <c r="D289" s="1">
        <v>608782</v>
      </c>
      <c r="E289" s="1">
        <v>37862</v>
      </c>
      <c r="F289" s="15">
        <v>120804.4</v>
      </c>
      <c r="G289" s="15" t="str">
        <f>IF(OR(Table14[[#This Row],[Sales]]&gt;($B$5+1.5*$B$9),Table14[[#This Row],[Sales]]&lt;($B$7-1.5*$B$9)),"Outlier","Normal")</f>
        <v>Normal</v>
      </c>
      <c r="H289" s="22"/>
      <c r="I289" s="22">
        <f>Table1[[#This Row],[Sales]]/Table1[[#This Row],[USD_Spend]]</f>
        <v>4.6307661982643697</v>
      </c>
    </row>
    <row r="290" spans="1:9" x14ac:dyDescent="0.35">
      <c r="A290" s="3" t="s">
        <v>72</v>
      </c>
      <c r="B290" s="15">
        <v>2035.23</v>
      </c>
      <c r="C290" s="1" t="str">
        <f>IF(OR(Table14[[#This Row],[USD_Spend]]&gt;($B$4+1.5*$B$8),Table14[[#This Row],[USD_Spend]]&lt;($B$6-1.5*$B$8)),"Outlier","Normal")</f>
        <v>Normal</v>
      </c>
      <c r="D290" s="1">
        <v>771538</v>
      </c>
      <c r="E290" s="1">
        <v>9935</v>
      </c>
      <c r="F290" s="15">
        <v>98366.97</v>
      </c>
      <c r="G290" s="15" t="str">
        <f>IF(OR(Table14[[#This Row],[Sales]]&gt;($B$5+1.5*$B$9),Table14[[#This Row],[Sales]]&lt;($B$7-1.5*$B$9)),"Outlier","Normal")</f>
        <v>Normal</v>
      </c>
      <c r="H290" s="22"/>
      <c r="I290" s="22">
        <f>Table1[[#This Row],[Sales]]/Table1[[#This Row],[USD_Spend]]</f>
        <v>4.0591846161945693</v>
      </c>
    </row>
    <row r="291" spans="1:9" x14ac:dyDescent="0.35">
      <c r="A291" s="3" t="s">
        <v>111</v>
      </c>
      <c r="B291" s="15">
        <v>2678.62</v>
      </c>
      <c r="C291" s="1" t="str">
        <f>IF(OR(Table14[[#This Row],[USD_Spend]]&gt;($B$4+1.5*$B$8),Table14[[#This Row],[USD_Spend]]&lt;($B$6-1.5*$B$8)),"Outlier","Normal")</f>
        <v>Normal</v>
      </c>
      <c r="D291" s="1">
        <v>722641</v>
      </c>
      <c r="E291" s="1">
        <v>37903</v>
      </c>
      <c r="F291" s="15">
        <v>239000.59</v>
      </c>
      <c r="G291" s="15" t="str">
        <f>IF(OR(Table14[[#This Row],[Sales]]&gt;($B$5+1.5*$B$9),Table14[[#This Row],[Sales]]&lt;($B$7-1.5*$B$9)),"Outlier","Normal")</f>
        <v>Normal</v>
      </c>
      <c r="H291" s="22"/>
      <c r="I291" s="22">
        <f>Table1[[#This Row],[Sales]]/Table1[[#This Row],[USD_Spend]]</f>
        <v>2.923466746840818</v>
      </c>
    </row>
    <row r="292" spans="1:9" x14ac:dyDescent="0.35">
      <c r="A292" s="3" t="s">
        <v>34</v>
      </c>
      <c r="B292" s="15">
        <v>5473.43</v>
      </c>
      <c r="C292" s="1" t="str">
        <f>IF(OR(Table14[[#This Row],[USD_Spend]]&gt;($B$4+1.5*$B$8),Table14[[#This Row],[USD_Spend]]&lt;($B$6-1.5*$B$8)),"Outlier","Normal")</f>
        <v>Normal</v>
      </c>
      <c r="D292" s="1">
        <v>801662</v>
      </c>
      <c r="E292" s="1">
        <v>41789</v>
      </c>
      <c r="F292" s="15">
        <v>203410.65</v>
      </c>
      <c r="G292" s="15" t="str">
        <f>IF(OR(Table14[[#This Row],[Sales]]&gt;($B$5+1.5*$B$9),Table14[[#This Row],[Sales]]&lt;($B$7-1.5*$B$9)),"Outlier","Normal")</f>
        <v>Normal</v>
      </c>
      <c r="H292" s="22"/>
      <c r="I292" s="22">
        <f>Table1[[#This Row],[Sales]]/Table1[[#This Row],[USD_Spend]]</f>
        <v>11.572499814967026</v>
      </c>
    </row>
    <row r="293" spans="1:9" x14ac:dyDescent="0.35">
      <c r="A293" s="3" t="s">
        <v>27</v>
      </c>
      <c r="B293" s="15">
        <v>1071.72</v>
      </c>
      <c r="C293" s="1" t="str">
        <f>IF(OR(Table14[[#This Row],[USD_Spend]]&gt;($B$4+1.5*$B$8),Table14[[#This Row],[USD_Spend]]&lt;($B$6-1.5*$B$8)),"Outlier","Normal")</f>
        <v>Normal</v>
      </c>
      <c r="D293" s="1">
        <v>218496</v>
      </c>
      <c r="E293" s="1">
        <v>47025</v>
      </c>
      <c r="F293" s="15">
        <v>164221.69</v>
      </c>
      <c r="G293" s="15" t="str">
        <f>IF(OR(Table14[[#This Row],[Sales]]&gt;($B$5+1.5*$B$9),Table14[[#This Row],[Sales]]&lt;($B$7-1.5*$B$9)),"Outlier","Normal")</f>
        <v>Normal</v>
      </c>
      <c r="H293" s="22"/>
      <c r="I293" s="22">
        <f>Table1[[#This Row],[Sales]]/Table1[[#This Row],[USD_Spend]]</f>
        <v>1084.7236242957476</v>
      </c>
    </row>
    <row r="294" spans="1:9" x14ac:dyDescent="0.35">
      <c r="A294" s="3" t="s">
        <v>95</v>
      </c>
      <c r="B294" s="15">
        <v>3702.69</v>
      </c>
      <c r="C294" s="1" t="str">
        <f>IF(OR(Table14[[#This Row],[USD_Spend]]&gt;($B$4+1.5*$B$8),Table14[[#This Row],[USD_Spend]]&lt;($B$6-1.5*$B$8)),"Outlier","Normal")</f>
        <v>Normal</v>
      </c>
      <c r="D294" s="1">
        <v>224353</v>
      </c>
      <c r="E294" s="1">
        <v>19853</v>
      </c>
      <c r="F294" s="15">
        <v>236604.4</v>
      </c>
      <c r="G294" s="15" t="str">
        <f>IF(OR(Table14[[#This Row],[Sales]]&gt;($B$5+1.5*$B$9),Table14[[#This Row],[Sales]]&lt;($B$7-1.5*$B$9)),"Outlier","Normal")</f>
        <v>Normal</v>
      </c>
      <c r="H294" s="22"/>
      <c r="I294" s="22">
        <f>Table1[[#This Row],[Sales]]/Table1[[#This Row],[USD_Spend]]</f>
        <v>163.12935117527951</v>
      </c>
    </row>
    <row r="295" spans="1:9" x14ac:dyDescent="0.35">
      <c r="A295" s="3" t="s">
        <v>18</v>
      </c>
      <c r="B295" s="15">
        <v>3680.97</v>
      </c>
      <c r="C295" s="1" t="str">
        <f>IF(OR(Table14[[#This Row],[USD_Spend]]&gt;($B$4+1.5*$B$8),Table14[[#This Row],[USD_Spend]]&lt;($B$6-1.5*$B$8)),"Outlier","Normal")</f>
        <v>Normal</v>
      </c>
      <c r="D295" s="1">
        <v>551704</v>
      </c>
      <c r="E295" s="1">
        <v>40287</v>
      </c>
      <c r="F295" s="15">
        <v>202855.86</v>
      </c>
      <c r="G295" s="15" t="str">
        <f>IF(OR(Table14[[#This Row],[Sales]]&gt;($B$5+1.5*$B$9),Table14[[#This Row],[Sales]]&lt;($B$7-1.5*$B$9)),"Outlier","Normal")</f>
        <v>Normal</v>
      </c>
      <c r="H295" s="22"/>
      <c r="I295" s="22">
        <f>Table1[[#This Row],[Sales]]/Table1[[#This Row],[USD_Spend]]</f>
        <v>10.293330112381039</v>
      </c>
    </row>
    <row r="296" spans="1:9" x14ac:dyDescent="0.35">
      <c r="A296" s="3" t="s">
        <v>27</v>
      </c>
      <c r="B296" s="15">
        <v>2176.69</v>
      </c>
      <c r="C296" s="1" t="str">
        <f>IF(OR(Table14[[#This Row],[USD_Spend]]&gt;($B$4+1.5*$B$8),Table14[[#This Row],[USD_Spend]]&lt;($B$6-1.5*$B$8)),"Outlier","Normal")</f>
        <v>Normal</v>
      </c>
      <c r="D296" s="1">
        <v>848095</v>
      </c>
      <c r="E296" s="1">
        <v>27833</v>
      </c>
      <c r="F296" s="15">
        <v>122188.42</v>
      </c>
      <c r="G296" s="15" t="str">
        <f>IF(OR(Table14[[#This Row],[Sales]]&gt;($B$5+1.5*$B$9),Table14[[#This Row],[Sales]]&lt;($B$7-1.5*$B$9)),"Outlier","Normal")</f>
        <v>Normal</v>
      </c>
      <c r="H296" s="22"/>
      <c r="I296" s="22">
        <f>Table1[[#This Row],[Sales]]/Table1[[#This Row],[USD_Spend]]</f>
        <v>6.1304499917125046</v>
      </c>
    </row>
    <row r="297" spans="1:9" x14ac:dyDescent="0.35">
      <c r="A297" s="3" t="s">
        <v>111</v>
      </c>
      <c r="B297" s="15">
        <v>25339.57</v>
      </c>
      <c r="C297" s="1" t="str">
        <f>IF(OR(Table14[[#This Row],[USD_Spend]]&gt;($B$4+1.5*$B$8),Table14[[#This Row],[USD_Spend]]&lt;($B$6-1.5*$B$8)),"Outlier","Normal")</f>
        <v>Normal</v>
      </c>
      <c r="D297" s="1">
        <v>731068</v>
      </c>
      <c r="E297" s="1">
        <v>37798</v>
      </c>
      <c r="F297" s="15">
        <v>59152.78</v>
      </c>
      <c r="G297" s="15" t="str">
        <f>IF(OR(Table14[[#This Row],[Sales]]&gt;($B$5+1.5*$B$9),Table14[[#This Row],[Sales]]&lt;($B$7-1.5*$B$9)),"Outlier","Normal")</f>
        <v>Normal</v>
      </c>
      <c r="H297" s="22"/>
      <c r="I297" s="22">
        <f>Table1[[#This Row],[Sales]]/Table1[[#This Row],[USD_Spend]]</f>
        <v>6.3756871639109294</v>
      </c>
    </row>
    <row r="298" spans="1:9" x14ac:dyDescent="0.35">
      <c r="A298" s="3" t="s">
        <v>90</v>
      </c>
      <c r="B298" s="15">
        <v>12504.39</v>
      </c>
      <c r="C298" s="1" t="str">
        <f>IF(OR(Table14[[#This Row],[USD_Spend]]&gt;($B$4+1.5*$B$8),Table14[[#This Row],[USD_Spend]]&lt;($B$6-1.5*$B$8)),"Outlier","Normal")</f>
        <v>Normal</v>
      </c>
      <c r="D298" s="1">
        <v>450897</v>
      </c>
      <c r="E298" s="1">
        <v>21813</v>
      </c>
      <c r="F298" s="15">
        <v>96062.2</v>
      </c>
      <c r="G298" s="15" t="str">
        <f>IF(OR(Table14[[#This Row],[Sales]]&gt;($B$5+1.5*$B$9),Table14[[#This Row],[Sales]]&lt;($B$7-1.5*$B$9)),"Outlier","Normal")</f>
        <v>Normal</v>
      </c>
      <c r="H298" s="22"/>
      <c r="I298" s="22">
        <f>Table1[[#This Row],[Sales]]/Table1[[#This Row],[USD_Spend]]</f>
        <v>43.132117413449933</v>
      </c>
    </row>
    <row r="299" spans="1:9" x14ac:dyDescent="0.35">
      <c r="A299" s="3" t="s">
        <v>106</v>
      </c>
      <c r="B299" s="15">
        <v>7711.32</v>
      </c>
      <c r="C299" s="1" t="str">
        <f>IF(OR(Table14[[#This Row],[USD_Spend]]&gt;($B$4+1.5*$B$8),Table14[[#This Row],[USD_Spend]]&lt;($B$6-1.5*$B$8)),"Outlier","Normal")</f>
        <v>Normal</v>
      </c>
      <c r="D299" s="1">
        <v>247580</v>
      </c>
      <c r="E299" s="1">
        <v>20247</v>
      </c>
      <c r="F299" s="15">
        <v>35709.32</v>
      </c>
      <c r="G299" s="15" t="str">
        <f>IF(OR(Table14[[#This Row],[Sales]]&gt;($B$5+1.5*$B$9),Table14[[#This Row],[Sales]]&lt;($B$7-1.5*$B$9)),"Outlier","Normal")</f>
        <v>Normal</v>
      </c>
      <c r="H299" s="22"/>
      <c r="I299" s="22">
        <f>Table1[[#This Row],[Sales]]/Table1[[#This Row],[USD_Spend]]</f>
        <v>10.274476306780732</v>
      </c>
    </row>
    <row r="300" spans="1:9" x14ac:dyDescent="0.35">
      <c r="A300" s="3" t="s">
        <v>101</v>
      </c>
      <c r="B300" s="15">
        <v>23553.08</v>
      </c>
      <c r="C300" s="1" t="str">
        <f>IF(OR(Table14[[#This Row],[USD_Spend]]&gt;($B$4+1.5*$B$8),Table14[[#This Row],[USD_Spend]]&lt;($B$6-1.5*$B$8)),"Outlier","Normal")</f>
        <v>Normal</v>
      </c>
      <c r="D300" s="1">
        <v>253390</v>
      </c>
      <c r="E300" s="1">
        <v>29400</v>
      </c>
      <c r="F300" s="15">
        <v>95606.3</v>
      </c>
      <c r="G300" s="15" t="str">
        <f>IF(OR(Table14[[#This Row],[Sales]]&gt;($B$5+1.5*$B$9),Table14[[#This Row],[Sales]]&lt;($B$7-1.5*$B$9)),"Outlier","Normal")</f>
        <v>Normal</v>
      </c>
      <c r="H300" s="22"/>
      <c r="I300" s="22">
        <f>Table1[[#This Row],[Sales]]/Table1[[#This Row],[USD_Spend]]</f>
        <v>1562.923330857473</v>
      </c>
    </row>
    <row r="301" spans="1:9" x14ac:dyDescent="0.35">
      <c r="A301" s="3" t="s">
        <v>68</v>
      </c>
      <c r="B301" s="15">
        <v>9678.93</v>
      </c>
      <c r="C301" s="1" t="str">
        <f>IF(OR(Table14[[#This Row],[USD_Spend]]&gt;($B$4+1.5*$B$8),Table14[[#This Row],[USD_Spend]]&lt;($B$6-1.5*$B$8)),"Outlier","Normal")</f>
        <v>Normal</v>
      </c>
      <c r="D301" s="1">
        <v>446196</v>
      </c>
      <c r="E301" s="1">
        <v>47915</v>
      </c>
      <c r="F301" s="15">
        <v>28296.03</v>
      </c>
      <c r="G301" s="15" t="str">
        <f>IF(OR(Table14[[#This Row],[Sales]]&gt;($B$5+1.5*$B$9),Table14[[#This Row],[Sales]]&lt;($B$7-1.5*$B$9)),"Outlier","Normal")</f>
        <v>Normal</v>
      </c>
      <c r="H301" s="22"/>
      <c r="I301" s="22">
        <f>Table1[[#This Row],[Sales]]/Table1[[#This Row],[USD_Spend]]</f>
        <v>38.683917157678586</v>
      </c>
    </row>
    <row r="302" spans="1:9" x14ac:dyDescent="0.35">
      <c r="A302" s="3" t="s">
        <v>105</v>
      </c>
      <c r="B302" s="15">
        <v>12835.55</v>
      </c>
      <c r="C302" s="1" t="str">
        <f>IF(OR(Table14[[#This Row],[USD_Spend]]&gt;($B$4+1.5*$B$8),Table14[[#This Row],[USD_Spend]]&lt;($B$6-1.5*$B$8)),"Outlier","Normal")</f>
        <v>Normal</v>
      </c>
      <c r="D302" s="1">
        <v>204760</v>
      </c>
      <c r="E302" s="1">
        <v>44644</v>
      </c>
      <c r="F302" s="15">
        <v>148539.4</v>
      </c>
      <c r="G302" s="15" t="str">
        <f>IF(OR(Table14[[#This Row],[Sales]]&gt;($B$5+1.5*$B$9),Table14[[#This Row],[Sales]]&lt;($B$7-1.5*$B$9)),"Outlier","Normal")</f>
        <v>Normal</v>
      </c>
      <c r="H302" s="22"/>
      <c r="I302" s="22">
        <f>Table1[[#This Row],[Sales]]/Table1[[#This Row],[USD_Spend]]</f>
        <v>255.0497175395557</v>
      </c>
    </row>
    <row r="303" spans="1:9" x14ac:dyDescent="0.35">
      <c r="A303" s="3" t="s">
        <v>85</v>
      </c>
      <c r="B303" s="15">
        <v>129.57</v>
      </c>
      <c r="C303" s="1" t="str">
        <f>IF(OR(Table14[[#This Row],[USD_Spend]]&gt;($B$4+1.5*$B$8),Table14[[#This Row],[USD_Spend]]&lt;($B$6-1.5*$B$8)),"Outlier","Normal")</f>
        <v>Normal</v>
      </c>
      <c r="D303" s="1">
        <v>614402</v>
      </c>
      <c r="E303" s="1">
        <v>20799</v>
      </c>
      <c r="F303" s="15">
        <v>140547.64000000001</v>
      </c>
      <c r="G303" s="15" t="str">
        <f>IF(OR(Table14[[#This Row],[Sales]]&gt;($B$5+1.5*$B$9),Table14[[#This Row],[Sales]]&lt;($B$7-1.5*$B$9)),"Outlier","Normal")</f>
        <v>Normal</v>
      </c>
      <c r="H303" s="22"/>
      <c r="I303" s="22">
        <f>Table1[[#This Row],[Sales]]/Table1[[#This Row],[USD_Spend]]</f>
        <v>6.7423136113536888</v>
      </c>
    </row>
    <row r="304" spans="1:9" x14ac:dyDescent="0.35">
      <c r="A304" s="3" t="s">
        <v>72</v>
      </c>
      <c r="B304" s="15">
        <v>1135.9000000000001</v>
      </c>
      <c r="C304" s="1" t="str">
        <f>IF(OR(Table14[[#This Row],[USD_Spend]]&gt;($B$4+1.5*$B$8),Table14[[#This Row],[USD_Spend]]&lt;($B$6-1.5*$B$8)),"Outlier","Normal")</f>
        <v>Normal</v>
      </c>
      <c r="D304" s="1">
        <v>713011</v>
      </c>
      <c r="E304" s="1">
        <v>29138</v>
      </c>
      <c r="F304" s="15">
        <v>185298.63</v>
      </c>
      <c r="G304" s="15" t="str">
        <f>IF(OR(Table14[[#This Row],[Sales]]&gt;($B$5+1.5*$B$9),Table14[[#This Row],[Sales]]&lt;($B$7-1.5*$B$9)),"Outlier","Normal")</f>
        <v>Normal</v>
      </c>
      <c r="H304" s="22"/>
      <c r="I304" s="22">
        <f>Table1[[#This Row],[Sales]]/Table1[[#This Row],[USD_Spend]]</f>
        <v>75.702445912837817</v>
      </c>
    </row>
    <row r="305" spans="1:9" x14ac:dyDescent="0.35">
      <c r="A305" s="3" t="s">
        <v>102</v>
      </c>
      <c r="B305" s="15">
        <v>19869.900000000001</v>
      </c>
      <c r="C305" s="1" t="str">
        <f>IF(OR(Table14[[#This Row],[USD_Spend]]&gt;($B$4+1.5*$B$8),Table14[[#This Row],[USD_Spend]]&lt;($B$6-1.5*$B$8)),"Outlier","Normal")</f>
        <v>Normal</v>
      </c>
      <c r="D305" s="1">
        <v>501507</v>
      </c>
      <c r="E305" s="1">
        <v>47450</v>
      </c>
      <c r="F305" s="15">
        <v>204527.44</v>
      </c>
      <c r="G305" s="15" t="str">
        <f>IF(OR(Table14[[#This Row],[Sales]]&gt;($B$5+1.5*$B$9),Table14[[#This Row],[Sales]]&lt;($B$7-1.5*$B$9)),"Outlier","Normal")</f>
        <v>Normal</v>
      </c>
      <c r="H305" s="22"/>
      <c r="I305" s="22">
        <f>Table1[[#This Row],[Sales]]/Table1[[#This Row],[USD_Spend]]</f>
        <v>0.82266763395170484</v>
      </c>
    </row>
    <row r="306" spans="1:9" x14ac:dyDescent="0.35">
      <c r="A306" s="3" t="s">
        <v>70</v>
      </c>
      <c r="B306" s="15">
        <v>20754.16</v>
      </c>
      <c r="C306" s="1" t="str">
        <f>IF(OR(Table14[[#This Row],[USD_Spend]]&gt;($B$4+1.5*$B$8),Table14[[#This Row],[USD_Spend]]&lt;($B$6-1.5*$B$8)),"Outlier","Normal")</f>
        <v>Normal</v>
      </c>
      <c r="D306" s="1">
        <v>129787</v>
      </c>
      <c r="E306" s="1">
        <v>1495</v>
      </c>
      <c r="F306" s="15">
        <v>127232.34</v>
      </c>
      <c r="G306" s="15" t="str">
        <f>IF(OR(Table14[[#This Row],[Sales]]&gt;($B$5+1.5*$B$9),Table14[[#This Row],[Sales]]&lt;($B$7-1.5*$B$9)),"Outlier","Normal")</f>
        <v>Normal</v>
      </c>
      <c r="H306" s="22"/>
      <c r="I306" s="22">
        <f>Table1[[#This Row],[Sales]]/Table1[[#This Row],[USD_Spend]]</f>
        <v>9.7858655548594182</v>
      </c>
    </row>
    <row r="307" spans="1:9" x14ac:dyDescent="0.35">
      <c r="A307" s="3" t="s">
        <v>47</v>
      </c>
      <c r="B307" s="15">
        <v>26358.34</v>
      </c>
      <c r="C307" s="1" t="str">
        <f>IF(OR(Table14[[#This Row],[USD_Spend]]&gt;($B$4+1.5*$B$8),Table14[[#This Row],[USD_Spend]]&lt;($B$6-1.5*$B$8)),"Outlier","Normal")</f>
        <v>Normal</v>
      </c>
      <c r="D307" s="1">
        <v>759361</v>
      </c>
      <c r="E307" s="1">
        <v>41239</v>
      </c>
      <c r="F307" s="15">
        <v>168052.53</v>
      </c>
      <c r="G307" s="15" t="str">
        <f>IF(OR(Table14[[#This Row],[Sales]]&gt;($B$5+1.5*$B$9),Table14[[#This Row],[Sales]]&lt;($B$7-1.5*$B$9)),"Outlier","Normal")</f>
        <v>Normal</v>
      </c>
      <c r="H307" s="22"/>
      <c r="I307" s="22">
        <f>Table1[[#This Row],[Sales]]/Table1[[#This Row],[USD_Spend]]</f>
        <v>2.9092923568044644</v>
      </c>
    </row>
    <row r="308" spans="1:9" x14ac:dyDescent="0.35">
      <c r="A308" s="3" t="s">
        <v>67</v>
      </c>
      <c r="B308" s="15">
        <v>4215.1899999999996</v>
      </c>
      <c r="C308" s="1" t="str">
        <f>IF(OR(Table14[[#This Row],[USD_Spend]]&gt;($B$4+1.5*$B$8),Table14[[#This Row],[USD_Spend]]&lt;($B$6-1.5*$B$8)),"Outlier","Normal")</f>
        <v>Normal</v>
      </c>
      <c r="D308" s="1">
        <v>336592</v>
      </c>
      <c r="E308" s="1">
        <v>10858</v>
      </c>
      <c r="F308" s="15">
        <v>181810.07</v>
      </c>
      <c r="G308" s="15" t="str">
        <f>IF(OR(Table14[[#This Row],[Sales]]&gt;($B$5+1.5*$B$9),Table14[[#This Row],[Sales]]&lt;($B$7-1.5*$B$9)),"Outlier","Normal")</f>
        <v>Normal</v>
      </c>
      <c r="H308" s="22"/>
      <c r="I308" s="22">
        <f>Table1[[#This Row],[Sales]]/Table1[[#This Row],[USD_Spend]]</f>
        <v>2.6967651092888199</v>
      </c>
    </row>
    <row r="309" spans="1:9" x14ac:dyDescent="0.35">
      <c r="A309" s="3" t="s">
        <v>55</v>
      </c>
      <c r="B309" s="15">
        <v>22682.65</v>
      </c>
      <c r="C309" s="1" t="str">
        <f>IF(OR(Table14[[#This Row],[USD_Spend]]&gt;($B$4+1.5*$B$8),Table14[[#This Row],[USD_Spend]]&lt;($B$6-1.5*$B$8)),"Outlier","Normal")</f>
        <v>Normal</v>
      </c>
      <c r="D309" s="1">
        <v>39556</v>
      </c>
      <c r="E309" s="1">
        <v>20985</v>
      </c>
      <c r="F309" s="15">
        <v>233052.35</v>
      </c>
      <c r="G309" s="15" t="str">
        <f>IF(OR(Table14[[#This Row],[Sales]]&gt;($B$5+1.5*$B$9),Table14[[#This Row],[Sales]]&lt;($B$7-1.5*$B$9)),"Outlier","Normal")</f>
        <v>Normal</v>
      </c>
      <c r="H309" s="22"/>
      <c r="I309" s="22">
        <f>Table1[[#This Row],[Sales]]/Table1[[#This Row],[USD_Spend]]</f>
        <v>4.1737421326063275</v>
      </c>
    </row>
    <row r="310" spans="1:9" x14ac:dyDescent="0.35">
      <c r="A310" s="3" t="s">
        <v>118</v>
      </c>
      <c r="B310" s="15">
        <v>121.17</v>
      </c>
      <c r="C310" s="1" t="str">
        <f>IF(OR(Table14[[#This Row],[USD_Spend]]&gt;($B$4+1.5*$B$8),Table14[[#This Row],[USD_Spend]]&lt;($B$6-1.5*$B$8)),"Outlier","Normal")</f>
        <v>Normal</v>
      </c>
      <c r="D310" s="1">
        <v>443130</v>
      </c>
      <c r="E310" s="1">
        <v>49086</v>
      </c>
      <c r="F310" s="15">
        <v>189379.42</v>
      </c>
      <c r="G310" s="15" t="str">
        <f>IF(OR(Table14[[#This Row],[Sales]]&gt;($B$5+1.5*$B$9),Table14[[#This Row],[Sales]]&lt;($B$7-1.5*$B$9)),"Outlier","Normal")</f>
        <v>Normal</v>
      </c>
      <c r="H310" s="22"/>
      <c r="I310" s="22">
        <f>Table1[[#This Row],[Sales]]/Table1[[#This Row],[USD_Spend]]</f>
        <v>3.6688362871321472</v>
      </c>
    </row>
    <row r="311" spans="1:9" x14ac:dyDescent="0.35">
      <c r="A311" s="3" t="s">
        <v>89</v>
      </c>
      <c r="B311" s="15">
        <v>3803.37</v>
      </c>
      <c r="C311" s="1" t="str">
        <f>IF(OR(Table14[[#This Row],[USD_Spend]]&gt;($B$4+1.5*$B$8),Table14[[#This Row],[USD_Spend]]&lt;($B$6-1.5*$B$8)),"Outlier","Normal")</f>
        <v>Normal</v>
      </c>
      <c r="D311" s="1">
        <v>994767</v>
      </c>
      <c r="E311" s="1">
        <v>49401</v>
      </c>
      <c r="F311" s="15">
        <v>147129.25</v>
      </c>
      <c r="G311" s="15" t="str">
        <f>IF(OR(Table14[[#This Row],[Sales]]&gt;($B$5+1.5*$B$9),Table14[[#This Row],[Sales]]&lt;($B$7-1.5*$B$9)),"Outlier","Normal")</f>
        <v>Normal</v>
      </c>
      <c r="H311" s="22"/>
      <c r="I311" s="22">
        <f>Table1[[#This Row],[Sales]]/Table1[[#This Row],[USD_Spend]]</f>
        <v>1.4342008939261937</v>
      </c>
    </row>
    <row r="312" spans="1:9" x14ac:dyDescent="0.35">
      <c r="A312" s="3" t="s">
        <v>100</v>
      </c>
      <c r="B312" s="15">
        <v>888.62</v>
      </c>
      <c r="C312" s="1" t="str">
        <f>IF(OR(Table14[[#This Row],[USD_Spend]]&gt;($B$4+1.5*$B$8),Table14[[#This Row],[USD_Spend]]&lt;($B$6-1.5*$B$8)),"Outlier","Normal")</f>
        <v>Normal</v>
      </c>
      <c r="D312" s="1">
        <v>673393</v>
      </c>
      <c r="E312" s="1">
        <v>3374</v>
      </c>
      <c r="F312" s="15">
        <v>226642.28</v>
      </c>
      <c r="G312" s="15" t="str">
        <f>IF(OR(Table14[[#This Row],[Sales]]&gt;($B$5+1.5*$B$9),Table14[[#This Row],[Sales]]&lt;($B$7-1.5*$B$9)),"Outlier","Normal")</f>
        <v>Normal</v>
      </c>
      <c r="H312" s="22"/>
      <c r="I312" s="22">
        <f>Table1[[#This Row],[Sales]]/Table1[[#This Row],[USD_Spend]]</f>
        <v>31.715015400833455</v>
      </c>
    </row>
    <row r="313" spans="1:9" x14ac:dyDescent="0.35">
      <c r="A313" s="3" t="s">
        <v>89</v>
      </c>
      <c r="B313" s="15">
        <v>29864.48</v>
      </c>
      <c r="C313" s="1" t="str">
        <f>IF(OR(Table14[[#This Row],[USD_Spend]]&gt;($B$4+1.5*$B$8),Table14[[#This Row],[USD_Spend]]&lt;($B$6-1.5*$B$8)),"Outlier","Normal")</f>
        <v>Normal</v>
      </c>
      <c r="D313" s="1">
        <v>707309</v>
      </c>
      <c r="E313" s="1">
        <v>16375</v>
      </c>
      <c r="F313" s="15">
        <v>201355.69</v>
      </c>
      <c r="G313" s="15" t="str">
        <f>IF(OR(Table14[[#This Row],[Sales]]&gt;($B$5+1.5*$B$9),Table14[[#This Row],[Sales]]&lt;($B$7-1.5*$B$9)),"Outlier","Normal")</f>
        <v>Normal</v>
      </c>
      <c r="H313" s="22"/>
      <c r="I313" s="22">
        <f>Table1[[#This Row],[Sales]]/Table1[[#This Row],[USD_Spend]]</f>
        <v>38.699149648192268</v>
      </c>
    </row>
    <row r="314" spans="1:9" x14ac:dyDescent="0.35">
      <c r="A314" s="3" t="s">
        <v>109</v>
      </c>
      <c r="B314" s="15">
        <v>3179.59</v>
      </c>
      <c r="C314" s="1" t="str">
        <f>IF(OR(Table14[[#This Row],[USD_Spend]]&gt;($B$4+1.5*$B$8),Table14[[#This Row],[USD_Spend]]&lt;($B$6-1.5*$B$8)),"Outlier","Normal")</f>
        <v>Normal</v>
      </c>
      <c r="D314" s="1">
        <v>154495</v>
      </c>
      <c r="E314" s="1">
        <v>7783</v>
      </c>
      <c r="F314" s="15">
        <v>240702.74</v>
      </c>
      <c r="G314" s="15" t="str">
        <f>IF(OR(Table14[[#This Row],[Sales]]&gt;($B$5+1.5*$B$9),Table14[[#This Row],[Sales]]&lt;($B$7-1.5*$B$9)),"Outlier","Normal")</f>
        <v>Normal</v>
      </c>
      <c r="H314" s="22"/>
      <c r="I314" s="22">
        <f>Table1[[#This Row],[Sales]]/Table1[[#This Row],[USD_Spend]]</f>
        <v>3.8339036658622243</v>
      </c>
    </row>
    <row r="315" spans="1:9" x14ac:dyDescent="0.35">
      <c r="A315" s="3" t="s">
        <v>96</v>
      </c>
      <c r="B315" s="15">
        <v>21710.25</v>
      </c>
      <c r="C315" s="1" t="str">
        <f>IF(OR(Table14[[#This Row],[USD_Spend]]&gt;($B$4+1.5*$B$8),Table14[[#This Row],[USD_Spend]]&lt;($B$6-1.5*$B$8)),"Outlier","Normal")</f>
        <v>Normal</v>
      </c>
      <c r="D315" s="1">
        <v>678933</v>
      </c>
      <c r="E315" s="1">
        <v>15359</v>
      </c>
      <c r="F315" s="15">
        <v>17860.32</v>
      </c>
      <c r="G315" s="15" t="str">
        <f>IF(OR(Table14[[#This Row],[Sales]]&gt;($B$5+1.5*$B$9),Table14[[#This Row],[Sales]]&lt;($B$7-1.5*$B$9)),"Outlier","Normal")</f>
        <v>Normal</v>
      </c>
      <c r="H315" s="22"/>
      <c r="I315" s="22">
        <f>Table1[[#This Row],[Sales]]/Table1[[#This Row],[USD_Spend]]</f>
        <v>13.048496574134447</v>
      </c>
    </row>
    <row r="316" spans="1:9" x14ac:dyDescent="0.35">
      <c r="A316" s="3" t="s">
        <v>87</v>
      </c>
      <c r="B316" s="15">
        <v>11922.93</v>
      </c>
      <c r="C316" s="1" t="str">
        <f>IF(OR(Table14[[#This Row],[USD_Spend]]&gt;($B$4+1.5*$B$8),Table14[[#This Row],[USD_Spend]]&lt;($B$6-1.5*$B$8)),"Outlier","Normal")</f>
        <v>Normal</v>
      </c>
      <c r="D316" s="1">
        <v>389547</v>
      </c>
      <c r="E316" s="1">
        <v>15231</v>
      </c>
      <c r="F316" s="15">
        <v>116676.19</v>
      </c>
      <c r="G316" s="15" t="str">
        <f>IF(OR(Table14[[#This Row],[Sales]]&gt;($B$5+1.5*$B$9),Table14[[#This Row],[Sales]]&lt;($B$7-1.5*$B$9)),"Outlier","Normal")</f>
        <v>Normal</v>
      </c>
      <c r="H316" s="22"/>
      <c r="I316" s="22">
        <f>Table1[[#This Row],[Sales]]/Table1[[#This Row],[USD_Spend]]</f>
        <v>13.713342709732384</v>
      </c>
    </row>
    <row r="317" spans="1:9" x14ac:dyDescent="0.35">
      <c r="A317" s="3" t="s">
        <v>109</v>
      </c>
      <c r="B317" s="15">
        <v>10600.54</v>
      </c>
      <c r="C317" s="1" t="str">
        <f>IF(OR(Table14[[#This Row],[USD_Spend]]&gt;($B$4+1.5*$B$8),Table14[[#This Row],[USD_Spend]]&lt;($B$6-1.5*$B$8)),"Outlier","Normal")</f>
        <v>Normal</v>
      </c>
      <c r="D317" s="1">
        <v>743907</v>
      </c>
      <c r="E317" s="1">
        <v>5961</v>
      </c>
      <c r="F317" s="15">
        <v>30840.07</v>
      </c>
      <c r="G317" s="15" t="str">
        <f>IF(OR(Table14[[#This Row],[Sales]]&gt;($B$5+1.5*$B$9),Table14[[#This Row],[Sales]]&lt;($B$7-1.5*$B$9)),"Outlier","Normal")</f>
        <v>Normal</v>
      </c>
      <c r="H317" s="22"/>
      <c r="I317" s="22">
        <f>Table1[[#This Row],[Sales]]/Table1[[#This Row],[USD_Spend]]</f>
        <v>2.8341615952136197</v>
      </c>
    </row>
    <row r="318" spans="1:9" x14ac:dyDescent="0.35">
      <c r="A318" s="3" t="s">
        <v>82</v>
      </c>
      <c r="B318" s="15">
        <v>6853.4</v>
      </c>
      <c r="C318" s="1" t="str">
        <f>IF(OR(Table14[[#This Row],[USD_Spend]]&gt;($B$4+1.5*$B$8),Table14[[#This Row],[USD_Spend]]&lt;($B$6-1.5*$B$8)),"Outlier","Normal")</f>
        <v>Normal</v>
      </c>
      <c r="D318" s="1">
        <v>652039</v>
      </c>
      <c r="E318" s="1">
        <v>40000</v>
      </c>
      <c r="F318" s="15">
        <v>18482.009999999998</v>
      </c>
      <c r="G318" s="15" t="str">
        <f>IF(OR(Table14[[#This Row],[Sales]]&gt;($B$5+1.5*$B$9),Table14[[#This Row],[Sales]]&lt;($B$7-1.5*$B$9)),"Outlier","Normal")</f>
        <v>Normal</v>
      </c>
      <c r="H318" s="22"/>
      <c r="I318" s="22">
        <f>Table1[[#This Row],[Sales]]/Table1[[#This Row],[USD_Spend]]</f>
        <v>4.8938480651543728</v>
      </c>
    </row>
    <row r="319" spans="1:9" x14ac:dyDescent="0.35">
      <c r="A319" s="3" t="s">
        <v>103</v>
      </c>
      <c r="B319" s="15">
        <v>20478.509999999998</v>
      </c>
      <c r="C319" s="1" t="str">
        <f>IF(OR(Table14[[#This Row],[USD_Spend]]&gt;($B$4+1.5*$B$8),Table14[[#This Row],[USD_Spend]]&lt;($B$6-1.5*$B$8)),"Outlier","Normal")</f>
        <v>Normal</v>
      </c>
      <c r="D319" s="1">
        <v>492134</v>
      </c>
      <c r="E319" s="1">
        <v>39389</v>
      </c>
      <c r="F319" s="15">
        <v>85472.02</v>
      </c>
      <c r="G319" s="15" t="str">
        <f>IF(OR(Table14[[#This Row],[Sales]]&gt;($B$5+1.5*$B$9),Table14[[#This Row],[Sales]]&lt;($B$7-1.5*$B$9)),"Outlier","Normal")</f>
        <v>Normal</v>
      </c>
      <c r="H319" s="22"/>
      <c r="I319" s="22">
        <f>Table1[[#This Row],[Sales]]/Table1[[#This Row],[USD_Spend]]</f>
        <v>82.429127000447565</v>
      </c>
    </row>
    <row r="320" spans="1:9" x14ac:dyDescent="0.35">
      <c r="A320" s="3" t="s">
        <v>111</v>
      </c>
      <c r="B320" s="15">
        <v>11963.69</v>
      </c>
      <c r="C320" s="1" t="str">
        <f>IF(OR(Table14[[#This Row],[USD_Spend]]&gt;($B$4+1.5*$B$8),Table14[[#This Row],[USD_Spend]]&lt;($B$6-1.5*$B$8)),"Outlier","Normal")</f>
        <v>Normal</v>
      </c>
      <c r="D320" s="1">
        <v>558141</v>
      </c>
      <c r="E320" s="1">
        <v>40064</v>
      </c>
      <c r="F320" s="15">
        <v>43892.82</v>
      </c>
      <c r="G320" s="15" t="str">
        <f>IF(OR(Table14[[#This Row],[Sales]]&gt;($B$5+1.5*$B$9),Table14[[#This Row],[Sales]]&lt;($B$7-1.5*$B$9)),"Outlier","Normal")</f>
        <v>Normal</v>
      </c>
      <c r="H320" s="22"/>
      <c r="I320" s="22">
        <f>Table1[[#This Row],[Sales]]/Table1[[#This Row],[USD_Spend]]</f>
        <v>5.1498571891123248</v>
      </c>
    </row>
    <row r="321" spans="1:9" x14ac:dyDescent="0.35">
      <c r="A321" s="3" t="s">
        <v>78</v>
      </c>
      <c r="B321" s="15">
        <v>23426.99</v>
      </c>
      <c r="C321" s="1" t="str">
        <f>IF(OR(Table14[[#This Row],[USD_Spend]]&gt;($B$4+1.5*$B$8),Table14[[#This Row],[USD_Spend]]&lt;($B$6-1.5*$B$8)),"Outlier","Normal")</f>
        <v>Normal</v>
      </c>
      <c r="D321" s="1">
        <v>179268</v>
      </c>
      <c r="E321" s="1">
        <v>908</v>
      </c>
      <c r="F321" s="15">
        <v>33599.01</v>
      </c>
      <c r="G321" s="15" t="str">
        <f>IF(OR(Table14[[#This Row],[Sales]]&gt;($B$5+1.5*$B$9),Table14[[#This Row],[Sales]]&lt;($B$7-1.5*$B$9)),"Outlier","Normal")</f>
        <v>Normal</v>
      </c>
      <c r="H321" s="22"/>
      <c r="I321" s="22">
        <f>Table1[[#This Row],[Sales]]/Table1[[#This Row],[USD_Spend]]</f>
        <v>30.830729453340446</v>
      </c>
    </row>
    <row r="322" spans="1:9" x14ac:dyDescent="0.35">
      <c r="A322" s="3" t="s">
        <v>70</v>
      </c>
      <c r="B322" s="15">
        <v>6071.1</v>
      </c>
      <c r="C322" s="1" t="str">
        <f>IF(OR(Table14[[#This Row],[USD_Spend]]&gt;($B$4+1.5*$B$8),Table14[[#This Row],[USD_Spend]]&lt;($B$6-1.5*$B$8)),"Outlier","Normal")</f>
        <v>Normal</v>
      </c>
      <c r="D322" s="1">
        <v>992946</v>
      </c>
      <c r="E322" s="1">
        <v>47615</v>
      </c>
      <c r="F322" s="15">
        <v>192545.03</v>
      </c>
      <c r="G322" s="15" t="str">
        <f>IF(OR(Table14[[#This Row],[Sales]]&gt;($B$5+1.5*$B$9),Table14[[#This Row],[Sales]]&lt;($B$7-1.5*$B$9)),"Outlier","Normal")</f>
        <v>Normal</v>
      </c>
      <c r="H322" s="22"/>
      <c r="I322" s="22">
        <f>Table1[[#This Row],[Sales]]/Table1[[#This Row],[USD_Spend]]</f>
        <v>57.909052704014556</v>
      </c>
    </row>
    <row r="323" spans="1:9" x14ac:dyDescent="0.35">
      <c r="A323" s="3" t="s">
        <v>103</v>
      </c>
      <c r="B323" s="15">
        <v>6119.82</v>
      </c>
      <c r="C323" s="1" t="str">
        <f>IF(OR(Table14[[#This Row],[USD_Spend]]&gt;($B$4+1.5*$B$8),Table14[[#This Row],[USD_Spend]]&lt;($B$6-1.5*$B$8)),"Outlier","Normal")</f>
        <v>Normal</v>
      </c>
      <c r="D323" s="1">
        <v>982532</v>
      </c>
      <c r="E323" s="1">
        <v>38882</v>
      </c>
      <c r="F323" s="15">
        <v>236831.83</v>
      </c>
      <c r="G323" s="15" t="str">
        <f>IF(OR(Table14[[#This Row],[Sales]]&gt;($B$5+1.5*$B$9),Table14[[#This Row],[Sales]]&lt;($B$7-1.5*$B$9)),"Outlier","Normal")</f>
        <v>Normal</v>
      </c>
      <c r="H323" s="22"/>
      <c r="I323" s="22">
        <f>Table1[[#This Row],[Sales]]/Table1[[#This Row],[USD_Spend]]</f>
        <v>1.1448262638274902</v>
      </c>
    </row>
    <row r="324" spans="1:9" x14ac:dyDescent="0.35">
      <c r="A324" s="3" t="s">
        <v>93</v>
      </c>
      <c r="B324" s="15">
        <v>31566.38</v>
      </c>
      <c r="C324" s="1" t="str">
        <f>IF(OR(Table14[[#This Row],[USD_Spend]]&gt;($B$4+1.5*$B$8),Table14[[#This Row],[USD_Spend]]&lt;($B$6-1.5*$B$8)),"Outlier","Normal")</f>
        <v>Normal</v>
      </c>
      <c r="D324" s="1">
        <v>260132</v>
      </c>
      <c r="E324" s="1">
        <v>8372</v>
      </c>
      <c r="F324" s="15">
        <v>121022.46</v>
      </c>
      <c r="G324" s="15" t="str">
        <f>IF(OR(Table14[[#This Row],[Sales]]&gt;($B$5+1.5*$B$9),Table14[[#This Row],[Sales]]&lt;($B$7-1.5*$B$9)),"Outlier","Normal")</f>
        <v>Normal</v>
      </c>
      <c r="H324" s="22"/>
      <c r="I324" s="22">
        <f>Table1[[#This Row],[Sales]]/Table1[[#This Row],[USD_Spend]]</f>
        <v>5.3661375607888386</v>
      </c>
    </row>
    <row r="325" spans="1:9" x14ac:dyDescent="0.35">
      <c r="A325" s="3" t="s">
        <v>67</v>
      </c>
      <c r="B325" s="15">
        <v>5613.18</v>
      </c>
      <c r="C325" s="1" t="str">
        <f>IF(OR(Table14[[#This Row],[USD_Spend]]&gt;($B$4+1.5*$B$8),Table14[[#This Row],[USD_Spend]]&lt;($B$6-1.5*$B$8)),"Outlier","Normal")</f>
        <v>Normal</v>
      </c>
      <c r="D325" s="1">
        <v>452374</v>
      </c>
      <c r="E325" s="1">
        <v>12125</v>
      </c>
      <c r="F325" s="15">
        <v>73243.56</v>
      </c>
      <c r="G325" s="15" t="str">
        <f>IF(OR(Table14[[#This Row],[Sales]]&gt;($B$5+1.5*$B$9),Table14[[#This Row],[Sales]]&lt;($B$7-1.5*$B$9)),"Outlier","Normal")</f>
        <v>Normal</v>
      </c>
      <c r="H325" s="22"/>
      <c r="I325" s="22">
        <f>Table1[[#This Row],[Sales]]/Table1[[#This Row],[USD_Spend]]</f>
        <v>21.953336481247167</v>
      </c>
    </row>
    <row r="326" spans="1:9" x14ac:dyDescent="0.35">
      <c r="A326" s="3" t="s">
        <v>111</v>
      </c>
      <c r="B326" s="15">
        <v>11361.86</v>
      </c>
      <c r="C326" s="1" t="str">
        <f>IF(OR(Table14[[#This Row],[USD_Spend]]&gt;($B$4+1.5*$B$8),Table14[[#This Row],[USD_Spend]]&lt;($B$6-1.5*$B$8)),"Outlier","Normal")</f>
        <v>Normal</v>
      </c>
      <c r="D326" s="1">
        <v>423769</v>
      </c>
      <c r="E326" s="1">
        <v>2630</v>
      </c>
      <c r="F326" s="15">
        <v>155809.07999999999</v>
      </c>
      <c r="G326" s="15" t="str">
        <f>IF(OR(Table14[[#This Row],[Sales]]&gt;($B$5+1.5*$B$9),Table14[[#This Row],[Sales]]&lt;($B$7-1.5*$B$9)),"Outlier","Normal")</f>
        <v>Normal</v>
      </c>
      <c r="H326" s="22"/>
      <c r="I326" s="22">
        <f>Table1[[#This Row],[Sales]]/Table1[[#This Row],[USD_Spend]]</f>
        <v>5.4792173656638079</v>
      </c>
    </row>
    <row r="327" spans="1:9" x14ac:dyDescent="0.35">
      <c r="A327" s="3" t="s">
        <v>66</v>
      </c>
      <c r="B327" s="15">
        <v>35711.33</v>
      </c>
      <c r="C327" s="1" t="str">
        <f>IF(OR(Table14[[#This Row],[USD_Spend]]&gt;($B$4+1.5*$B$8),Table14[[#This Row],[USD_Spend]]&lt;($B$6-1.5*$B$8)),"Outlier","Normal")</f>
        <v>Normal</v>
      </c>
      <c r="D327" s="1">
        <v>808462</v>
      </c>
      <c r="E327" s="1">
        <v>44417</v>
      </c>
      <c r="F327" s="15">
        <v>101211.68</v>
      </c>
      <c r="G327" s="15" t="str">
        <f>IF(OR(Table14[[#This Row],[Sales]]&gt;($B$5+1.5*$B$9),Table14[[#This Row],[Sales]]&lt;($B$7-1.5*$B$9)),"Outlier","Normal")</f>
        <v>Normal</v>
      </c>
      <c r="H327" s="22"/>
      <c r="I327" s="22">
        <f>Table1[[#This Row],[Sales]]/Table1[[#This Row],[USD_Spend]]</f>
        <v>54.794648347981479</v>
      </c>
    </row>
    <row r="328" spans="1:9" x14ac:dyDescent="0.35">
      <c r="A328" s="3" t="s">
        <v>79</v>
      </c>
      <c r="B328" s="15">
        <v>20863.68</v>
      </c>
      <c r="C328" s="1" t="str">
        <f>IF(OR(Table14[[#This Row],[USD_Spend]]&gt;($B$4+1.5*$B$8),Table14[[#This Row],[USD_Spend]]&lt;($B$6-1.5*$B$8)),"Outlier","Normal")</f>
        <v>Normal</v>
      </c>
      <c r="D328" s="1">
        <v>183565</v>
      </c>
      <c r="E328" s="1">
        <v>3493</v>
      </c>
      <c r="F328" s="15">
        <v>102103.67999999999</v>
      </c>
      <c r="G328" s="15" t="str">
        <f>IF(OR(Table14[[#This Row],[Sales]]&gt;($B$5+1.5*$B$9),Table14[[#This Row],[Sales]]&lt;($B$7-1.5*$B$9)),"Outlier","Normal")</f>
        <v>Normal</v>
      </c>
      <c r="H328" s="22"/>
      <c r="I328" s="22">
        <f>Table1[[#This Row],[Sales]]/Table1[[#This Row],[USD_Spend]]</f>
        <v>63.312593465623898</v>
      </c>
    </row>
    <row r="329" spans="1:9" x14ac:dyDescent="0.35">
      <c r="A329" s="3" t="s">
        <v>34</v>
      </c>
      <c r="B329" s="15">
        <v>1653.38</v>
      </c>
      <c r="C329" s="1" t="str">
        <f>IF(OR(Table14[[#This Row],[USD_Spend]]&gt;($B$4+1.5*$B$8),Table14[[#This Row],[USD_Spend]]&lt;($B$6-1.5*$B$8)),"Outlier","Normal")</f>
        <v>Normal</v>
      </c>
      <c r="D329" s="1">
        <v>135362</v>
      </c>
      <c r="E329" s="1">
        <v>48785</v>
      </c>
      <c r="F329" s="15">
        <v>136286.67000000001</v>
      </c>
      <c r="G329" s="15" t="str">
        <f>IF(OR(Table14[[#This Row],[Sales]]&gt;($B$5+1.5*$B$9),Table14[[#This Row],[Sales]]&lt;($B$7-1.5*$B$9)),"Outlier","Normal")</f>
        <v>Normal</v>
      </c>
      <c r="H329" s="22"/>
      <c r="I329" s="22">
        <f>Table1[[#This Row],[Sales]]/Table1[[#This Row],[USD_Spend]]</f>
        <v>233.58086253369274</v>
      </c>
    </row>
    <row r="330" spans="1:9" x14ac:dyDescent="0.35">
      <c r="A330" s="3" t="s">
        <v>93</v>
      </c>
      <c r="B330" s="15">
        <v>44937.05</v>
      </c>
      <c r="C330" s="1" t="str">
        <f>IF(OR(Table14[[#This Row],[USD_Spend]]&gt;($B$4+1.5*$B$8),Table14[[#This Row],[USD_Spend]]&lt;($B$6-1.5*$B$8)),"Outlier","Normal")</f>
        <v>Normal</v>
      </c>
      <c r="D330" s="1">
        <v>473518</v>
      </c>
      <c r="E330" s="1">
        <v>42717</v>
      </c>
      <c r="F330" s="15">
        <v>231419.39</v>
      </c>
      <c r="G330" s="15" t="str">
        <f>IF(OR(Table14[[#This Row],[Sales]]&gt;($B$5+1.5*$B$9),Table14[[#This Row],[Sales]]&lt;($B$7-1.5*$B$9)),"Outlier","Normal")</f>
        <v>Normal</v>
      </c>
      <c r="H330" s="22"/>
      <c r="I330" s="22">
        <f>Table1[[#This Row],[Sales]]/Table1[[#This Row],[USD_Spend]]</f>
        <v>3.5861734066620157</v>
      </c>
    </row>
    <row r="331" spans="1:9" x14ac:dyDescent="0.35">
      <c r="A331" s="3" t="s">
        <v>72</v>
      </c>
      <c r="B331" s="15">
        <v>7085.58</v>
      </c>
      <c r="C331" s="1" t="str">
        <f>IF(OR(Table14[[#This Row],[USD_Spend]]&gt;($B$4+1.5*$B$8),Table14[[#This Row],[USD_Spend]]&lt;($B$6-1.5*$B$8)),"Outlier","Normal")</f>
        <v>Normal</v>
      </c>
      <c r="D331" s="1">
        <v>192971</v>
      </c>
      <c r="E331" s="1">
        <v>9727</v>
      </c>
      <c r="F331" s="15">
        <v>218453.6</v>
      </c>
      <c r="G331" s="15" t="str">
        <f>IF(OR(Table14[[#This Row],[Sales]]&gt;($B$5+1.5*$B$9),Table14[[#This Row],[Sales]]&lt;($B$7-1.5*$B$9)),"Outlier","Normal")</f>
        <v>Normal</v>
      </c>
      <c r="H331" s="22"/>
      <c r="I331" s="22">
        <f>Table1[[#This Row],[Sales]]/Table1[[#This Row],[USD_Spend]]</f>
        <v>0.46273544353024976</v>
      </c>
    </row>
    <row r="332" spans="1:9" x14ac:dyDescent="0.35">
      <c r="A332" s="3" t="s">
        <v>119</v>
      </c>
      <c r="B332" s="15">
        <v>4068.95</v>
      </c>
      <c r="C332" s="1" t="str">
        <f>IF(OR(Table14[[#This Row],[USD_Spend]]&gt;($B$4+1.5*$B$8),Table14[[#This Row],[USD_Spend]]&lt;($B$6-1.5*$B$8)),"Outlier","Normal")</f>
        <v>Normal</v>
      </c>
      <c r="D332" s="1">
        <v>803310</v>
      </c>
      <c r="E332" s="1">
        <v>42761</v>
      </c>
      <c r="F332" s="15">
        <v>235629.04</v>
      </c>
      <c r="G332" s="15" t="str">
        <f>IF(OR(Table14[[#This Row],[Sales]]&gt;($B$5+1.5*$B$9),Table14[[#This Row],[Sales]]&lt;($B$7-1.5*$B$9)),"Outlier","Normal")</f>
        <v>Normal</v>
      </c>
      <c r="H332" s="22"/>
      <c r="I332" s="22">
        <f>Table1[[#This Row],[Sales]]/Table1[[#This Row],[USD_Spend]]</f>
        <v>5.4307920859521213</v>
      </c>
    </row>
    <row r="333" spans="1:9" x14ac:dyDescent="0.35">
      <c r="A333" s="3" t="s">
        <v>18</v>
      </c>
      <c r="B333" s="15">
        <v>45424.91</v>
      </c>
      <c r="C333" s="1" t="str">
        <f>IF(OR(Table14[[#This Row],[USD_Spend]]&gt;($B$4+1.5*$B$8),Table14[[#This Row],[USD_Spend]]&lt;($B$6-1.5*$B$8)),"Outlier","Normal")</f>
        <v>Normal</v>
      </c>
      <c r="D333" s="1">
        <v>774305</v>
      </c>
      <c r="E333" s="1">
        <v>18078</v>
      </c>
      <c r="F333" s="15">
        <v>52003.63</v>
      </c>
      <c r="G333" s="15" t="str">
        <f>IF(OR(Table14[[#This Row],[Sales]]&gt;($B$5+1.5*$B$9),Table14[[#This Row],[Sales]]&lt;($B$7-1.5*$B$9)),"Outlier","Normal")</f>
        <v>Normal</v>
      </c>
      <c r="H333" s="22"/>
      <c r="I333" s="22">
        <f>Table1[[#This Row],[Sales]]/Table1[[#This Row],[USD_Spend]]</f>
        <v>3.4066587124913541</v>
      </c>
    </row>
    <row r="334" spans="1:9" x14ac:dyDescent="0.35">
      <c r="A334" s="3" t="s">
        <v>119</v>
      </c>
      <c r="B334" s="15">
        <v>15827.33</v>
      </c>
      <c r="C334" s="1" t="str">
        <f>IF(OR(Table14[[#This Row],[USD_Spend]]&gt;($B$4+1.5*$B$8),Table14[[#This Row],[USD_Spend]]&lt;($B$6-1.5*$B$8)),"Outlier","Normal")</f>
        <v>Normal</v>
      </c>
      <c r="D334" s="1">
        <v>744764</v>
      </c>
      <c r="E334" s="1">
        <v>48292</v>
      </c>
      <c r="F334" s="15">
        <v>84931.63</v>
      </c>
      <c r="G334" s="15" t="str">
        <f>IF(OR(Table14[[#This Row],[Sales]]&gt;($B$5+1.5*$B$9),Table14[[#This Row],[Sales]]&lt;($B$7-1.5*$B$9)),"Outlier","Normal")</f>
        <v>Normal</v>
      </c>
      <c r="H334" s="22"/>
      <c r="I334" s="22">
        <f>Table1[[#This Row],[Sales]]/Table1[[#This Row],[USD_Spend]]</f>
        <v>37.652752227945378</v>
      </c>
    </row>
    <row r="335" spans="1:9" x14ac:dyDescent="0.35">
      <c r="A335" s="3" t="s">
        <v>64</v>
      </c>
      <c r="B335" s="15">
        <v>5421.58</v>
      </c>
      <c r="C335" s="1" t="str">
        <f>IF(OR(Table14[[#This Row],[USD_Spend]]&gt;($B$4+1.5*$B$8),Table14[[#This Row],[USD_Spend]]&lt;($B$6-1.5*$B$8)),"Outlier","Normal")</f>
        <v>Normal</v>
      </c>
      <c r="D335" s="1">
        <v>710224</v>
      </c>
      <c r="E335" s="1">
        <v>7847</v>
      </c>
      <c r="F335" s="15">
        <v>119021.77</v>
      </c>
      <c r="G335" s="15" t="str">
        <f>IF(OR(Table14[[#This Row],[Sales]]&gt;($B$5+1.5*$B$9),Table14[[#This Row],[Sales]]&lt;($B$7-1.5*$B$9)),"Outlier","Normal")</f>
        <v>Normal</v>
      </c>
      <c r="H335" s="22"/>
      <c r="I335" s="22">
        <f>Table1[[#This Row],[Sales]]/Table1[[#This Row],[USD_Spend]]</f>
        <v>22.112337498538796</v>
      </c>
    </row>
    <row r="336" spans="1:9" x14ac:dyDescent="0.35">
      <c r="A336" s="3" t="s">
        <v>107</v>
      </c>
      <c r="B336" s="15">
        <v>27605.74</v>
      </c>
      <c r="C336" s="1" t="str">
        <f>IF(OR(Table14[[#This Row],[USD_Spend]]&gt;($B$4+1.5*$B$8),Table14[[#This Row],[USD_Spend]]&lt;($B$6-1.5*$B$8)),"Outlier","Normal")</f>
        <v>Normal</v>
      </c>
      <c r="D336" s="1">
        <v>680153</v>
      </c>
      <c r="E336" s="1">
        <v>20639</v>
      </c>
      <c r="F336" s="15">
        <v>151257.85</v>
      </c>
      <c r="G336" s="15" t="str">
        <f>IF(OR(Table14[[#This Row],[Sales]]&gt;($B$5+1.5*$B$9),Table14[[#This Row],[Sales]]&lt;($B$7-1.5*$B$9)),"Outlier","Normal")</f>
        <v>Normal</v>
      </c>
      <c r="H336" s="22"/>
      <c r="I336" s="22">
        <f>Table1[[#This Row],[Sales]]/Table1[[#This Row],[USD_Spend]]</f>
        <v>103.43313880306671</v>
      </c>
    </row>
    <row r="337" spans="1:9" x14ac:dyDescent="0.35">
      <c r="A337" s="3" t="s">
        <v>89</v>
      </c>
      <c r="B337" s="15">
        <v>3626.17</v>
      </c>
      <c r="C337" s="1" t="str">
        <f>IF(OR(Table14[[#This Row],[USD_Spend]]&gt;($B$4+1.5*$B$8),Table14[[#This Row],[USD_Spend]]&lt;($B$6-1.5*$B$8)),"Outlier","Normal")</f>
        <v>Normal</v>
      </c>
      <c r="D337" s="1">
        <v>69830</v>
      </c>
      <c r="E337" s="1">
        <v>48664</v>
      </c>
      <c r="F337" s="15">
        <v>198694.71</v>
      </c>
      <c r="G337" s="15" t="str">
        <f>IF(OR(Table14[[#This Row],[Sales]]&gt;($B$5+1.5*$B$9),Table14[[#This Row],[Sales]]&lt;($B$7-1.5*$B$9)),"Outlier","Normal")</f>
        <v>Normal</v>
      </c>
      <c r="H337" s="22"/>
      <c r="I337" s="22">
        <f>Table1[[#This Row],[Sales]]/Table1[[#This Row],[USD_Spend]]</f>
        <v>15.290711920120946</v>
      </c>
    </row>
    <row r="338" spans="1:9" x14ac:dyDescent="0.35">
      <c r="A338" s="3" t="s">
        <v>111</v>
      </c>
      <c r="B338" s="15">
        <v>3376.91</v>
      </c>
      <c r="C338" s="1" t="str">
        <f>IF(OR(Table14[[#This Row],[USD_Spend]]&gt;($B$4+1.5*$B$8),Table14[[#This Row],[USD_Spend]]&lt;($B$6-1.5*$B$8)),"Outlier","Normal")</f>
        <v>Normal</v>
      </c>
      <c r="D338" s="1">
        <v>926602</v>
      </c>
      <c r="E338" s="1">
        <v>2685</v>
      </c>
      <c r="F338" s="15">
        <v>213800.93</v>
      </c>
      <c r="G338" s="15" t="str">
        <f>IF(OR(Table14[[#This Row],[Sales]]&gt;($B$5+1.5*$B$9),Table14[[#This Row],[Sales]]&lt;($B$7-1.5*$B$9)),"Outlier","Normal")</f>
        <v>Normal</v>
      </c>
      <c r="H338" s="22"/>
      <c r="I338" s="22">
        <f>Table1[[#This Row],[Sales]]/Table1[[#This Row],[USD_Spend]]</f>
        <v>5.6675003515815652</v>
      </c>
    </row>
    <row r="339" spans="1:9" x14ac:dyDescent="0.35">
      <c r="A339" s="3" t="s">
        <v>100</v>
      </c>
      <c r="B339" s="15">
        <v>645.54</v>
      </c>
      <c r="C339" s="1" t="str">
        <f>IF(OR(Table14[[#This Row],[USD_Spend]]&gt;($B$4+1.5*$B$8),Table14[[#This Row],[USD_Spend]]&lt;($B$6-1.5*$B$8)),"Outlier","Normal")</f>
        <v>Normal</v>
      </c>
      <c r="D339" s="1">
        <v>841131</v>
      </c>
      <c r="E339" s="1">
        <v>20259</v>
      </c>
      <c r="F339" s="15">
        <v>150785.79</v>
      </c>
      <c r="G339" s="15" t="str">
        <f>IF(OR(Table14[[#This Row],[Sales]]&gt;($B$5+1.5*$B$9),Table14[[#This Row],[Sales]]&lt;($B$7-1.5*$B$9)),"Outlier","Normal")</f>
        <v>Normal</v>
      </c>
      <c r="H339" s="22"/>
      <c r="I339" s="22">
        <f>Table1[[#This Row],[Sales]]/Table1[[#This Row],[USD_Spend]]</f>
        <v>6.0592321818567152</v>
      </c>
    </row>
    <row r="340" spans="1:9" x14ac:dyDescent="0.35">
      <c r="A340" s="3" t="s">
        <v>34</v>
      </c>
      <c r="B340" s="15">
        <v>18162.97</v>
      </c>
      <c r="C340" s="1" t="str">
        <f>IF(OR(Table14[[#This Row],[USD_Spend]]&gt;($B$4+1.5*$B$8),Table14[[#This Row],[USD_Spend]]&lt;($B$6-1.5*$B$8)),"Outlier","Normal")</f>
        <v>Normal</v>
      </c>
      <c r="D340" s="1">
        <v>670016</v>
      </c>
      <c r="E340" s="1">
        <v>43681</v>
      </c>
      <c r="F340" s="15">
        <v>65135.56</v>
      </c>
      <c r="G340" s="15" t="str">
        <f>IF(OR(Table14[[#This Row],[Sales]]&gt;($B$5+1.5*$B$9),Table14[[#This Row],[Sales]]&lt;($B$7-1.5*$B$9)),"Outlier","Normal")</f>
        <v>Normal</v>
      </c>
      <c r="H340" s="22"/>
      <c r="I340" s="22">
        <f>Table1[[#This Row],[Sales]]/Table1[[#This Row],[USD_Spend]]</f>
        <v>3.44889671882127</v>
      </c>
    </row>
    <row r="341" spans="1:9" x14ac:dyDescent="0.35">
      <c r="A341" s="3" t="s">
        <v>115</v>
      </c>
      <c r="B341" s="15">
        <v>32836.43</v>
      </c>
      <c r="C341" s="1" t="str">
        <f>IF(OR(Table14[[#This Row],[USD_Spend]]&gt;($B$4+1.5*$B$8),Table14[[#This Row],[USD_Spend]]&lt;($B$6-1.5*$B$8)),"Outlier","Normal")</f>
        <v>Normal</v>
      </c>
      <c r="D341" s="1">
        <v>578373</v>
      </c>
      <c r="E341" s="1">
        <v>49696</v>
      </c>
      <c r="F341" s="15">
        <v>15194.58</v>
      </c>
      <c r="G341" s="15" t="str">
        <f>IF(OR(Table14[[#This Row],[Sales]]&gt;($B$5+1.5*$B$9),Table14[[#This Row],[Sales]]&lt;($B$7-1.5*$B$9)),"Outlier","Normal")</f>
        <v>Normal</v>
      </c>
      <c r="H341" s="22"/>
      <c r="I341" s="22">
        <f>Table1[[#This Row],[Sales]]/Table1[[#This Row],[USD_Spend]]</f>
        <v>8.3297867594981412</v>
      </c>
    </row>
    <row r="342" spans="1:9" x14ac:dyDescent="0.35">
      <c r="A342" s="3" t="s">
        <v>111</v>
      </c>
      <c r="B342" s="15">
        <v>18497.740000000002</v>
      </c>
      <c r="C342" s="1" t="str">
        <f>IF(OR(Table14[[#This Row],[USD_Spend]]&gt;($B$4+1.5*$B$8),Table14[[#This Row],[USD_Spend]]&lt;($B$6-1.5*$B$8)),"Outlier","Normal")</f>
        <v>Normal</v>
      </c>
      <c r="D342" s="1">
        <v>171771</v>
      </c>
      <c r="E342" s="1">
        <v>48574</v>
      </c>
      <c r="F342" s="15">
        <v>100457.38</v>
      </c>
      <c r="G342" s="15" t="str">
        <f>IF(OR(Table14[[#This Row],[Sales]]&gt;($B$5+1.5*$B$9),Table14[[#This Row],[Sales]]&lt;($B$7-1.5*$B$9)),"Outlier","Normal")</f>
        <v>Normal</v>
      </c>
      <c r="H342" s="22"/>
      <c r="I342" s="22">
        <f>Table1[[#This Row],[Sales]]/Table1[[#This Row],[USD_Spend]]</f>
        <v>128.18196037539104</v>
      </c>
    </row>
    <row r="343" spans="1:9" x14ac:dyDescent="0.35">
      <c r="A343" s="3" t="s">
        <v>100</v>
      </c>
      <c r="B343" s="15">
        <v>16670.490000000002</v>
      </c>
      <c r="C343" s="1" t="str">
        <f>IF(OR(Table14[[#This Row],[USD_Spend]]&gt;($B$4+1.5*$B$8),Table14[[#This Row],[USD_Spend]]&lt;($B$6-1.5*$B$8)),"Outlier","Normal")</f>
        <v>Normal</v>
      </c>
      <c r="D343" s="1">
        <v>207064</v>
      </c>
      <c r="E343" s="1">
        <v>29048</v>
      </c>
      <c r="F343" s="15">
        <v>56790.67</v>
      </c>
      <c r="G343" s="15" t="str">
        <f>IF(OR(Table14[[#This Row],[Sales]]&gt;($B$5+1.5*$B$9),Table14[[#This Row],[Sales]]&lt;($B$7-1.5*$B$9)),"Outlier","Normal")</f>
        <v>Normal</v>
      </c>
      <c r="H343" s="22"/>
      <c r="I343" s="22">
        <f>Table1[[#This Row],[Sales]]/Table1[[#This Row],[USD_Spend]]</f>
        <v>33.970422892585283</v>
      </c>
    </row>
    <row r="344" spans="1:9" x14ac:dyDescent="0.35">
      <c r="A344" s="3" t="s">
        <v>57</v>
      </c>
      <c r="B344" s="15">
        <v>1956.96</v>
      </c>
      <c r="C344" s="1" t="str">
        <f>IF(OR(Table14[[#This Row],[USD_Spend]]&gt;($B$4+1.5*$B$8),Table14[[#This Row],[USD_Spend]]&lt;($B$6-1.5*$B$8)),"Outlier","Normal")</f>
        <v>Normal</v>
      </c>
      <c r="D344" s="1">
        <v>327776</v>
      </c>
      <c r="E344" s="1">
        <v>20478</v>
      </c>
      <c r="F344" s="15">
        <v>73684.929999999993</v>
      </c>
      <c r="G344" s="15" t="str">
        <f>IF(OR(Table14[[#This Row],[Sales]]&gt;($B$5+1.5*$B$9),Table14[[#This Row],[Sales]]&lt;($B$7-1.5*$B$9)),"Outlier","Normal")</f>
        <v>Normal</v>
      </c>
      <c r="H344" s="22"/>
      <c r="I344" s="22">
        <f>Table1[[#This Row],[Sales]]/Table1[[#This Row],[USD_Spend]]</f>
        <v>4.9497627443030856</v>
      </c>
    </row>
    <row r="345" spans="1:9" x14ac:dyDescent="0.35">
      <c r="A345" s="3" t="s">
        <v>113</v>
      </c>
      <c r="B345" s="15">
        <v>1625.37</v>
      </c>
      <c r="C345" s="1" t="str">
        <f>IF(OR(Table14[[#This Row],[USD_Spend]]&gt;($B$4+1.5*$B$8),Table14[[#This Row],[USD_Spend]]&lt;($B$6-1.5*$B$8)),"Outlier","Normal")</f>
        <v>Normal</v>
      </c>
      <c r="D345" s="1">
        <v>493072</v>
      </c>
      <c r="E345" s="1">
        <v>7957</v>
      </c>
      <c r="F345" s="15">
        <v>35940.730000000003</v>
      </c>
      <c r="G345" s="15" t="str">
        <f>IF(OR(Table14[[#This Row],[Sales]]&gt;($B$5+1.5*$B$9),Table14[[#This Row],[Sales]]&lt;($B$7-1.5*$B$9)),"Outlier","Normal")</f>
        <v>Normal</v>
      </c>
      <c r="H345" s="22"/>
      <c r="I345" s="22">
        <f>Table1[[#This Row],[Sales]]/Table1[[#This Row],[USD_Spend]]</f>
        <v>4.6723911077152982</v>
      </c>
    </row>
    <row r="346" spans="1:9" x14ac:dyDescent="0.35">
      <c r="A346" s="3" t="s">
        <v>110</v>
      </c>
      <c r="B346" s="15">
        <v>2184.75</v>
      </c>
      <c r="C346" s="1" t="str">
        <f>IF(OR(Table14[[#This Row],[USD_Spend]]&gt;($B$4+1.5*$B$8),Table14[[#This Row],[USD_Spend]]&lt;($B$6-1.5*$B$8)),"Outlier","Normal")</f>
        <v>Normal</v>
      </c>
      <c r="D346" s="1">
        <v>536428</v>
      </c>
      <c r="E346" s="1">
        <v>44227</v>
      </c>
      <c r="F346" s="15">
        <v>225975.55</v>
      </c>
      <c r="G346" s="15" t="str">
        <f>IF(OR(Table14[[#This Row],[Sales]]&gt;($B$5+1.5*$B$9),Table14[[#This Row],[Sales]]&lt;($B$7-1.5*$B$9)),"Outlier","Normal")</f>
        <v>Normal</v>
      </c>
      <c r="H346" s="22"/>
      <c r="I346" s="22">
        <f>Table1[[#This Row],[Sales]]/Table1[[#This Row],[USD_Spend]]</f>
        <v>77.593891468201122</v>
      </c>
    </row>
    <row r="347" spans="1:9" x14ac:dyDescent="0.35">
      <c r="A347" s="3" t="s">
        <v>87</v>
      </c>
      <c r="B347" s="15">
        <v>14578.04</v>
      </c>
      <c r="C347" s="1" t="str">
        <f>IF(OR(Table14[[#This Row],[USD_Spend]]&gt;($B$4+1.5*$B$8),Table14[[#This Row],[USD_Spend]]&lt;($B$6-1.5*$B$8)),"Outlier","Normal")</f>
        <v>Normal</v>
      </c>
      <c r="D347" s="1">
        <v>637086</v>
      </c>
      <c r="E347" s="1">
        <v>2712</v>
      </c>
      <c r="F347" s="15">
        <v>222908.61</v>
      </c>
      <c r="G347" s="15" t="str">
        <f>IF(OR(Table14[[#This Row],[Sales]]&gt;($B$5+1.5*$B$9),Table14[[#This Row],[Sales]]&lt;($B$7-1.5*$B$9)),"Outlier","Normal")</f>
        <v>Normal</v>
      </c>
      <c r="H347" s="22"/>
      <c r="I347" s="22">
        <f>Table1[[#This Row],[Sales]]/Table1[[#This Row],[USD_Spend]]</f>
        <v>2.6473446457073817</v>
      </c>
    </row>
    <row r="348" spans="1:9" x14ac:dyDescent="0.35">
      <c r="A348" s="3" t="s">
        <v>89</v>
      </c>
      <c r="B348" s="15">
        <v>10879.41</v>
      </c>
      <c r="C348" s="1" t="str">
        <f>IF(OR(Table14[[#This Row],[USD_Spend]]&gt;($B$4+1.5*$B$8),Table14[[#This Row],[USD_Spend]]&lt;($B$6-1.5*$B$8)),"Outlier","Normal")</f>
        <v>Normal</v>
      </c>
      <c r="D348" s="1">
        <v>155095</v>
      </c>
      <c r="E348" s="1">
        <v>9984</v>
      </c>
      <c r="F348" s="15">
        <v>61659.06</v>
      </c>
      <c r="G348" s="15" t="str">
        <f>IF(OR(Table14[[#This Row],[Sales]]&gt;($B$5+1.5*$B$9),Table14[[#This Row],[Sales]]&lt;($B$7-1.5*$B$9)),"Outlier","Normal")</f>
        <v>Normal</v>
      </c>
      <c r="H348" s="22"/>
      <c r="I348" s="22">
        <f>Table1[[#This Row],[Sales]]/Table1[[#This Row],[USD_Spend]]</f>
        <v>13.626991745823714</v>
      </c>
    </row>
    <row r="349" spans="1:9" x14ac:dyDescent="0.35">
      <c r="A349" s="3" t="s">
        <v>83</v>
      </c>
      <c r="B349" s="15">
        <v>26470.07</v>
      </c>
      <c r="C349" s="1" t="str">
        <f>IF(OR(Table14[[#This Row],[USD_Spend]]&gt;($B$4+1.5*$B$8),Table14[[#This Row],[USD_Spend]]&lt;($B$6-1.5*$B$8)),"Outlier","Normal")</f>
        <v>Normal</v>
      </c>
      <c r="D349" s="1">
        <v>223487</v>
      </c>
      <c r="E349" s="1">
        <v>45155</v>
      </c>
      <c r="F349" s="15">
        <v>160388.29999999999</v>
      </c>
      <c r="G349" s="15" t="str">
        <f>IF(OR(Table14[[#This Row],[Sales]]&gt;($B$5+1.5*$B$9),Table14[[#This Row],[Sales]]&lt;($B$7-1.5*$B$9)),"Outlier","Normal")</f>
        <v>Normal</v>
      </c>
      <c r="H349" s="22"/>
      <c r="I349" s="22">
        <f>Table1[[#This Row],[Sales]]/Table1[[#This Row],[USD_Spend]]</f>
        <v>41.936571738226895</v>
      </c>
    </row>
    <row r="350" spans="1:9" x14ac:dyDescent="0.35">
      <c r="A350" s="3" t="s">
        <v>72</v>
      </c>
      <c r="B350" s="15">
        <v>35845.35</v>
      </c>
      <c r="C350" s="1" t="str">
        <f>IF(OR(Table14[[#This Row],[USD_Spend]]&gt;($B$4+1.5*$B$8),Table14[[#This Row],[USD_Spend]]&lt;($B$6-1.5*$B$8)),"Outlier","Normal")</f>
        <v>Normal</v>
      </c>
      <c r="D350" s="1">
        <v>199893</v>
      </c>
      <c r="E350" s="1">
        <v>25263</v>
      </c>
      <c r="F350" s="15">
        <v>123626.91</v>
      </c>
      <c r="G350" s="15" t="str">
        <f>IF(OR(Table14[[#This Row],[Sales]]&gt;($B$5+1.5*$B$9),Table14[[#This Row],[Sales]]&lt;($B$7-1.5*$B$9)),"Outlier","Normal")</f>
        <v>Normal</v>
      </c>
      <c r="H350" s="22"/>
      <c r="I350" s="22">
        <f>Table1[[#This Row],[Sales]]/Table1[[#This Row],[USD_Spend]]</f>
        <v>1.3747791048907694</v>
      </c>
    </row>
    <row r="351" spans="1:9" x14ac:dyDescent="0.35">
      <c r="A351" s="3" t="s">
        <v>108</v>
      </c>
      <c r="B351" s="15">
        <v>21969.56</v>
      </c>
      <c r="C351" s="1" t="str">
        <f>IF(OR(Table14[[#This Row],[USD_Spend]]&gt;($B$4+1.5*$B$8),Table14[[#This Row],[USD_Spend]]&lt;($B$6-1.5*$B$8)),"Outlier","Normal")</f>
        <v>Normal</v>
      </c>
      <c r="D351" s="1">
        <v>79986</v>
      </c>
      <c r="E351" s="1">
        <v>45847</v>
      </c>
      <c r="F351" s="15">
        <v>183001.75</v>
      </c>
      <c r="G351" s="15" t="str">
        <f>IF(OR(Table14[[#This Row],[Sales]]&gt;($B$5+1.5*$B$9),Table14[[#This Row],[Sales]]&lt;($B$7-1.5*$B$9)),"Outlier","Normal")</f>
        <v>Normal</v>
      </c>
      <c r="H351" s="22"/>
      <c r="I351" s="22">
        <f>Table1[[#This Row],[Sales]]/Table1[[#This Row],[USD_Spend]]</f>
        <v>52.628259978374572</v>
      </c>
    </row>
    <row r="352" spans="1:9" x14ac:dyDescent="0.35">
      <c r="A352" s="3" t="s">
        <v>91</v>
      </c>
      <c r="B352" s="15">
        <v>1285.06</v>
      </c>
      <c r="C352" s="1" t="str">
        <f>IF(OR(Table14[[#This Row],[USD_Spend]]&gt;($B$4+1.5*$B$8),Table14[[#This Row],[USD_Spend]]&lt;($B$6-1.5*$B$8)),"Outlier","Normal")</f>
        <v>Normal</v>
      </c>
      <c r="D352" s="1">
        <v>752479</v>
      </c>
      <c r="E352" s="1">
        <v>36242</v>
      </c>
      <c r="F352" s="15">
        <v>164721.51</v>
      </c>
      <c r="G352" s="15" t="str">
        <f>IF(OR(Table14[[#This Row],[Sales]]&gt;($B$5+1.5*$B$9),Table14[[#This Row],[Sales]]&lt;($B$7-1.5*$B$9)),"Outlier","Normal")</f>
        <v>Normal</v>
      </c>
      <c r="H352" s="22"/>
      <c r="I352" s="22">
        <f>Table1[[#This Row],[Sales]]/Table1[[#This Row],[USD_Spend]]</f>
        <v>8.3200225388751772</v>
      </c>
    </row>
    <row r="353" spans="1:9" x14ac:dyDescent="0.35">
      <c r="A353" s="3" t="s">
        <v>97</v>
      </c>
      <c r="B353" s="15">
        <v>3547</v>
      </c>
      <c r="C353" s="1" t="str">
        <f>IF(OR(Table14[[#This Row],[USD_Spend]]&gt;($B$4+1.5*$B$8),Table14[[#This Row],[USD_Spend]]&lt;($B$6-1.5*$B$8)),"Outlier","Normal")</f>
        <v>Normal</v>
      </c>
      <c r="D353" s="1">
        <v>697919</v>
      </c>
      <c r="E353" s="1">
        <v>37861</v>
      </c>
      <c r="F353" s="15">
        <v>120493.09</v>
      </c>
      <c r="G353" s="15" t="str">
        <f>IF(OR(Table14[[#This Row],[Sales]]&gt;($B$5+1.5*$B$9),Table14[[#This Row],[Sales]]&lt;($B$7-1.5*$B$9)),"Outlier","Normal")</f>
        <v>Normal</v>
      </c>
      <c r="H353" s="22"/>
      <c r="I353" s="22">
        <f>Table1[[#This Row],[Sales]]/Table1[[#This Row],[USD_Spend]]</f>
        <v>2.8726669205690083</v>
      </c>
    </row>
    <row r="354" spans="1:9" x14ac:dyDescent="0.35">
      <c r="A354" s="3" t="s">
        <v>34</v>
      </c>
      <c r="B354" s="15">
        <v>32582.99</v>
      </c>
      <c r="C354" s="1" t="str">
        <f>IF(OR(Table14[[#This Row],[USD_Spend]]&gt;($B$4+1.5*$B$8),Table14[[#This Row],[USD_Spend]]&lt;($B$6-1.5*$B$8)),"Outlier","Normal")</f>
        <v>Normal</v>
      </c>
      <c r="D354" s="1">
        <v>741295</v>
      </c>
      <c r="E354" s="1">
        <v>8375</v>
      </c>
      <c r="F354" s="15">
        <v>161278.07</v>
      </c>
      <c r="G354" s="15" t="str">
        <f>IF(OR(Table14[[#This Row],[Sales]]&gt;($B$5+1.5*$B$9),Table14[[#This Row],[Sales]]&lt;($B$7-1.5*$B$9)),"Outlier","Normal")</f>
        <v>Normal</v>
      </c>
      <c r="H354" s="22"/>
      <c r="I354" s="22">
        <f>Table1[[#This Row],[Sales]]/Table1[[#This Row],[USD_Spend]]</f>
        <v>80.435280716948441</v>
      </c>
    </row>
    <row r="355" spans="1:9" x14ac:dyDescent="0.35">
      <c r="A355" s="3" t="s">
        <v>85</v>
      </c>
      <c r="B355" s="15">
        <v>8899.85</v>
      </c>
      <c r="C355" s="1" t="str">
        <f>IF(OR(Table14[[#This Row],[USD_Spend]]&gt;($B$4+1.5*$B$8),Table14[[#This Row],[USD_Spend]]&lt;($B$6-1.5*$B$8)),"Outlier","Normal")</f>
        <v>Normal</v>
      </c>
      <c r="D355" s="1">
        <v>133365</v>
      </c>
      <c r="E355" s="1">
        <v>17968</v>
      </c>
      <c r="F355" s="15">
        <v>41583.58</v>
      </c>
      <c r="G355" s="15" t="str">
        <f>IF(OR(Table14[[#This Row],[Sales]]&gt;($B$5+1.5*$B$9),Table14[[#This Row],[Sales]]&lt;($B$7-1.5*$B$9)),"Outlier","Normal")</f>
        <v>Normal</v>
      </c>
      <c r="H355" s="22"/>
      <c r="I355" s="22">
        <f>Table1[[#This Row],[Sales]]/Table1[[#This Row],[USD_Spend]]</f>
        <v>21.512042702773076</v>
      </c>
    </row>
    <row r="356" spans="1:9" x14ac:dyDescent="0.35">
      <c r="A356" s="3" t="s">
        <v>93</v>
      </c>
      <c r="B356" s="15">
        <v>1727.42</v>
      </c>
      <c r="C356" s="1" t="str">
        <f>IF(OR(Table14[[#This Row],[USD_Spend]]&gt;($B$4+1.5*$B$8),Table14[[#This Row],[USD_Spend]]&lt;($B$6-1.5*$B$8)),"Outlier","Normal")</f>
        <v>Normal</v>
      </c>
      <c r="D356" s="1">
        <v>519845</v>
      </c>
      <c r="E356" s="1">
        <v>32963</v>
      </c>
      <c r="F356" s="15">
        <v>134037.24</v>
      </c>
      <c r="G356" s="15" t="str">
        <f>IF(OR(Table14[[#This Row],[Sales]]&gt;($B$5+1.5*$B$9),Table14[[#This Row],[Sales]]&lt;($B$7-1.5*$B$9)),"Outlier","Normal")</f>
        <v>Normal</v>
      </c>
      <c r="H356" s="22"/>
      <c r="I356" s="22">
        <f>Table1[[#This Row],[Sales]]/Table1[[#This Row],[USD_Spend]]</f>
        <v>11.319717863755969</v>
      </c>
    </row>
    <row r="357" spans="1:9" x14ac:dyDescent="0.35">
      <c r="A357" s="3" t="s">
        <v>108</v>
      </c>
      <c r="B357" s="15">
        <v>21395.45</v>
      </c>
      <c r="C357" s="1" t="str">
        <f>IF(OR(Table14[[#This Row],[USD_Spend]]&gt;($B$4+1.5*$B$8),Table14[[#This Row],[USD_Spend]]&lt;($B$6-1.5*$B$8)),"Outlier","Normal")</f>
        <v>Normal</v>
      </c>
      <c r="D357" s="1">
        <v>907412</v>
      </c>
      <c r="E357" s="1">
        <v>33078</v>
      </c>
      <c r="F357" s="15">
        <v>56641.13</v>
      </c>
      <c r="G357" s="15" t="str">
        <f>IF(OR(Table14[[#This Row],[Sales]]&gt;($B$5+1.5*$B$9),Table14[[#This Row],[Sales]]&lt;($B$7-1.5*$B$9)),"Outlier","Normal")</f>
        <v>Normal</v>
      </c>
      <c r="H357" s="22"/>
      <c r="I357" s="22">
        <f>Table1[[#This Row],[Sales]]/Table1[[#This Row],[USD_Spend]]</f>
        <v>5.9494403788537147</v>
      </c>
    </row>
    <row r="358" spans="1:9" x14ac:dyDescent="0.35">
      <c r="A358" s="3" t="s">
        <v>75</v>
      </c>
      <c r="B358" s="15">
        <v>10010.69</v>
      </c>
      <c r="C358" s="1" t="str">
        <f>IF(OR(Table14[[#This Row],[USD_Spend]]&gt;($B$4+1.5*$B$8),Table14[[#This Row],[USD_Spend]]&lt;($B$6-1.5*$B$8)),"Outlier","Normal")</f>
        <v>Normal</v>
      </c>
      <c r="D358" s="1">
        <v>223068</v>
      </c>
      <c r="E358" s="1">
        <v>10282</v>
      </c>
      <c r="F358" s="15">
        <v>136415.59</v>
      </c>
      <c r="G358" s="15" t="str">
        <f>IF(OR(Table14[[#This Row],[Sales]]&gt;($B$5+1.5*$B$9),Table14[[#This Row],[Sales]]&lt;($B$7-1.5*$B$9)),"Outlier","Normal")</f>
        <v>Normal</v>
      </c>
      <c r="H358" s="22"/>
      <c r="I358" s="22">
        <f>Table1[[#This Row],[Sales]]/Table1[[#This Row],[USD_Spend]]</f>
        <v>10.758458506880096</v>
      </c>
    </row>
    <row r="359" spans="1:9" x14ac:dyDescent="0.35">
      <c r="A359" s="3" t="s">
        <v>84</v>
      </c>
      <c r="B359" s="15">
        <v>1900.73</v>
      </c>
      <c r="C359" s="1" t="str">
        <f>IF(OR(Table14[[#This Row],[USD_Spend]]&gt;($B$4+1.5*$B$8),Table14[[#This Row],[USD_Spend]]&lt;($B$6-1.5*$B$8)),"Outlier","Normal")</f>
        <v>Normal</v>
      </c>
      <c r="D359" s="1">
        <v>556302</v>
      </c>
      <c r="E359" s="1">
        <v>15208</v>
      </c>
      <c r="F359" s="15">
        <v>79710.100000000006</v>
      </c>
      <c r="G359" s="15" t="str">
        <f>IF(OR(Table14[[#This Row],[Sales]]&gt;($B$5+1.5*$B$9),Table14[[#This Row],[Sales]]&lt;($B$7-1.5*$B$9)),"Outlier","Normal")</f>
        <v>Normal</v>
      </c>
      <c r="H359" s="22"/>
      <c r="I359" s="22">
        <f>Table1[[#This Row],[Sales]]/Table1[[#This Row],[USD_Spend]]</f>
        <v>2.5159172908074177</v>
      </c>
    </row>
    <row r="360" spans="1:9" x14ac:dyDescent="0.35">
      <c r="A360" s="3" t="s">
        <v>100</v>
      </c>
      <c r="B360" s="15">
        <v>38581.660000000003</v>
      </c>
      <c r="C360" s="1" t="str">
        <f>IF(OR(Table14[[#This Row],[USD_Spend]]&gt;($B$4+1.5*$B$8),Table14[[#This Row],[USD_Spend]]&lt;($B$6-1.5*$B$8)),"Outlier","Normal")</f>
        <v>Normal</v>
      </c>
      <c r="D360" s="1">
        <v>229242</v>
      </c>
      <c r="E360" s="1">
        <v>567</v>
      </c>
      <c r="F360" s="15">
        <v>53041.26</v>
      </c>
      <c r="G360" s="15" t="str">
        <f>IF(OR(Table14[[#This Row],[Sales]]&gt;($B$5+1.5*$B$9),Table14[[#This Row],[Sales]]&lt;($B$7-1.5*$B$9)),"Outlier","Normal")</f>
        <v>Normal</v>
      </c>
      <c r="H360" s="22"/>
      <c r="I360" s="22">
        <f>Table1[[#This Row],[Sales]]/Table1[[#This Row],[USD_Spend]]</f>
        <v>4.0724086021799142</v>
      </c>
    </row>
    <row r="361" spans="1:9" x14ac:dyDescent="0.35">
      <c r="A361" s="3" t="s">
        <v>62</v>
      </c>
      <c r="B361" s="15">
        <v>3634.61</v>
      </c>
      <c r="C361" s="1" t="str">
        <f>IF(OR(Table14[[#This Row],[USD_Spend]]&gt;($B$4+1.5*$B$8),Table14[[#This Row],[USD_Spend]]&lt;($B$6-1.5*$B$8)),"Outlier","Normal")</f>
        <v>Normal</v>
      </c>
      <c r="D361" s="1">
        <v>448539</v>
      </c>
      <c r="E361" s="1">
        <v>11319</v>
      </c>
      <c r="F361" s="15">
        <v>191283.20000000001</v>
      </c>
      <c r="G361" s="15" t="str">
        <f>IF(OR(Table14[[#This Row],[Sales]]&gt;($B$5+1.5*$B$9),Table14[[#This Row],[Sales]]&lt;($B$7-1.5*$B$9)),"Outlier","Normal")</f>
        <v>Normal</v>
      </c>
      <c r="H361" s="22"/>
      <c r="I361" s="22">
        <f>Table1[[#This Row],[Sales]]/Table1[[#This Row],[USD_Spend]]</f>
        <v>5.4001045334005111</v>
      </c>
    </row>
    <row r="362" spans="1:9" x14ac:dyDescent="0.35">
      <c r="A362" s="3" t="s">
        <v>109</v>
      </c>
      <c r="B362" s="15">
        <v>12547.21</v>
      </c>
      <c r="C362" s="1" t="str">
        <f>IF(OR(Table14[[#This Row],[USD_Spend]]&gt;($B$4+1.5*$B$8),Table14[[#This Row],[USD_Spend]]&lt;($B$6-1.5*$B$8)),"Outlier","Normal")</f>
        <v>Normal</v>
      </c>
      <c r="D362" s="1">
        <v>542623</v>
      </c>
      <c r="E362" s="1">
        <v>6845</v>
      </c>
      <c r="F362" s="15">
        <v>104393.07</v>
      </c>
      <c r="G362" s="15" t="str">
        <f>IF(OR(Table14[[#This Row],[Sales]]&gt;($B$5+1.5*$B$9),Table14[[#This Row],[Sales]]&lt;($B$7-1.5*$B$9)),"Outlier","Normal")</f>
        <v>Normal</v>
      </c>
      <c r="H362" s="22"/>
      <c r="I362" s="22">
        <f>Table1[[#This Row],[Sales]]/Table1[[#This Row],[USD_Spend]]</f>
        <v>14.082735658909398</v>
      </c>
    </row>
    <row r="363" spans="1:9" x14ac:dyDescent="0.35">
      <c r="A363" s="3" t="s">
        <v>108</v>
      </c>
      <c r="B363" s="15">
        <v>28436.13</v>
      </c>
      <c r="C363" s="1" t="str">
        <f>IF(OR(Table14[[#This Row],[USD_Spend]]&gt;($B$4+1.5*$B$8),Table14[[#This Row],[USD_Spend]]&lt;($B$6-1.5*$B$8)),"Outlier","Normal")</f>
        <v>Normal</v>
      </c>
      <c r="D363" s="1">
        <v>286570</v>
      </c>
      <c r="E363" s="1">
        <v>33980</v>
      </c>
      <c r="F363" s="15">
        <v>81687.53</v>
      </c>
      <c r="G363" s="15" t="str">
        <f>IF(OR(Table14[[#This Row],[Sales]]&gt;($B$5+1.5*$B$9),Table14[[#This Row],[Sales]]&lt;($B$7-1.5*$B$9)),"Outlier","Normal")</f>
        <v>Normal</v>
      </c>
      <c r="H363" s="22"/>
      <c r="I363" s="22">
        <f>Table1[[#This Row],[Sales]]/Table1[[#This Row],[USD_Spend]]</f>
        <v>227.86457665316891</v>
      </c>
    </row>
    <row r="364" spans="1:9" x14ac:dyDescent="0.35">
      <c r="A364" s="3" t="s">
        <v>82</v>
      </c>
      <c r="B364" s="15">
        <v>1062.28</v>
      </c>
      <c r="C364" s="1" t="str">
        <f>IF(OR(Table14[[#This Row],[USD_Spend]]&gt;($B$4+1.5*$B$8),Table14[[#This Row],[USD_Spend]]&lt;($B$6-1.5*$B$8)),"Outlier","Normal")</f>
        <v>Normal</v>
      </c>
      <c r="D364" s="1">
        <v>519462</v>
      </c>
      <c r="E364" s="1">
        <v>29633</v>
      </c>
      <c r="F364" s="15">
        <v>85444.79</v>
      </c>
      <c r="G364" s="15" t="str">
        <f>IF(OR(Table14[[#This Row],[Sales]]&gt;($B$5+1.5*$B$9),Table14[[#This Row],[Sales]]&lt;($B$7-1.5*$B$9)),"Outlier","Normal")</f>
        <v>Normal</v>
      </c>
      <c r="H364" s="22"/>
      <c r="I364" s="22">
        <f>Table1[[#This Row],[Sales]]/Table1[[#This Row],[USD_Spend]]</f>
        <v>1.694283064084199</v>
      </c>
    </row>
    <row r="365" spans="1:9" x14ac:dyDescent="0.35">
      <c r="A365" s="3" t="s">
        <v>62</v>
      </c>
      <c r="B365" s="15">
        <v>307.24</v>
      </c>
      <c r="C365" s="1" t="str">
        <f>IF(OR(Table14[[#This Row],[USD_Spend]]&gt;($B$4+1.5*$B$8),Table14[[#This Row],[USD_Spend]]&lt;($B$6-1.5*$B$8)),"Outlier","Normal")</f>
        <v>Normal</v>
      </c>
      <c r="D365" s="1">
        <v>943572</v>
      </c>
      <c r="E365" s="1">
        <v>19881</v>
      </c>
      <c r="F365" s="15">
        <v>6609.36</v>
      </c>
      <c r="G365" s="15" t="str">
        <f>IF(OR(Table14[[#This Row],[Sales]]&gt;($B$5+1.5*$B$9),Table14[[#This Row],[Sales]]&lt;($B$7-1.5*$B$9)),"Outlier","Normal")</f>
        <v>Normal</v>
      </c>
      <c r="H365" s="22"/>
      <c r="I365" s="22">
        <f>Table1[[#This Row],[Sales]]/Table1[[#This Row],[USD_Spend]]</f>
        <v>0.71961809982310454</v>
      </c>
    </row>
    <row r="366" spans="1:9" x14ac:dyDescent="0.35">
      <c r="A366" s="3" t="s">
        <v>87</v>
      </c>
      <c r="B366" s="15">
        <v>18059.36</v>
      </c>
      <c r="C366" s="1" t="str">
        <f>IF(OR(Table14[[#This Row],[USD_Spend]]&gt;($B$4+1.5*$B$8),Table14[[#This Row],[USD_Spend]]&lt;($B$6-1.5*$B$8)),"Outlier","Normal")</f>
        <v>Normal</v>
      </c>
      <c r="D366" s="1">
        <v>160152</v>
      </c>
      <c r="E366" s="1">
        <v>2848</v>
      </c>
      <c r="F366" s="15">
        <v>204426.86</v>
      </c>
      <c r="G366" s="15" t="str">
        <f>IF(OR(Table14[[#This Row],[Sales]]&gt;($B$5+1.5*$B$9),Table14[[#This Row],[Sales]]&lt;($B$7-1.5*$B$9)),"Outlier","Normal")</f>
        <v>Normal</v>
      </c>
      <c r="H366" s="22"/>
      <c r="I366" s="22">
        <f>Table1[[#This Row],[Sales]]/Table1[[#This Row],[USD_Spend]]</f>
        <v>15.457721457318087</v>
      </c>
    </row>
    <row r="367" spans="1:9" x14ac:dyDescent="0.35">
      <c r="A367" s="3" t="s">
        <v>67</v>
      </c>
      <c r="B367" s="15">
        <v>25913.96</v>
      </c>
      <c r="C367" s="1" t="str">
        <f>IF(OR(Table14[[#This Row],[USD_Spend]]&gt;($B$4+1.5*$B$8),Table14[[#This Row],[USD_Spend]]&lt;($B$6-1.5*$B$8)),"Outlier","Normal")</f>
        <v>Normal</v>
      </c>
      <c r="D367" s="1">
        <v>40271</v>
      </c>
      <c r="E367" s="1">
        <v>41389</v>
      </c>
      <c r="F367" s="15">
        <v>154173.56</v>
      </c>
      <c r="G367" s="15" t="str">
        <f>IF(OR(Table14[[#This Row],[Sales]]&gt;($B$5+1.5*$B$9),Table14[[#This Row],[Sales]]&lt;($B$7-1.5*$B$9)),"Outlier","Normal")</f>
        <v>Normal</v>
      </c>
      <c r="H367" s="22"/>
      <c r="I367" s="22">
        <f>Table1[[#This Row],[Sales]]/Table1[[#This Row],[USD_Spend]]</f>
        <v>15.273030909982479</v>
      </c>
    </row>
    <row r="368" spans="1:9" x14ac:dyDescent="0.35">
      <c r="A368" s="3" t="s">
        <v>95</v>
      </c>
      <c r="B368" s="15">
        <v>19101.48</v>
      </c>
      <c r="C368" s="1" t="str">
        <f>IF(OR(Table14[[#This Row],[USD_Spend]]&gt;($B$4+1.5*$B$8),Table14[[#This Row],[USD_Spend]]&lt;($B$6-1.5*$B$8)),"Outlier","Normal")</f>
        <v>Normal</v>
      </c>
      <c r="D368" s="1">
        <v>949272</v>
      </c>
      <c r="E368" s="1">
        <v>25956</v>
      </c>
      <c r="F368" s="15">
        <v>205502.48</v>
      </c>
      <c r="G368" s="15" t="str">
        <f>IF(OR(Table14[[#This Row],[Sales]]&gt;($B$5+1.5*$B$9),Table14[[#This Row],[Sales]]&lt;($B$7-1.5*$B$9)),"Outlier","Normal")</f>
        <v>Normal</v>
      </c>
      <c r="H368" s="22"/>
      <c r="I368" s="22">
        <f>Table1[[#This Row],[Sales]]/Table1[[#This Row],[USD_Spend]]</f>
        <v>4.1323551005005577</v>
      </c>
    </row>
    <row r="369" spans="1:9" x14ac:dyDescent="0.35">
      <c r="A369" s="3" t="s">
        <v>88</v>
      </c>
      <c r="B369" s="15">
        <v>46278.29</v>
      </c>
      <c r="C369" s="1" t="str">
        <f>IF(OR(Table14[[#This Row],[USD_Spend]]&gt;($B$4+1.5*$B$8),Table14[[#This Row],[USD_Spend]]&lt;($B$6-1.5*$B$8)),"Outlier","Normal")</f>
        <v>Normal</v>
      </c>
      <c r="D369" s="1">
        <v>586818</v>
      </c>
      <c r="E369" s="1">
        <v>2504</v>
      </c>
      <c r="F369" s="15">
        <v>116432.35</v>
      </c>
      <c r="G369" s="15" t="str">
        <f>IF(OR(Table14[[#This Row],[Sales]]&gt;($B$5+1.5*$B$9),Table14[[#This Row],[Sales]]&lt;($B$7-1.5*$B$9)),"Outlier","Normal")</f>
        <v>Normal</v>
      </c>
      <c r="H369" s="22"/>
      <c r="I369" s="22">
        <f>Table1[[#This Row],[Sales]]/Table1[[#This Row],[USD_Spend]]</f>
        <v>6.3542075999390883</v>
      </c>
    </row>
    <row r="370" spans="1:9" x14ac:dyDescent="0.35">
      <c r="A370" s="3" t="s">
        <v>66</v>
      </c>
      <c r="B370" s="15">
        <v>29281.88</v>
      </c>
      <c r="C370" s="1" t="str">
        <f>IF(OR(Table14[[#This Row],[USD_Spend]]&gt;($B$4+1.5*$B$8),Table14[[#This Row],[USD_Spend]]&lt;($B$6-1.5*$B$8)),"Outlier","Normal")</f>
        <v>Normal</v>
      </c>
      <c r="D370" s="1">
        <v>728826</v>
      </c>
      <c r="E370" s="1">
        <v>9742</v>
      </c>
      <c r="F370" s="15">
        <v>119247.78</v>
      </c>
      <c r="G370" s="15" t="str">
        <f>IF(OR(Table14[[#This Row],[Sales]]&gt;($B$5+1.5*$B$9),Table14[[#This Row],[Sales]]&lt;($B$7-1.5*$B$9)),"Outlier","Normal")</f>
        <v>Normal</v>
      </c>
      <c r="H370" s="22"/>
      <c r="I370" s="22">
        <f>Table1[[#This Row],[Sales]]/Table1[[#This Row],[USD_Spend]]</f>
        <v>6.3976129261792725</v>
      </c>
    </row>
    <row r="371" spans="1:9" x14ac:dyDescent="0.35">
      <c r="A371" s="3" t="s">
        <v>42</v>
      </c>
      <c r="B371" s="15">
        <v>33979.57</v>
      </c>
      <c r="C371" s="1" t="str">
        <f>IF(OR(Table14[[#This Row],[USD_Spend]]&gt;($B$4+1.5*$B$8),Table14[[#This Row],[USD_Spend]]&lt;($B$6-1.5*$B$8)),"Outlier","Normal")</f>
        <v>Normal</v>
      </c>
      <c r="D371" s="1">
        <v>164228</v>
      </c>
      <c r="E371" s="1">
        <v>37143</v>
      </c>
      <c r="F371" s="15">
        <v>183493.23</v>
      </c>
      <c r="G371" s="15" t="str">
        <f>IF(OR(Table14[[#This Row],[Sales]]&gt;($B$5+1.5*$B$9),Table14[[#This Row],[Sales]]&lt;($B$7-1.5*$B$9)),"Outlier","Normal")</f>
        <v>Normal</v>
      </c>
      <c r="H371" s="22"/>
      <c r="I371" s="22">
        <f>Table1[[#This Row],[Sales]]/Table1[[#This Row],[USD_Spend]]</f>
        <v>8.8990781253512452</v>
      </c>
    </row>
    <row r="372" spans="1:9" x14ac:dyDescent="0.35">
      <c r="A372" s="3" t="s">
        <v>106</v>
      </c>
      <c r="B372" s="15">
        <v>14536.9</v>
      </c>
      <c r="C372" s="1" t="str">
        <f>IF(OR(Table14[[#This Row],[USD_Spend]]&gt;($B$4+1.5*$B$8),Table14[[#This Row],[USD_Spend]]&lt;($B$6-1.5*$B$8)),"Outlier","Normal")</f>
        <v>Normal</v>
      </c>
      <c r="D372" s="1">
        <v>953881</v>
      </c>
      <c r="E372" s="1">
        <v>44618</v>
      </c>
      <c r="F372" s="15">
        <v>204719.32</v>
      </c>
      <c r="G372" s="15" t="str">
        <f>IF(OR(Table14[[#This Row],[Sales]]&gt;($B$5+1.5*$B$9),Table14[[#This Row],[Sales]]&lt;($B$7-1.5*$B$9)),"Outlier","Normal")</f>
        <v>Normal</v>
      </c>
      <c r="H372" s="22"/>
      <c r="I372" s="22">
        <f>Table1[[#This Row],[Sales]]/Table1[[#This Row],[USD_Spend]]</f>
        <v>294.86883061507302</v>
      </c>
    </row>
    <row r="373" spans="1:9" x14ac:dyDescent="0.35">
      <c r="A373" s="3" t="s">
        <v>102</v>
      </c>
      <c r="B373" s="15">
        <v>545.77</v>
      </c>
      <c r="C373" s="1" t="str">
        <f>IF(OR(Table14[[#This Row],[USD_Spend]]&gt;($B$4+1.5*$B$8),Table14[[#This Row],[USD_Spend]]&lt;($B$6-1.5*$B$8)),"Outlier","Normal")</f>
        <v>Normal</v>
      </c>
      <c r="D373" s="1">
        <v>770835</v>
      </c>
      <c r="E373" s="1">
        <v>38149</v>
      </c>
      <c r="F373" s="15">
        <v>124361.65</v>
      </c>
      <c r="G373" s="15" t="str">
        <f>IF(OR(Table14[[#This Row],[Sales]]&gt;($B$5+1.5*$B$9),Table14[[#This Row],[Sales]]&lt;($B$7-1.5*$B$9)),"Outlier","Normal")</f>
        <v>Normal</v>
      </c>
      <c r="H373" s="22"/>
      <c r="I373" s="22">
        <f>Table1[[#This Row],[Sales]]/Table1[[#This Row],[USD_Spend]]</f>
        <v>2.8831741995355809</v>
      </c>
    </row>
    <row r="374" spans="1:9" x14ac:dyDescent="0.35">
      <c r="A374" s="3" t="s">
        <v>106</v>
      </c>
      <c r="B374" s="15">
        <v>24440.19</v>
      </c>
      <c r="C374" s="1" t="str">
        <f>IF(OR(Table14[[#This Row],[USD_Spend]]&gt;($B$4+1.5*$B$8),Table14[[#This Row],[USD_Spend]]&lt;($B$6-1.5*$B$8)),"Outlier","Normal")</f>
        <v>Normal</v>
      </c>
      <c r="D374" s="1">
        <v>510811</v>
      </c>
      <c r="E374" s="1">
        <v>19786</v>
      </c>
      <c r="F374" s="15">
        <v>41408.6</v>
      </c>
      <c r="G374" s="15" t="str">
        <f>IF(OR(Table14[[#This Row],[Sales]]&gt;($B$5+1.5*$B$9),Table14[[#This Row],[Sales]]&lt;($B$7-1.5*$B$9)),"Outlier","Normal")</f>
        <v>Normal</v>
      </c>
      <c r="H374" s="22"/>
      <c r="I374" s="22">
        <f>Table1[[#This Row],[Sales]]/Table1[[#This Row],[USD_Spend]]</f>
        <v>39.029422190712509</v>
      </c>
    </row>
    <row r="375" spans="1:9" x14ac:dyDescent="0.35">
      <c r="A375" s="3" t="s">
        <v>95</v>
      </c>
      <c r="B375" s="15">
        <v>27649.11</v>
      </c>
      <c r="C375" s="1" t="str">
        <f>IF(OR(Table14[[#This Row],[USD_Spend]]&gt;($B$4+1.5*$B$8),Table14[[#This Row],[USD_Spend]]&lt;($B$6-1.5*$B$8)),"Outlier","Normal")</f>
        <v>Normal</v>
      </c>
      <c r="D375" s="1">
        <v>830854</v>
      </c>
      <c r="E375" s="1">
        <v>26904</v>
      </c>
      <c r="F375" s="15">
        <v>19896.8</v>
      </c>
      <c r="G375" s="15" t="str">
        <f>IF(OR(Table14[[#This Row],[Sales]]&gt;($B$5+1.5*$B$9),Table14[[#This Row],[Sales]]&lt;($B$7-1.5*$B$9)),"Outlier","Normal")</f>
        <v>Normal</v>
      </c>
      <c r="H375" s="22"/>
      <c r="I375" s="22">
        <f>Table1[[#This Row],[Sales]]/Table1[[#This Row],[USD_Spend]]</f>
        <v>2.657203943251861</v>
      </c>
    </row>
    <row r="376" spans="1:9" x14ac:dyDescent="0.35">
      <c r="A376" s="3" t="s">
        <v>68</v>
      </c>
      <c r="B376" s="15">
        <v>7635.67</v>
      </c>
      <c r="C376" s="1" t="str">
        <f>IF(OR(Table14[[#This Row],[USD_Spend]]&gt;($B$4+1.5*$B$8),Table14[[#This Row],[USD_Spend]]&lt;($B$6-1.5*$B$8)),"Outlier","Normal")</f>
        <v>Normal</v>
      </c>
      <c r="D376" s="1">
        <v>877823</v>
      </c>
      <c r="E376" s="1">
        <v>18837</v>
      </c>
      <c r="F376" s="15">
        <v>118030.06</v>
      </c>
      <c r="G376" s="15" t="str">
        <f>IF(OR(Table14[[#This Row],[Sales]]&gt;($B$5+1.5*$B$9),Table14[[#This Row],[Sales]]&lt;($B$7-1.5*$B$9)),"Outlier","Normal")</f>
        <v>Normal</v>
      </c>
      <c r="H376" s="22"/>
      <c r="I376" s="22">
        <f>Table1[[#This Row],[Sales]]/Table1[[#This Row],[USD_Spend]]</f>
        <v>4.6641693273585396</v>
      </c>
    </row>
    <row r="377" spans="1:9" x14ac:dyDescent="0.35">
      <c r="A377" s="3" t="s">
        <v>95</v>
      </c>
      <c r="B377" s="15">
        <v>9401.17</v>
      </c>
      <c r="C377" s="1" t="str">
        <f>IF(OR(Table14[[#This Row],[USD_Spend]]&gt;($B$4+1.5*$B$8),Table14[[#This Row],[USD_Spend]]&lt;($B$6-1.5*$B$8)),"Outlier","Normal")</f>
        <v>Normal</v>
      </c>
      <c r="D377" s="1">
        <v>186379</v>
      </c>
      <c r="E377" s="1">
        <v>30071</v>
      </c>
      <c r="F377" s="15">
        <v>143584.35999999999</v>
      </c>
      <c r="G377" s="15" t="str">
        <f>IF(OR(Table14[[#This Row],[Sales]]&gt;($B$5+1.5*$B$9),Table14[[#This Row],[Sales]]&lt;($B$7-1.5*$B$9)),"Outlier","Normal")</f>
        <v>Normal</v>
      </c>
      <c r="H377" s="22"/>
      <c r="I377" s="22">
        <f>Table1[[#This Row],[Sales]]/Table1[[#This Row],[USD_Spend]]</f>
        <v>0.60425209394189383</v>
      </c>
    </row>
    <row r="378" spans="1:9" x14ac:dyDescent="0.35">
      <c r="A378" s="3" t="s">
        <v>93</v>
      </c>
      <c r="B378" s="15">
        <v>27241.64</v>
      </c>
      <c r="C378" s="1" t="str">
        <f>IF(OR(Table14[[#This Row],[USD_Spend]]&gt;($B$4+1.5*$B$8),Table14[[#This Row],[USD_Spend]]&lt;($B$6-1.5*$B$8)),"Outlier","Normal")</f>
        <v>Normal</v>
      </c>
      <c r="D378" s="1">
        <v>375509</v>
      </c>
      <c r="E378" s="1">
        <v>5800</v>
      </c>
      <c r="F378" s="15">
        <v>112572.13</v>
      </c>
      <c r="G378" s="15" t="str">
        <f>IF(OR(Table14[[#This Row],[Sales]]&gt;($B$5+1.5*$B$9),Table14[[#This Row],[Sales]]&lt;($B$7-1.5*$B$9)),"Outlier","Normal")</f>
        <v>Normal</v>
      </c>
      <c r="H378" s="22"/>
      <c r="I378" s="22">
        <f>Table1[[#This Row],[Sales]]/Table1[[#This Row],[USD_Spend]]</f>
        <v>6.4616397836901722</v>
      </c>
    </row>
    <row r="379" spans="1:9" x14ac:dyDescent="0.35">
      <c r="A379" s="3" t="s">
        <v>87</v>
      </c>
      <c r="B379" s="15">
        <v>21539.119999999999</v>
      </c>
      <c r="C379" s="1" t="str">
        <f>IF(OR(Table14[[#This Row],[USD_Spend]]&gt;($B$4+1.5*$B$8),Table14[[#This Row],[USD_Spend]]&lt;($B$6-1.5*$B$8)),"Outlier","Normal")</f>
        <v>Normal</v>
      </c>
      <c r="D379" s="1">
        <v>886325</v>
      </c>
      <c r="E379" s="1">
        <v>27560</v>
      </c>
      <c r="F379" s="15">
        <v>136864.04</v>
      </c>
      <c r="G379" s="15" t="str">
        <f>IF(OR(Table14[[#This Row],[Sales]]&gt;($B$5+1.5*$B$9),Table14[[#This Row],[Sales]]&lt;($B$7-1.5*$B$9)),"Outlier","Normal")</f>
        <v>Normal</v>
      </c>
      <c r="H379" s="22"/>
      <c r="I379" s="22">
        <f>Table1[[#This Row],[Sales]]/Table1[[#This Row],[USD_Spend]]</f>
        <v>42.327282158600909</v>
      </c>
    </row>
    <row r="380" spans="1:9" x14ac:dyDescent="0.35">
      <c r="A380" s="3" t="s">
        <v>111</v>
      </c>
      <c r="B380" s="15">
        <v>7448.45</v>
      </c>
      <c r="C380" s="1" t="str">
        <f>IF(OR(Table14[[#This Row],[USD_Spend]]&gt;($B$4+1.5*$B$8),Table14[[#This Row],[USD_Spend]]&lt;($B$6-1.5*$B$8)),"Outlier","Normal")</f>
        <v>Normal</v>
      </c>
      <c r="D380" s="1">
        <v>744233</v>
      </c>
      <c r="E380" s="1">
        <v>41892</v>
      </c>
      <c r="F380" s="15">
        <v>47652.3</v>
      </c>
      <c r="G380" s="15" t="str">
        <f>IF(OR(Table14[[#This Row],[Sales]]&gt;($B$5+1.5*$B$9),Table14[[#This Row],[Sales]]&lt;($B$7-1.5*$B$9)),"Outlier","Normal")</f>
        <v>Normal</v>
      </c>
      <c r="H380" s="22"/>
      <c r="I380" s="22">
        <f>Table1[[#This Row],[Sales]]/Table1[[#This Row],[USD_Spend]]</f>
        <v>3.3911458137661286</v>
      </c>
    </row>
    <row r="381" spans="1:9" x14ac:dyDescent="0.35">
      <c r="A381" s="3" t="s">
        <v>92</v>
      </c>
      <c r="B381" s="15">
        <v>19573.16</v>
      </c>
      <c r="C381" s="1" t="str">
        <f>IF(OR(Table14[[#This Row],[USD_Spend]]&gt;($B$4+1.5*$B$8),Table14[[#This Row],[USD_Spend]]&lt;($B$6-1.5*$B$8)),"Outlier","Normal")</f>
        <v>Normal</v>
      </c>
      <c r="D381" s="1">
        <v>427754</v>
      </c>
      <c r="E381" s="1">
        <v>6586</v>
      </c>
      <c r="F381" s="15">
        <v>174183.08</v>
      </c>
      <c r="G381" s="15" t="str">
        <f>IF(OR(Table14[[#This Row],[Sales]]&gt;($B$5+1.5*$B$9),Table14[[#This Row],[Sales]]&lt;($B$7-1.5*$B$9)),"Outlier","Normal")</f>
        <v>Normal</v>
      </c>
      <c r="H381" s="22"/>
      <c r="I381" s="22">
        <f>Table1[[#This Row],[Sales]]/Table1[[#This Row],[USD_Spend]]</f>
        <v>53.001629631528139</v>
      </c>
    </row>
    <row r="382" spans="1:9" x14ac:dyDescent="0.35">
      <c r="A382" s="3" t="s">
        <v>108</v>
      </c>
      <c r="B382" s="15">
        <v>187.62</v>
      </c>
      <c r="C382" s="1" t="str">
        <f>IF(OR(Table14[[#This Row],[USD_Spend]]&gt;($B$4+1.5*$B$8),Table14[[#This Row],[USD_Spend]]&lt;($B$6-1.5*$B$8)),"Outlier","Normal")</f>
        <v>Normal</v>
      </c>
      <c r="D382" s="1">
        <v>139806</v>
      </c>
      <c r="E382" s="1">
        <v>39539</v>
      </c>
      <c r="F382" s="15">
        <v>55323.29</v>
      </c>
      <c r="G382" s="15" t="str">
        <f>IF(OR(Table14[[#This Row],[Sales]]&gt;($B$5+1.5*$B$9),Table14[[#This Row],[Sales]]&lt;($B$7-1.5*$B$9)),"Outlier","Normal")</f>
        <v>Normal</v>
      </c>
      <c r="H382" s="22"/>
      <c r="I382" s="22">
        <f>Table1[[#This Row],[Sales]]/Table1[[#This Row],[USD_Spend]]</f>
        <v>8.133293793483805</v>
      </c>
    </row>
    <row r="383" spans="1:9" x14ac:dyDescent="0.35">
      <c r="A383" s="3" t="s">
        <v>109</v>
      </c>
      <c r="B383" s="15">
        <v>34008.07</v>
      </c>
      <c r="C383" s="1" t="str">
        <f>IF(OR(Table14[[#This Row],[USD_Spend]]&gt;($B$4+1.5*$B$8),Table14[[#This Row],[USD_Spend]]&lt;($B$6-1.5*$B$8)),"Outlier","Normal")</f>
        <v>Normal</v>
      </c>
      <c r="D383" s="1">
        <v>568388</v>
      </c>
      <c r="E383" s="1">
        <v>15413</v>
      </c>
      <c r="F383" s="15">
        <v>98051.19</v>
      </c>
      <c r="G383" s="15" t="str">
        <f>IF(OR(Table14[[#This Row],[Sales]]&gt;($B$5+1.5*$B$9),Table14[[#This Row],[Sales]]&lt;($B$7-1.5*$B$9)),"Outlier","Normal")</f>
        <v>Normal</v>
      </c>
      <c r="H383" s="22"/>
      <c r="I383" s="22">
        <f>Table1[[#This Row],[Sales]]/Table1[[#This Row],[USD_Spend]]</f>
        <v>4.4336668721971906</v>
      </c>
    </row>
    <row r="384" spans="1:9" x14ac:dyDescent="0.35">
      <c r="A384" s="3" t="s">
        <v>105</v>
      </c>
      <c r="B384" s="15">
        <v>3554.46</v>
      </c>
      <c r="C384" s="1" t="str">
        <f>IF(OR(Table14[[#This Row],[USD_Spend]]&gt;($B$4+1.5*$B$8),Table14[[#This Row],[USD_Spend]]&lt;($B$6-1.5*$B$8)),"Outlier","Normal")</f>
        <v>Normal</v>
      </c>
      <c r="D384" s="1">
        <v>668840</v>
      </c>
      <c r="E384" s="1">
        <v>30322</v>
      </c>
      <c r="F384" s="15">
        <v>138728.51999999999</v>
      </c>
      <c r="G384" s="15" t="str">
        <f>IF(OR(Table14[[#This Row],[Sales]]&gt;($B$5+1.5*$B$9),Table14[[#This Row],[Sales]]&lt;($B$7-1.5*$B$9)),"Outlier","Normal")</f>
        <v>Normal</v>
      </c>
      <c r="H384" s="22"/>
      <c r="I384" s="22">
        <f>Table1[[#This Row],[Sales]]/Table1[[#This Row],[USD_Spend]]</f>
        <v>11.806561647058157</v>
      </c>
    </row>
    <row r="385" spans="1:9" x14ac:dyDescent="0.35">
      <c r="A385" s="3" t="s">
        <v>110</v>
      </c>
      <c r="B385" s="15">
        <v>5673.49</v>
      </c>
      <c r="C385" s="1" t="str">
        <f>IF(OR(Table14[[#This Row],[USD_Spend]]&gt;($B$4+1.5*$B$8),Table14[[#This Row],[USD_Spend]]&lt;($B$6-1.5*$B$8)),"Outlier","Normal")</f>
        <v>Normal</v>
      </c>
      <c r="D385" s="1">
        <v>945566</v>
      </c>
      <c r="E385" s="1">
        <v>36771</v>
      </c>
      <c r="F385" s="15">
        <v>15075.62</v>
      </c>
      <c r="G385" s="15" t="str">
        <f>IF(OR(Table14[[#This Row],[Sales]]&gt;($B$5+1.5*$B$9),Table14[[#This Row],[Sales]]&lt;($B$7-1.5*$B$9)),"Outlier","Normal")</f>
        <v>Normal</v>
      </c>
      <c r="H385" s="22"/>
      <c r="I385" s="22">
        <f>Table1[[#This Row],[Sales]]/Table1[[#This Row],[USD_Spend]]</f>
        <v>3.1229463110173148</v>
      </c>
    </row>
    <row r="386" spans="1:9" x14ac:dyDescent="0.35">
      <c r="A386" s="3" t="s">
        <v>70</v>
      </c>
      <c r="B386" s="15">
        <v>10060.040000000001</v>
      </c>
      <c r="C386" s="1" t="str">
        <f>IF(OR(Table14[[#This Row],[USD_Spend]]&gt;($B$4+1.5*$B$8),Table14[[#This Row],[USD_Spend]]&lt;($B$6-1.5*$B$8)),"Outlier","Normal")</f>
        <v>Normal</v>
      </c>
      <c r="D386" s="1">
        <v>588972</v>
      </c>
      <c r="E386" s="1">
        <v>7905</v>
      </c>
      <c r="F386" s="15">
        <v>46921.73</v>
      </c>
      <c r="G386" s="15" t="str">
        <f>IF(OR(Table14[[#This Row],[Sales]]&gt;($B$5+1.5*$B$9),Table14[[#This Row],[Sales]]&lt;($B$7-1.5*$B$9)),"Outlier","Normal")</f>
        <v>Normal</v>
      </c>
      <c r="H386" s="22"/>
      <c r="I386" s="22">
        <f>Table1[[#This Row],[Sales]]/Table1[[#This Row],[USD_Spend]]</f>
        <v>13.056772269089933</v>
      </c>
    </row>
    <row r="387" spans="1:9" x14ac:dyDescent="0.35">
      <c r="A387" s="3" t="s">
        <v>67</v>
      </c>
      <c r="B387" s="15">
        <v>39370.720000000001</v>
      </c>
      <c r="C387" s="1" t="str">
        <f>IF(OR(Table14[[#This Row],[USD_Spend]]&gt;($B$4+1.5*$B$8),Table14[[#This Row],[USD_Spend]]&lt;($B$6-1.5*$B$8)),"Outlier","Normal")</f>
        <v>Normal</v>
      </c>
      <c r="D387" s="1">
        <v>675506</v>
      </c>
      <c r="E387" s="1">
        <v>5308</v>
      </c>
      <c r="F387" s="15">
        <v>23789.84</v>
      </c>
      <c r="G387" s="15" t="str">
        <f>IF(OR(Table14[[#This Row],[Sales]]&gt;($B$5+1.5*$B$9),Table14[[#This Row],[Sales]]&lt;($B$7-1.5*$B$9)),"Outlier","Normal")</f>
        <v>Normal</v>
      </c>
      <c r="H387" s="22"/>
      <c r="I387" s="22">
        <f>Table1[[#This Row],[Sales]]/Table1[[#This Row],[USD_Spend]]</f>
        <v>4.5698714373571239</v>
      </c>
    </row>
    <row r="388" spans="1:9" x14ac:dyDescent="0.35">
      <c r="A388" s="3" t="s">
        <v>87</v>
      </c>
      <c r="B388" s="15">
        <v>16907.23</v>
      </c>
      <c r="C388" s="1" t="str">
        <f>IF(OR(Table14[[#This Row],[USD_Spend]]&gt;($B$4+1.5*$B$8),Table14[[#This Row],[USD_Spend]]&lt;($B$6-1.5*$B$8)),"Outlier","Normal")</f>
        <v>Normal</v>
      </c>
      <c r="D388" s="1">
        <v>566711</v>
      </c>
      <c r="E388" s="1">
        <v>22628</v>
      </c>
      <c r="F388" s="15">
        <v>109248.43</v>
      </c>
      <c r="G388" s="15" t="str">
        <f>IF(OR(Table14[[#This Row],[Sales]]&gt;($B$5+1.5*$B$9),Table14[[#This Row],[Sales]]&lt;($B$7-1.5*$B$9)),"Outlier","Normal")</f>
        <v>Normal</v>
      </c>
      <c r="H388" s="22"/>
      <c r="I388" s="22">
        <f>Table1[[#This Row],[Sales]]/Table1[[#This Row],[USD_Spend]]</f>
        <v>14.247672104736344</v>
      </c>
    </row>
    <row r="389" spans="1:9" x14ac:dyDescent="0.35">
      <c r="A389" s="3" t="s">
        <v>101</v>
      </c>
      <c r="B389" s="15">
        <v>5609.93</v>
      </c>
      <c r="C389" s="1" t="str">
        <f>IF(OR(Table14[[#This Row],[USD_Spend]]&gt;($B$4+1.5*$B$8),Table14[[#This Row],[USD_Spend]]&lt;($B$6-1.5*$B$8)),"Outlier","Normal")</f>
        <v>Normal</v>
      </c>
      <c r="D389" s="1">
        <v>774234</v>
      </c>
      <c r="E389" s="1">
        <v>217</v>
      </c>
      <c r="F389" s="15">
        <v>237453.09</v>
      </c>
      <c r="G389" s="15" t="str">
        <f>IF(OR(Table14[[#This Row],[Sales]]&gt;($B$5+1.5*$B$9),Table14[[#This Row],[Sales]]&lt;($B$7-1.5*$B$9)),"Outlier","Normal")</f>
        <v>Normal</v>
      </c>
      <c r="H389" s="22"/>
      <c r="I389" s="22">
        <f>Table1[[#This Row],[Sales]]/Table1[[#This Row],[USD_Spend]]</f>
        <v>5.1156027451118389</v>
      </c>
    </row>
    <row r="390" spans="1:9" x14ac:dyDescent="0.35">
      <c r="A390" s="3" t="s">
        <v>86</v>
      </c>
      <c r="B390" s="15">
        <v>33538.26</v>
      </c>
      <c r="C390" s="1" t="str">
        <f>IF(OR(Table14[[#This Row],[USD_Spend]]&gt;($B$4+1.5*$B$8),Table14[[#This Row],[USD_Spend]]&lt;($B$6-1.5*$B$8)),"Outlier","Normal")</f>
        <v>Normal</v>
      </c>
      <c r="D390" s="1">
        <v>898765</v>
      </c>
      <c r="E390" s="1">
        <v>11816</v>
      </c>
      <c r="F390" s="15">
        <v>113733.13</v>
      </c>
      <c r="G390" s="15" t="str">
        <f>IF(OR(Table14[[#This Row],[Sales]]&gt;($B$5+1.5*$B$9),Table14[[#This Row],[Sales]]&lt;($B$7-1.5*$B$9)),"Outlier","Normal")</f>
        <v>Normal</v>
      </c>
      <c r="H390" s="22"/>
      <c r="I390" s="22">
        <f>Table1[[#This Row],[Sales]]/Table1[[#This Row],[USD_Spend]]</f>
        <v>2.692401140327326</v>
      </c>
    </row>
    <row r="391" spans="1:9" x14ac:dyDescent="0.35">
      <c r="A391" s="3" t="s">
        <v>93</v>
      </c>
      <c r="B391" s="15">
        <v>4682.04</v>
      </c>
      <c r="C391" s="1" t="str">
        <f>IF(OR(Table14[[#This Row],[USD_Spend]]&gt;($B$4+1.5*$B$8),Table14[[#This Row],[USD_Spend]]&lt;($B$6-1.5*$B$8)),"Outlier","Normal")</f>
        <v>Normal</v>
      </c>
      <c r="D391" s="1">
        <v>937989</v>
      </c>
      <c r="E391" s="1">
        <v>2644</v>
      </c>
      <c r="F391" s="15">
        <v>248155.75</v>
      </c>
      <c r="G391" s="15" t="str">
        <f>IF(OR(Table14[[#This Row],[Sales]]&gt;($B$5+1.5*$B$9),Table14[[#This Row],[Sales]]&lt;($B$7-1.5*$B$9)),"Outlier","Normal")</f>
        <v>Normal</v>
      </c>
      <c r="H391" s="22"/>
      <c r="I391" s="22">
        <f>Table1[[#This Row],[Sales]]/Table1[[#This Row],[USD_Spend]]</f>
        <v>10.813935231442221</v>
      </c>
    </row>
    <row r="392" spans="1:9" x14ac:dyDescent="0.35">
      <c r="A392" s="3" t="s">
        <v>55</v>
      </c>
      <c r="B392" s="15">
        <v>4569.2299999999996</v>
      </c>
      <c r="C392" s="1" t="str">
        <f>IF(OR(Table14[[#This Row],[USD_Spend]]&gt;($B$4+1.5*$B$8),Table14[[#This Row],[USD_Spend]]&lt;($B$6-1.5*$B$8)),"Outlier","Normal")</f>
        <v>Normal</v>
      </c>
      <c r="D392" s="1">
        <v>666912</v>
      </c>
      <c r="E392" s="1">
        <v>8384</v>
      </c>
      <c r="F392" s="15">
        <v>37162.89</v>
      </c>
      <c r="G392" s="15" t="str">
        <f>IF(OR(Table14[[#This Row],[Sales]]&gt;($B$5+1.5*$B$9),Table14[[#This Row],[Sales]]&lt;($B$7-1.5*$B$9)),"Outlier","Normal")</f>
        <v>Normal</v>
      </c>
      <c r="H392" s="22"/>
      <c r="I392" s="22">
        <f>Table1[[#This Row],[Sales]]/Table1[[#This Row],[USD_Spend]]</f>
        <v>38.924765457851265</v>
      </c>
    </row>
    <row r="393" spans="1:9" x14ac:dyDescent="0.35">
      <c r="A393" s="3" t="s">
        <v>79</v>
      </c>
      <c r="B393" s="15">
        <v>32906.71</v>
      </c>
      <c r="C393" s="1" t="str">
        <f>IF(OR(Table14[[#This Row],[USD_Spend]]&gt;($B$4+1.5*$B$8),Table14[[#This Row],[USD_Spend]]&lt;($B$6-1.5*$B$8)),"Outlier","Normal")</f>
        <v>Normal</v>
      </c>
      <c r="D393" s="1">
        <v>176494</v>
      </c>
      <c r="E393" s="1">
        <v>39664</v>
      </c>
      <c r="F393" s="15">
        <v>145897.39000000001</v>
      </c>
      <c r="G393" s="15" t="str">
        <f>IF(OR(Table14[[#This Row],[Sales]]&gt;($B$5+1.5*$B$9),Table14[[#This Row],[Sales]]&lt;($B$7-1.5*$B$9)),"Outlier","Normal")</f>
        <v>Normal</v>
      </c>
      <c r="H393" s="22"/>
      <c r="I393" s="22">
        <f>Table1[[#This Row],[Sales]]/Table1[[#This Row],[USD_Spend]]</f>
        <v>24.712633319074698</v>
      </c>
    </row>
    <row r="394" spans="1:9" x14ac:dyDescent="0.35">
      <c r="A394" s="3" t="s">
        <v>111</v>
      </c>
      <c r="B394" s="15">
        <v>7056.46</v>
      </c>
      <c r="C394" s="1" t="str">
        <f>IF(OR(Table14[[#This Row],[USD_Spend]]&gt;($B$4+1.5*$B$8),Table14[[#This Row],[USD_Spend]]&lt;($B$6-1.5*$B$8)),"Outlier","Normal")</f>
        <v>Normal</v>
      </c>
      <c r="D394" s="1">
        <v>417000</v>
      </c>
      <c r="E394" s="1">
        <v>27867</v>
      </c>
      <c r="F394" s="15">
        <v>83312.53</v>
      </c>
      <c r="G394" s="15" t="str">
        <f>IF(OR(Table14[[#This Row],[Sales]]&gt;($B$5+1.5*$B$9),Table14[[#This Row],[Sales]]&lt;($B$7-1.5*$B$9)),"Outlier","Normal")</f>
        <v>Normal</v>
      </c>
      <c r="H394" s="22"/>
      <c r="I394" s="22">
        <f>Table1[[#This Row],[Sales]]/Table1[[#This Row],[USD_Spend]]</f>
        <v>4.4281917512912541</v>
      </c>
    </row>
    <row r="395" spans="1:9" x14ac:dyDescent="0.35">
      <c r="A395" s="3" t="s">
        <v>57</v>
      </c>
      <c r="B395" s="15">
        <v>56121.57</v>
      </c>
      <c r="C395" s="1" t="str">
        <f>IF(OR(Table14[[#This Row],[USD_Spend]]&gt;($B$4+1.5*$B$8),Table14[[#This Row],[USD_Spend]]&lt;($B$6-1.5*$B$8)),"Outlier","Normal")</f>
        <v>Outlier</v>
      </c>
      <c r="D395" s="1">
        <v>315605</v>
      </c>
      <c r="E395" s="1">
        <v>48260</v>
      </c>
      <c r="F395" s="15">
        <v>175264.65</v>
      </c>
      <c r="G395" s="15" t="str">
        <f>IF(OR(Table14[[#This Row],[Sales]]&gt;($B$5+1.5*$B$9),Table14[[#This Row],[Sales]]&lt;($B$7-1.5*$B$9)),"Outlier","Normal")</f>
        <v>Normal</v>
      </c>
      <c r="H395" s="22"/>
      <c r="I395" s="22">
        <f>Table1[[#This Row],[Sales]]/Table1[[#This Row],[USD_Spend]]</f>
        <v>16.205054915507858</v>
      </c>
    </row>
    <row r="396" spans="1:9" x14ac:dyDescent="0.35">
      <c r="A396" s="3" t="s">
        <v>113</v>
      </c>
      <c r="B396" s="15">
        <v>10828.35</v>
      </c>
      <c r="C396" s="1" t="str">
        <f>IF(OR(Table14[[#This Row],[USD_Spend]]&gt;($B$4+1.5*$B$8),Table14[[#This Row],[USD_Spend]]&lt;($B$6-1.5*$B$8)),"Outlier","Normal")</f>
        <v>Normal</v>
      </c>
      <c r="D396" s="1">
        <v>44455</v>
      </c>
      <c r="E396" s="1">
        <v>11691</v>
      </c>
      <c r="F396" s="15">
        <v>141383.29999999999</v>
      </c>
      <c r="G396" s="15" t="str">
        <f>IF(OR(Table14[[#This Row],[Sales]]&gt;($B$5+1.5*$B$9),Table14[[#This Row],[Sales]]&lt;($B$7-1.5*$B$9)),"Outlier","Normal")</f>
        <v>Normal</v>
      </c>
      <c r="H396" s="22"/>
      <c r="I396" s="22">
        <f>Table1[[#This Row],[Sales]]/Table1[[#This Row],[USD_Spend]]</f>
        <v>4.7709801313304956</v>
      </c>
    </row>
    <row r="397" spans="1:9" x14ac:dyDescent="0.35">
      <c r="A397" s="3" t="s">
        <v>91</v>
      </c>
      <c r="B397" s="15">
        <v>27935.02</v>
      </c>
      <c r="C397" s="1" t="str">
        <f>IF(OR(Table14[[#This Row],[USD_Spend]]&gt;($B$4+1.5*$B$8),Table14[[#This Row],[USD_Spend]]&lt;($B$6-1.5*$B$8)),"Outlier","Normal")</f>
        <v>Normal</v>
      </c>
      <c r="D397" s="1">
        <v>205472</v>
      </c>
      <c r="E397" s="1">
        <v>13133</v>
      </c>
      <c r="F397" s="15">
        <v>127659.45</v>
      </c>
      <c r="G397" s="15" t="str">
        <f>IF(OR(Table14[[#This Row],[Sales]]&gt;($B$5+1.5*$B$9),Table14[[#This Row],[Sales]]&lt;($B$7-1.5*$B$9)),"Outlier","Normal")</f>
        <v>Normal</v>
      </c>
      <c r="H397" s="22"/>
      <c r="I397" s="22">
        <f>Table1[[#This Row],[Sales]]/Table1[[#This Row],[USD_Spend]]</f>
        <v>7.0623006571110167</v>
      </c>
    </row>
    <row r="398" spans="1:9" x14ac:dyDescent="0.35">
      <c r="A398" s="3" t="s">
        <v>119</v>
      </c>
      <c r="B398" s="15">
        <v>5015.26</v>
      </c>
      <c r="C398" s="1" t="str">
        <f>IF(OR(Table14[[#This Row],[USD_Spend]]&gt;($B$4+1.5*$B$8),Table14[[#This Row],[USD_Spend]]&lt;($B$6-1.5*$B$8)),"Outlier","Normal")</f>
        <v>Normal</v>
      </c>
      <c r="D398" s="1">
        <v>685958</v>
      </c>
      <c r="E398" s="1">
        <v>26016</v>
      </c>
      <c r="F398" s="15">
        <v>71455.78</v>
      </c>
      <c r="G398" s="15" t="str">
        <f>IF(OR(Table14[[#This Row],[Sales]]&gt;($B$5+1.5*$B$9),Table14[[#This Row],[Sales]]&lt;($B$7-1.5*$B$9)),"Outlier","Normal")</f>
        <v>Normal</v>
      </c>
      <c r="H398" s="22"/>
      <c r="I398" s="22">
        <f>Table1[[#This Row],[Sales]]/Table1[[#This Row],[USD_Spend]]</f>
        <v>6.3011470606852518</v>
      </c>
    </row>
    <row r="399" spans="1:9" x14ac:dyDescent="0.35">
      <c r="A399" s="3" t="s">
        <v>86</v>
      </c>
      <c r="B399" s="15">
        <v>36091.79</v>
      </c>
      <c r="C399" s="1" t="str">
        <f>IF(OR(Table14[[#This Row],[USD_Spend]]&gt;($B$4+1.5*$B$8),Table14[[#This Row],[USD_Spend]]&lt;($B$6-1.5*$B$8)),"Outlier","Normal")</f>
        <v>Normal</v>
      </c>
      <c r="D399" s="1">
        <v>854654</v>
      </c>
      <c r="E399" s="1">
        <v>28851</v>
      </c>
      <c r="F399" s="15">
        <v>184631.26</v>
      </c>
      <c r="G399" s="15" t="str">
        <f>IF(OR(Table14[[#This Row],[Sales]]&gt;($B$5+1.5*$B$9),Table14[[#This Row],[Sales]]&lt;($B$7-1.5*$B$9)),"Outlier","Normal")</f>
        <v>Normal</v>
      </c>
      <c r="H399" s="22"/>
      <c r="I399" s="22">
        <f>Table1[[#This Row],[Sales]]/Table1[[#This Row],[USD_Spend]]</f>
        <v>25.524443687705464</v>
      </c>
    </row>
    <row r="400" spans="1:9" x14ac:dyDescent="0.35">
      <c r="A400" s="3" t="s">
        <v>66</v>
      </c>
      <c r="B400" s="15">
        <v>34712.839999999997</v>
      </c>
      <c r="C400" s="1" t="str">
        <f>IF(OR(Table14[[#This Row],[USD_Spend]]&gt;($B$4+1.5*$B$8),Table14[[#This Row],[USD_Spend]]&lt;($B$6-1.5*$B$8)),"Outlier","Normal")</f>
        <v>Normal</v>
      </c>
      <c r="D400" s="1">
        <v>962575</v>
      </c>
      <c r="E400" s="1">
        <v>43797</v>
      </c>
      <c r="F400" s="15">
        <v>93460.89</v>
      </c>
      <c r="G400" s="15" t="str">
        <f>IF(OR(Table14[[#This Row],[Sales]]&gt;($B$5+1.5*$B$9),Table14[[#This Row],[Sales]]&lt;($B$7-1.5*$B$9)),"Outlier","Normal")</f>
        <v>Normal</v>
      </c>
      <c r="H400" s="22"/>
      <c r="I400" s="22">
        <f>Table1[[#This Row],[Sales]]/Table1[[#This Row],[USD_Spend]]</f>
        <v>5.4890922522319636</v>
      </c>
    </row>
    <row r="401" spans="1:9" x14ac:dyDescent="0.35">
      <c r="A401" s="3" t="s">
        <v>18</v>
      </c>
      <c r="B401" s="15">
        <v>4764.04</v>
      </c>
      <c r="C401" s="1" t="str">
        <f>IF(OR(Table14[[#This Row],[USD_Spend]]&gt;($B$4+1.5*$B$8),Table14[[#This Row],[USD_Spend]]&lt;($B$6-1.5*$B$8)),"Outlier","Normal")</f>
        <v>Normal</v>
      </c>
      <c r="D401" s="1">
        <v>868835</v>
      </c>
      <c r="E401" s="1">
        <v>25494</v>
      </c>
      <c r="F401" s="15">
        <v>51518.02</v>
      </c>
      <c r="G401" s="15" t="str">
        <f>IF(OR(Table14[[#This Row],[Sales]]&gt;($B$5+1.5*$B$9),Table14[[#This Row],[Sales]]&lt;($B$7-1.5*$B$9)),"Outlier","Normal")</f>
        <v>Normal</v>
      </c>
      <c r="H401" s="22"/>
      <c r="I401" s="22">
        <f>Table1[[#This Row],[Sales]]/Table1[[#This Row],[USD_Spend]]</f>
        <v>9.5666042832400198</v>
      </c>
    </row>
    <row r="402" spans="1:9" x14ac:dyDescent="0.35">
      <c r="A402" s="3" t="s">
        <v>68</v>
      </c>
      <c r="B402" s="15">
        <v>3921.47</v>
      </c>
      <c r="C402" s="1" t="str">
        <f>IF(OR(Table14[[#This Row],[USD_Spend]]&gt;($B$4+1.5*$B$8),Table14[[#This Row],[USD_Spend]]&lt;($B$6-1.5*$B$8)),"Outlier","Normal")</f>
        <v>Normal</v>
      </c>
      <c r="D402" s="1">
        <v>331384</v>
      </c>
      <c r="E402" s="1">
        <v>29323</v>
      </c>
      <c r="F402" s="15">
        <v>152642.29999999999</v>
      </c>
      <c r="G402" s="15" t="str">
        <f>IF(OR(Table14[[#This Row],[Sales]]&gt;($B$5+1.5*$B$9),Table14[[#This Row],[Sales]]&lt;($B$7-1.5*$B$9)),"Outlier","Normal")</f>
        <v>Normal</v>
      </c>
      <c r="H402" s="22"/>
      <c r="I402" s="22">
        <f>Table1[[#This Row],[Sales]]/Table1[[#This Row],[USD_Spend]]</f>
        <v>31.729224188216996</v>
      </c>
    </row>
    <row r="403" spans="1:9" x14ac:dyDescent="0.35">
      <c r="A403" s="3" t="s">
        <v>97</v>
      </c>
      <c r="B403" s="15">
        <v>9841.99</v>
      </c>
      <c r="C403" s="1" t="str">
        <f>IF(OR(Table14[[#This Row],[USD_Spend]]&gt;($B$4+1.5*$B$8),Table14[[#This Row],[USD_Spend]]&lt;($B$6-1.5*$B$8)),"Outlier","Normal")</f>
        <v>Normal</v>
      </c>
      <c r="D403" s="1">
        <v>33205</v>
      </c>
      <c r="E403" s="1">
        <v>12285</v>
      </c>
      <c r="F403" s="15">
        <v>243221.49</v>
      </c>
      <c r="G403" s="15" t="str">
        <f>IF(OR(Table14[[#This Row],[Sales]]&gt;($B$5+1.5*$B$9),Table14[[#This Row],[Sales]]&lt;($B$7-1.5*$B$9)),"Outlier","Normal")</f>
        <v>Normal</v>
      </c>
      <c r="H403" s="22"/>
      <c r="I403" s="22">
        <f>Table1[[#This Row],[Sales]]/Table1[[#This Row],[USD_Spend]]</f>
        <v>34.657541248323376</v>
      </c>
    </row>
    <row r="404" spans="1:9" x14ac:dyDescent="0.35">
      <c r="A404" s="3" t="s">
        <v>91</v>
      </c>
      <c r="B404" s="15">
        <v>14621.44</v>
      </c>
      <c r="C404" s="1" t="str">
        <f>IF(OR(Table14[[#This Row],[USD_Spend]]&gt;($B$4+1.5*$B$8),Table14[[#This Row],[USD_Spend]]&lt;($B$6-1.5*$B$8)),"Outlier","Normal")</f>
        <v>Normal</v>
      </c>
      <c r="D404" s="1">
        <v>302477</v>
      </c>
      <c r="E404" s="1">
        <v>29643</v>
      </c>
      <c r="F404" s="15">
        <v>64746.54</v>
      </c>
      <c r="G404" s="15" t="str">
        <f>IF(OR(Table14[[#This Row],[Sales]]&gt;($B$5+1.5*$B$9),Table14[[#This Row],[Sales]]&lt;($B$7-1.5*$B$9)),"Outlier","Normal")</f>
        <v>Normal</v>
      </c>
      <c r="H404" s="22"/>
      <c r="I404" s="22">
        <f>Table1[[#This Row],[Sales]]/Table1[[#This Row],[USD_Spend]]</f>
        <v>178.09212648453155</v>
      </c>
    </row>
    <row r="405" spans="1:9" x14ac:dyDescent="0.35">
      <c r="A405" s="3" t="s">
        <v>57</v>
      </c>
      <c r="B405" s="15">
        <v>3421.62</v>
      </c>
      <c r="C405" s="1" t="str">
        <f>IF(OR(Table14[[#This Row],[USD_Spend]]&gt;($B$4+1.5*$B$8),Table14[[#This Row],[USD_Spend]]&lt;($B$6-1.5*$B$8)),"Outlier","Normal")</f>
        <v>Normal</v>
      </c>
      <c r="D405" s="1">
        <v>734423</v>
      </c>
      <c r="E405" s="1">
        <v>44344</v>
      </c>
      <c r="F405" s="15">
        <v>55447.54</v>
      </c>
      <c r="G405" s="15" t="str">
        <f>IF(OR(Table14[[#This Row],[Sales]]&gt;($B$5+1.5*$B$9),Table14[[#This Row],[Sales]]&lt;($B$7-1.5*$B$9)),"Outlier","Normal")</f>
        <v>Normal</v>
      </c>
      <c r="H405" s="22"/>
      <c r="I405" s="22">
        <f>Table1[[#This Row],[Sales]]/Table1[[#This Row],[USD_Spend]]</f>
        <v>158.23199222806608</v>
      </c>
    </row>
    <row r="406" spans="1:9" x14ac:dyDescent="0.35">
      <c r="A406" s="3" t="s">
        <v>98</v>
      </c>
      <c r="B406" s="15">
        <v>44353.75</v>
      </c>
      <c r="C406" s="1" t="str">
        <f>IF(OR(Table14[[#This Row],[USD_Spend]]&gt;($B$4+1.5*$B$8),Table14[[#This Row],[USD_Spend]]&lt;($B$6-1.5*$B$8)),"Outlier","Normal")</f>
        <v>Normal</v>
      </c>
      <c r="D406" s="1">
        <v>805284</v>
      </c>
      <c r="E406" s="1">
        <v>28105</v>
      </c>
      <c r="F406" s="15">
        <v>211610.86</v>
      </c>
      <c r="G406" s="15" t="str">
        <f>IF(OR(Table14[[#This Row],[Sales]]&gt;($B$5+1.5*$B$9),Table14[[#This Row],[Sales]]&lt;($B$7-1.5*$B$9)),"Outlier","Normal")</f>
        <v>Normal</v>
      </c>
      <c r="H406" s="22"/>
      <c r="I406" s="22">
        <f>Table1[[#This Row],[Sales]]/Table1[[#This Row],[USD_Spend]]</f>
        <v>3.394680622125589</v>
      </c>
    </row>
    <row r="407" spans="1:9" x14ac:dyDescent="0.35">
      <c r="A407" s="3" t="s">
        <v>94</v>
      </c>
      <c r="B407" s="15">
        <v>3122.76</v>
      </c>
      <c r="C407" s="1" t="str">
        <f>IF(OR(Table14[[#This Row],[USD_Spend]]&gt;($B$4+1.5*$B$8),Table14[[#This Row],[USD_Spend]]&lt;($B$6-1.5*$B$8)),"Outlier","Normal")</f>
        <v>Normal</v>
      </c>
      <c r="D407" s="1">
        <v>332998</v>
      </c>
      <c r="E407" s="1">
        <v>26694</v>
      </c>
      <c r="F407" s="15">
        <v>22053.87</v>
      </c>
      <c r="G407" s="15" t="str">
        <f>IF(OR(Table14[[#This Row],[Sales]]&gt;($B$5+1.5*$B$9),Table14[[#This Row],[Sales]]&lt;($B$7-1.5*$B$9)),"Outlier","Normal")</f>
        <v>Normal</v>
      </c>
      <c r="H407" s="22"/>
      <c r="I407" s="22">
        <f>Table1[[#This Row],[Sales]]/Table1[[#This Row],[USD_Spend]]</f>
        <v>32.118099729472839</v>
      </c>
    </row>
    <row r="408" spans="1:9" x14ac:dyDescent="0.35">
      <c r="A408" s="3" t="s">
        <v>67</v>
      </c>
      <c r="B408" s="15">
        <v>22117.4</v>
      </c>
      <c r="C408" s="1" t="str">
        <f>IF(OR(Table14[[#This Row],[USD_Spend]]&gt;($B$4+1.5*$B$8),Table14[[#This Row],[USD_Spend]]&lt;($B$6-1.5*$B$8)),"Outlier","Normal")</f>
        <v>Normal</v>
      </c>
      <c r="D408" s="1">
        <v>81551</v>
      </c>
      <c r="E408" s="1">
        <v>5509</v>
      </c>
      <c r="F408" s="15">
        <v>139364.99</v>
      </c>
      <c r="G408" s="15" t="str">
        <f>IF(OR(Table14[[#This Row],[Sales]]&gt;($B$5+1.5*$B$9),Table14[[#This Row],[Sales]]&lt;($B$7-1.5*$B$9)),"Outlier","Normal")</f>
        <v>Normal</v>
      </c>
      <c r="H408" s="22"/>
      <c r="I408" s="22">
        <f>Table1[[#This Row],[Sales]]/Table1[[#This Row],[USD_Spend]]</f>
        <v>6.8718394705232191</v>
      </c>
    </row>
    <row r="409" spans="1:9" x14ac:dyDescent="0.35">
      <c r="A409" s="3" t="s">
        <v>105</v>
      </c>
      <c r="B409" s="15">
        <v>3817.55</v>
      </c>
      <c r="C409" s="1" t="str">
        <f>IF(OR(Table14[[#This Row],[USD_Spend]]&gt;($B$4+1.5*$B$8),Table14[[#This Row],[USD_Spend]]&lt;($B$6-1.5*$B$8)),"Outlier","Normal")</f>
        <v>Normal</v>
      </c>
      <c r="D409" s="1">
        <v>597354</v>
      </c>
      <c r="E409" s="1">
        <v>25871</v>
      </c>
      <c r="F409" s="15">
        <v>97440.84</v>
      </c>
      <c r="G409" s="15" t="str">
        <f>IF(OR(Table14[[#This Row],[Sales]]&gt;($B$5+1.5*$B$9),Table14[[#This Row],[Sales]]&lt;($B$7-1.5*$B$9)),"Outlier","Normal")</f>
        <v>Normal</v>
      </c>
      <c r="H409" s="22"/>
      <c r="I409" s="22">
        <f>Table1[[#This Row],[Sales]]/Table1[[#This Row],[USD_Spend]]</f>
        <v>6.6525871864347517</v>
      </c>
    </row>
    <row r="410" spans="1:9" x14ac:dyDescent="0.35">
      <c r="A410" s="3" t="s">
        <v>42</v>
      </c>
      <c r="B410" s="15">
        <v>17584.29</v>
      </c>
      <c r="C410" s="1" t="str">
        <f>IF(OR(Table14[[#This Row],[USD_Spend]]&gt;($B$4+1.5*$B$8),Table14[[#This Row],[USD_Spend]]&lt;($B$6-1.5*$B$8)),"Outlier","Normal")</f>
        <v>Normal</v>
      </c>
      <c r="D410" s="1">
        <v>137916</v>
      </c>
      <c r="E410" s="1">
        <v>25932</v>
      </c>
      <c r="F410" s="15">
        <v>96521.79</v>
      </c>
      <c r="G410" s="15" t="str">
        <f>IF(OR(Table14[[#This Row],[Sales]]&gt;($B$5+1.5*$B$9),Table14[[#This Row],[Sales]]&lt;($B$7-1.5*$B$9)),"Outlier","Normal")</f>
        <v>Normal</v>
      </c>
      <c r="H410" s="22"/>
      <c r="I410" s="22">
        <f>Table1[[#This Row],[Sales]]/Table1[[#This Row],[USD_Spend]]</f>
        <v>3.7504208947757447</v>
      </c>
    </row>
    <row r="411" spans="1:9" x14ac:dyDescent="0.35">
      <c r="A411" s="3" t="s">
        <v>27</v>
      </c>
      <c r="B411" s="15">
        <v>24226.52</v>
      </c>
      <c r="C411" s="1" t="str">
        <f>IF(OR(Table14[[#This Row],[USD_Spend]]&gt;($B$4+1.5*$B$8),Table14[[#This Row],[USD_Spend]]&lt;($B$6-1.5*$B$8)),"Outlier","Normal")</f>
        <v>Normal</v>
      </c>
      <c r="D411" s="1">
        <v>591028</v>
      </c>
      <c r="E411" s="1">
        <v>47419</v>
      </c>
      <c r="F411" s="15">
        <v>231765.53</v>
      </c>
      <c r="G411" s="15" t="str">
        <f>IF(OR(Table14[[#This Row],[Sales]]&gt;($B$5+1.5*$B$9),Table14[[#This Row],[Sales]]&lt;($B$7-1.5*$B$9)),"Outlier","Normal")</f>
        <v>Normal</v>
      </c>
      <c r="H411" s="22"/>
      <c r="I411" s="22">
        <f>Table1[[#This Row],[Sales]]/Table1[[#This Row],[USD_Spend]]</f>
        <v>21.869669746973873</v>
      </c>
    </row>
    <row r="412" spans="1:9" x14ac:dyDescent="0.35">
      <c r="A412" s="3" t="s">
        <v>86</v>
      </c>
      <c r="B412" s="15">
        <v>5914.45</v>
      </c>
      <c r="C412" s="1" t="str">
        <f>IF(OR(Table14[[#This Row],[USD_Spend]]&gt;($B$4+1.5*$B$8),Table14[[#This Row],[USD_Spend]]&lt;($B$6-1.5*$B$8)),"Outlier","Normal")</f>
        <v>Normal</v>
      </c>
      <c r="D412" s="1">
        <v>813398</v>
      </c>
      <c r="E412" s="1">
        <v>43287</v>
      </c>
      <c r="F412" s="15">
        <v>187660.91</v>
      </c>
      <c r="G412" s="15" t="str">
        <f>IF(OR(Table14[[#This Row],[Sales]]&gt;($B$5+1.5*$B$9),Table14[[#This Row],[Sales]]&lt;($B$7-1.5*$B$9)),"Outlier","Normal")</f>
        <v>Normal</v>
      </c>
      <c r="H412" s="22"/>
      <c r="I412" s="22">
        <f>Table1[[#This Row],[Sales]]/Table1[[#This Row],[USD_Spend]]</f>
        <v>38.497052229510913</v>
      </c>
    </row>
    <row r="413" spans="1:9" x14ac:dyDescent="0.35">
      <c r="A413" s="3" t="s">
        <v>87</v>
      </c>
      <c r="B413" s="15">
        <v>6143.28</v>
      </c>
      <c r="C413" s="1" t="str">
        <f>IF(OR(Table14[[#This Row],[USD_Spend]]&gt;($B$4+1.5*$B$8),Table14[[#This Row],[USD_Spend]]&lt;($B$6-1.5*$B$8)),"Outlier","Normal")</f>
        <v>Normal</v>
      </c>
      <c r="D413" s="1">
        <v>462762</v>
      </c>
      <c r="E413" s="1">
        <v>27342</v>
      </c>
      <c r="F413" s="15">
        <v>212910.98</v>
      </c>
      <c r="G413" s="15" t="str">
        <f>IF(OR(Table14[[#This Row],[Sales]]&gt;($B$5+1.5*$B$9),Table14[[#This Row],[Sales]]&lt;($B$7-1.5*$B$9)),"Outlier","Normal")</f>
        <v>Normal</v>
      </c>
      <c r="H413" s="22"/>
      <c r="I413" s="22">
        <f>Table1[[#This Row],[Sales]]/Table1[[#This Row],[USD_Spend]]</f>
        <v>2.1728845750789914</v>
      </c>
    </row>
    <row r="414" spans="1:9" x14ac:dyDescent="0.35">
      <c r="A414" s="3" t="s">
        <v>85</v>
      </c>
      <c r="B414" s="15">
        <v>1023.05</v>
      </c>
      <c r="C414" s="1" t="str">
        <f>IF(OR(Table14[[#This Row],[USD_Spend]]&gt;($B$4+1.5*$B$8),Table14[[#This Row],[USD_Spend]]&lt;($B$6-1.5*$B$8)),"Outlier","Normal")</f>
        <v>Normal</v>
      </c>
      <c r="D414" s="1">
        <v>880161</v>
      </c>
      <c r="E414" s="1">
        <v>27302</v>
      </c>
      <c r="F414" s="15">
        <v>182197.15</v>
      </c>
      <c r="G414" s="15" t="str">
        <f>IF(OR(Table14[[#This Row],[Sales]]&gt;($B$5+1.5*$B$9),Table14[[#This Row],[Sales]]&lt;($B$7-1.5*$B$9)),"Outlier","Normal")</f>
        <v>Normal</v>
      </c>
      <c r="H414" s="22"/>
      <c r="I414" s="22">
        <f>Table1[[#This Row],[Sales]]/Table1[[#This Row],[USD_Spend]]</f>
        <v>2.8351729197875355</v>
      </c>
    </row>
    <row r="415" spans="1:9" x14ac:dyDescent="0.35">
      <c r="A415" s="3" t="s">
        <v>95</v>
      </c>
      <c r="B415" s="15">
        <v>1492.55</v>
      </c>
      <c r="C415" s="1" t="str">
        <f>IF(OR(Table14[[#This Row],[USD_Spend]]&gt;($B$4+1.5*$B$8),Table14[[#This Row],[USD_Spend]]&lt;($B$6-1.5*$B$8)),"Outlier","Normal")</f>
        <v>Normal</v>
      </c>
      <c r="D415" s="1">
        <v>842685</v>
      </c>
      <c r="E415" s="1">
        <v>15615</v>
      </c>
      <c r="F415" s="15">
        <v>236169.16</v>
      </c>
      <c r="G415" s="15" t="str">
        <f>IF(OR(Table14[[#This Row],[Sales]]&gt;($B$5+1.5*$B$9),Table14[[#This Row],[Sales]]&lt;($B$7-1.5*$B$9)),"Outlier","Normal")</f>
        <v>Normal</v>
      </c>
      <c r="H415" s="22"/>
      <c r="I415" s="22">
        <f>Table1[[#This Row],[Sales]]/Table1[[#This Row],[USD_Spend]]</f>
        <v>3.702202070344371</v>
      </c>
    </row>
    <row r="416" spans="1:9" x14ac:dyDescent="0.35">
      <c r="A416" s="3" t="s">
        <v>114</v>
      </c>
      <c r="B416" s="15">
        <v>39590.720000000001</v>
      </c>
      <c r="C416" s="1" t="str">
        <f>IF(OR(Table14[[#This Row],[USD_Spend]]&gt;($B$4+1.5*$B$8),Table14[[#This Row],[USD_Spend]]&lt;($B$6-1.5*$B$8)),"Outlier","Normal")</f>
        <v>Normal</v>
      </c>
      <c r="D416" s="1">
        <v>773660</v>
      </c>
      <c r="E416" s="1">
        <v>42189</v>
      </c>
      <c r="F416" s="15">
        <v>134397.85</v>
      </c>
      <c r="G416" s="15" t="str">
        <f>IF(OR(Table14[[#This Row],[Sales]]&gt;($B$5+1.5*$B$9),Table14[[#This Row],[Sales]]&lt;($B$7-1.5*$B$9)),"Outlier","Normal")</f>
        <v>Normal</v>
      </c>
      <c r="H416" s="22"/>
      <c r="I416" s="22">
        <f>Table1[[#This Row],[Sales]]/Table1[[#This Row],[USD_Spend]]</f>
        <v>0.71476337721861527</v>
      </c>
    </row>
    <row r="417" spans="1:9" x14ac:dyDescent="0.35">
      <c r="A417" s="3" t="s">
        <v>27</v>
      </c>
      <c r="B417" s="15">
        <v>3829.56</v>
      </c>
      <c r="C417" s="1" t="str">
        <f>IF(OR(Table14[[#This Row],[USD_Spend]]&gt;($B$4+1.5*$B$8),Table14[[#This Row],[USD_Spend]]&lt;($B$6-1.5*$B$8)),"Outlier","Normal")</f>
        <v>Normal</v>
      </c>
      <c r="D417" s="1">
        <v>997697</v>
      </c>
      <c r="E417" s="1">
        <v>27566</v>
      </c>
      <c r="F417" s="15">
        <v>122998.19</v>
      </c>
      <c r="G417" s="15" t="str">
        <f>IF(OR(Table14[[#This Row],[Sales]]&gt;($B$5+1.5*$B$9),Table14[[#This Row],[Sales]]&lt;($B$7-1.5*$B$9)),"Outlier","Normal")</f>
        <v>Normal</v>
      </c>
      <c r="H417" s="22"/>
      <c r="I417" s="22">
        <f>Table1[[#This Row],[Sales]]/Table1[[#This Row],[USD_Spend]]</f>
        <v>1.7894805827729974</v>
      </c>
    </row>
    <row r="418" spans="1:9" x14ac:dyDescent="0.35">
      <c r="A418" s="3" t="s">
        <v>62</v>
      </c>
      <c r="B418" s="15">
        <v>12096.47</v>
      </c>
      <c r="C418" s="1" t="str">
        <f>IF(OR(Table14[[#This Row],[USD_Spend]]&gt;($B$4+1.5*$B$8),Table14[[#This Row],[USD_Spend]]&lt;($B$6-1.5*$B$8)),"Outlier","Normal")</f>
        <v>Normal</v>
      </c>
      <c r="D418" s="1">
        <v>198550</v>
      </c>
      <c r="E418" s="1">
        <v>1808</v>
      </c>
      <c r="F418" s="15">
        <v>83125</v>
      </c>
      <c r="G418" s="15" t="str">
        <f>IF(OR(Table14[[#This Row],[Sales]]&gt;($B$5+1.5*$B$9),Table14[[#This Row],[Sales]]&lt;($B$7-1.5*$B$9)),"Outlier","Normal")</f>
        <v>Normal</v>
      </c>
      <c r="H418" s="22"/>
      <c r="I418" s="22">
        <f>Table1[[#This Row],[Sales]]/Table1[[#This Row],[USD_Spend]]</f>
        <v>4.0529560625609955</v>
      </c>
    </row>
    <row r="419" spans="1:9" x14ac:dyDescent="0.35">
      <c r="A419" s="3" t="s">
        <v>81</v>
      </c>
      <c r="B419" s="15">
        <v>8695.16</v>
      </c>
      <c r="C419" s="1" t="str">
        <f>IF(OR(Table14[[#This Row],[USD_Spend]]&gt;($B$4+1.5*$B$8),Table14[[#This Row],[USD_Spend]]&lt;($B$6-1.5*$B$8)),"Outlier","Normal")</f>
        <v>Normal</v>
      </c>
      <c r="D419" s="1">
        <v>598285</v>
      </c>
      <c r="E419" s="1">
        <v>5840</v>
      </c>
      <c r="F419" s="15">
        <v>57845.31</v>
      </c>
      <c r="G419" s="15" t="str">
        <f>IF(OR(Table14[[#This Row],[Sales]]&gt;($B$5+1.5*$B$9),Table14[[#This Row],[Sales]]&lt;($B$7-1.5*$B$9)),"Outlier","Normal")</f>
        <v>Normal</v>
      </c>
      <c r="H419" s="22"/>
      <c r="I419" s="22">
        <f>Table1[[#This Row],[Sales]]/Table1[[#This Row],[USD_Spend]]</f>
        <v>75.807558493669717</v>
      </c>
    </row>
    <row r="420" spans="1:9" x14ac:dyDescent="0.35">
      <c r="A420" s="3" t="s">
        <v>115</v>
      </c>
      <c r="B420" s="15">
        <v>8915.5300000000007</v>
      </c>
      <c r="C420" s="1" t="str">
        <f>IF(OR(Table14[[#This Row],[USD_Spend]]&gt;($B$4+1.5*$B$8),Table14[[#This Row],[USD_Spend]]&lt;($B$6-1.5*$B$8)),"Outlier","Normal")</f>
        <v>Normal</v>
      </c>
      <c r="D420" s="1">
        <v>975264</v>
      </c>
      <c r="E420" s="1">
        <v>5726</v>
      </c>
      <c r="F420" s="15">
        <v>33436.99</v>
      </c>
      <c r="G420" s="15" t="str">
        <f>IF(OR(Table14[[#This Row],[Sales]]&gt;($B$5+1.5*$B$9),Table14[[#This Row],[Sales]]&lt;($B$7-1.5*$B$9)),"Outlier","Normal")</f>
        <v>Normal</v>
      </c>
      <c r="H420" s="22"/>
      <c r="I420" s="22">
        <f>Table1[[#This Row],[Sales]]/Table1[[#This Row],[USD_Spend]]</f>
        <v>14.927635347022564</v>
      </c>
    </row>
    <row r="421" spans="1:9" x14ac:dyDescent="0.35">
      <c r="A421" s="3" t="s">
        <v>101</v>
      </c>
      <c r="B421" s="15">
        <v>10643.96</v>
      </c>
      <c r="C421" s="1" t="str">
        <f>IF(OR(Table14[[#This Row],[USD_Spend]]&gt;($B$4+1.5*$B$8),Table14[[#This Row],[USD_Spend]]&lt;($B$6-1.5*$B$8)),"Outlier","Normal")</f>
        <v>Normal</v>
      </c>
      <c r="D421" s="1">
        <v>213974</v>
      </c>
      <c r="E421" s="1">
        <v>29903</v>
      </c>
      <c r="F421" s="15">
        <v>232779.89</v>
      </c>
      <c r="G421" s="15" t="str">
        <f>IF(OR(Table14[[#This Row],[Sales]]&gt;($B$5+1.5*$B$9),Table14[[#This Row],[Sales]]&lt;($B$7-1.5*$B$9)),"Outlier","Normal")</f>
        <v>Normal</v>
      </c>
      <c r="H421" s="22"/>
      <c r="I421" s="22">
        <f>Table1[[#This Row],[Sales]]/Table1[[#This Row],[USD_Spend]]</f>
        <v>17.153845354827986</v>
      </c>
    </row>
    <row r="422" spans="1:9" x14ac:dyDescent="0.35">
      <c r="A422" s="3" t="s">
        <v>42</v>
      </c>
      <c r="B422" s="15">
        <v>1926.88</v>
      </c>
      <c r="C422" s="1" t="str">
        <f>IF(OR(Table14[[#This Row],[USD_Spend]]&gt;($B$4+1.5*$B$8),Table14[[#This Row],[USD_Spend]]&lt;($B$6-1.5*$B$8)),"Outlier","Normal")</f>
        <v>Normal</v>
      </c>
      <c r="D422" s="1">
        <v>772057</v>
      </c>
      <c r="E422" s="1">
        <v>18649</v>
      </c>
      <c r="F422" s="15">
        <v>74179.199999999997</v>
      </c>
      <c r="G422" s="15" t="str">
        <f>IF(OR(Table14[[#This Row],[Sales]]&gt;($B$5+1.5*$B$9),Table14[[#This Row],[Sales]]&lt;($B$7-1.5*$B$9)),"Outlier","Normal")</f>
        <v>Normal</v>
      </c>
      <c r="H422" s="22"/>
      <c r="I422" s="22">
        <f>Table1[[#This Row],[Sales]]/Table1[[#This Row],[USD_Spend]]</f>
        <v>1.4345138814521312</v>
      </c>
    </row>
    <row r="423" spans="1:9" x14ac:dyDescent="0.35">
      <c r="A423" s="3" t="s">
        <v>34</v>
      </c>
      <c r="B423" s="15">
        <v>35402.58</v>
      </c>
      <c r="C423" s="1" t="str">
        <f>IF(OR(Table14[[#This Row],[USD_Spend]]&gt;($B$4+1.5*$B$8),Table14[[#This Row],[USD_Spend]]&lt;($B$6-1.5*$B$8)),"Outlier","Normal")</f>
        <v>Normal</v>
      </c>
      <c r="D423" s="1">
        <v>357148</v>
      </c>
      <c r="E423" s="1">
        <v>23745</v>
      </c>
      <c r="F423" s="15">
        <v>76925.72</v>
      </c>
      <c r="G423" s="15" t="str">
        <f>IF(OR(Table14[[#This Row],[Sales]]&gt;($B$5+1.5*$B$9),Table14[[#This Row],[Sales]]&lt;($B$7-1.5*$B$9)),"Outlier","Normal")</f>
        <v>Normal</v>
      </c>
      <c r="H423" s="22"/>
      <c r="I423" s="22">
        <f>Table1[[#This Row],[Sales]]/Table1[[#This Row],[USD_Spend]]</f>
        <v>7.5223483516102991</v>
      </c>
    </row>
    <row r="424" spans="1:9" x14ac:dyDescent="0.35">
      <c r="A424" s="3" t="s">
        <v>42</v>
      </c>
      <c r="B424" s="15">
        <v>39825.980000000003</v>
      </c>
      <c r="C424" s="1" t="str">
        <f>IF(OR(Table14[[#This Row],[USD_Spend]]&gt;($B$4+1.5*$B$8),Table14[[#This Row],[USD_Spend]]&lt;($B$6-1.5*$B$8)),"Outlier","Normal")</f>
        <v>Normal</v>
      </c>
      <c r="D424" s="1">
        <v>663453</v>
      </c>
      <c r="E424" s="1">
        <v>9656</v>
      </c>
      <c r="F424" s="15">
        <v>112913.54</v>
      </c>
      <c r="G424" s="15" t="str">
        <f>IF(OR(Table14[[#This Row],[Sales]]&gt;($B$5+1.5*$B$9),Table14[[#This Row],[Sales]]&lt;($B$7-1.5*$B$9)),"Outlier","Normal")</f>
        <v>Normal</v>
      </c>
      <c r="H424" s="22"/>
      <c r="I424" s="22">
        <f>Table1[[#This Row],[Sales]]/Table1[[#This Row],[USD_Spend]]</f>
        <v>0.86908335653165603</v>
      </c>
    </row>
    <row r="425" spans="1:9" x14ac:dyDescent="0.35">
      <c r="A425" s="3" t="s">
        <v>78</v>
      </c>
      <c r="B425" s="15">
        <v>40728.49</v>
      </c>
      <c r="C425" s="1" t="str">
        <f>IF(OR(Table14[[#This Row],[USD_Spend]]&gt;($B$4+1.5*$B$8),Table14[[#This Row],[USD_Spend]]&lt;($B$6-1.5*$B$8)),"Outlier","Normal")</f>
        <v>Normal</v>
      </c>
      <c r="D425" s="1">
        <v>420997</v>
      </c>
      <c r="E425" s="1">
        <v>8550</v>
      </c>
      <c r="F425" s="15">
        <v>150785.1</v>
      </c>
      <c r="G425" s="15" t="str">
        <f>IF(OR(Table14[[#This Row],[Sales]]&gt;($B$5+1.5*$B$9),Table14[[#This Row],[Sales]]&lt;($B$7-1.5*$B$9)),"Outlier","Normal")</f>
        <v>Normal</v>
      </c>
      <c r="H425" s="22"/>
      <c r="I425" s="22">
        <f>Table1[[#This Row],[Sales]]/Table1[[#This Row],[USD_Spend]]</f>
        <v>13.759538170086632</v>
      </c>
    </row>
    <row r="426" spans="1:9" x14ac:dyDescent="0.35">
      <c r="A426" s="3" t="s">
        <v>87</v>
      </c>
      <c r="B426" s="15">
        <v>22586.16</v>
      </c>
      <c r="C426" s="1" t="str">
        <f>IF(OR(Table14[[#This Row],[USD_Spend]]&gt;($B$4+1.5*$B$8),Table14[[#This Row],[USD_Spend]]&lt;($B$6-1.5*$B$8)),"Outlier","Normal")</f>
        <v>Normal</v>
      </c>
      <c r="D426" s="1">
        <v>545118</v>
      </c>
      <c r="E426" s="1">
        <v>18536</v>
      </c>
      <c r="F426" s="15">
        <v>16143.76</v>
      </c>
      <c r="G426" s="15" t="str">
        <f>IF(OR(Table14[[#This Row],[Sales]]&gt;($B$5+1.5*$B$9),Table14[[#This Row],[Sales]]&lt;($B$7-1.5*$B$9)),"Outlier","Normal")</f>
        <v>Normal</v>
      </c>
      <c r="H426" s="22"/>
      <c r="I426" s="22">
        <f>Table1[[#This Row],[Sales]]/Table1[[#This Row],[USD_Spend]]</f>
        <v>21.606869793449729</v>
      </c>
    </row>
    <row r="427" spans="1:9" x14ac:dyDescent="0.35">
      <c r="A427" s="3" t="s">
        <v>92</v>
      </c>
      <c r="B427" s="15">
        <v>8392.2900000000009</v>
      </c>
      <c r="C427" s="1" t="str">
        <f>IF(OR(Table14[[#This Row],[USD_Spend]]&gt;($B$4+1.5*$B$8),Table14[[#This Row],[USD_Spend]]&lt;($B$6-1.5*$B$8)),"Outlier","Normal")</f>
        <v>Normal</v>
      </c>
      <c r="D427" s="1">
        <v>59866</v>
      </c>
      <c r="E427" s="1">
        <v>12011</v>
      </c>
      <c r="F427" s="15">
        <v>15017.84</v>
      </c>
      <c r="G427" s="15" t="str">
        <f>IF(OR(Table14[[#This Row],[Sales]]&gt;($B$5+1.5*$B$9),Table14[[#This Row],[Sales]]&lt;($B$7-1.5*$B$9)),"Outlier","Normal")</f>
        <v>Normal</v>
      </c>
      <c r="H427" s="22"/>
      <c r="I427" s="22">
        <f>Table1[[#This Row],[Sales]]/Table1[[#This Row],[USD_Spend]]</f>
        <v>53.878083010629723</v>
      </c>
    </row>
    <row r="428" spans="1:9" x14ac:dyDescent="0.35">
      <c r="A428" s="3" t="s">
        <v>86</v>
      </c>
      <c r="B428" s="15">
        <v>21251.58</v>
      </c>
      <c r="C428" s="1" t="str">
        <f>IF(OR(Table14[[#This Row],[USD_Spend]]&gt;($B$4+1.5*$B$8),Table14[[#This Row],[USD_Spend]]&lt;($B$6-1.5*$B$8)),"Outlier","Normal")</f>
        <v>Normal</v>
      </c>
      <c r="D428" s="1">
        <v>894642</v>
      </c>
      <c r="E428" s="1">
        <v>35241</v>
      </c>
      <c r="F428" s="15">
        <v>86131.72</v>
      </c>
      <c r="G428" s="15" t="str">
        <f>IF(OR(Table14[[#This Row],[Sales]]&gt;($B$5+1.5*$B$9),Table14[[#This Row],[Sales]]&lt;($B$7-1.5*$B$9)),"Outlier","Normal")</f>
        <v>Normal</v>
      </c>
      <c r="H428" s="22"/>
      <c r="I428" s="22">
        <f>Table1[[#This Row],[Sales]]/Table1[[#This Row],[USD_Spend]]</f>
        <v>97.830722749215127</v>
      </c>
    </row>
    <row r="429" spans="1:9" x14ac:dyDescent="0.35">
      <c r="A429" s="3" t="s">
        <v>71</v>
      </c>
      <c r="B429" s="15">
        <v>2905.87</v>
      </c>
      <c r="C429" s="1" t="str">
        <f>IF(OR(Table14[[#This Row],[USD_Spend]]&gt;($B$4+1.5*$B$8),Table14[[#This Row],[USD_Spend]]&lt;($B$6-1.5*$B$8)),"Outlier","Normal")</f>
        <v>Normal</v>
      </c>
      <c r="D429" s="1">
        <v>154408</v>
      </c>
      <c r="E429" s="1">
        <v>23051</v>
      </c>
      <c r="F429" s="15">
        <v>220286.91</v>
      </c>
      <c r="G429" s="15" t="str">
        <f>IF(OR(Table14[[#This Row],[Sales]]&gt;($B$5+1.5*$B$9),Table14[[#This Row],[Sales]]&lt;($B$7-1.5*$B$9)),"Outlier","Normal")</f>
        <v>Normal</v>
      </c>
      <c r="H429" s="22"/>
      <c r="I429" s="22">
        <f>Table1[[#This Row],[Sales]]/Table1[[#This Row],[USD_Spend]]</f>
        <v>12.237918547701137</v>
      </c>
    </row>
    <row r="430" spans="1:9" x14ac:dyDescent="0.35">
      <c r="A430" s="3" t="s">
        <v>118</v>
      </c>
      <c r="B430" s="15">
        <v>14107.44</v>
      </c>
      <c r="C430" s="1" t="str">
        <f>IF(OR(Table14[[#This Row],[USD_Spend]]&gt;($B$4+1.5*$B$8),Table14[[#This Row],[USD_Spend]]&lt;($B$6-1.5*$B$8)),"Outlier","Normal")</f>
        <v>Normal</v>
      </c>
      <c r="D430" s="1">
        <v>415537</v>
      </c>
      <c r="E430" s="1">
        <v>11712</v>
      </c>
      <c r="F430" s="15">
        <v>210590.72</v>
      </c>
      <c r="G430" s="15" t="str">
        <f>IF(OR(Table14[[#This Row],[Sales]]&gt;($B$5+1.5*$B$9),Table14[[#This Row],[Sales]]&lt;($B$7-1.5*$B$9)),"Outlier","Normal")</f>
        <v>Normal</v>
      </c>
      <c r="H430" s="22"/>
      <c r="I430" s="22">
        <f>Table1[[#This Row],[Sales]]/Table1[[#This Row],[USD_Spend]]</f>
        <v>3.8047952693773945</v>
      </c>
    </row>
    <row r="431" spans="1:9" x14ac:dyDescent="0.35">
      <c r="A431" s="3" t="s">
        <v>89</v>
      </c>
      <c r="B431" s="15">
        <v>12515.36</v>
      </c>
      <c r="C431" s="1" t="str">
        <f>IF(OR(Table14[[#This Row],[USD_Spend]]&gt;($B$4+1.5*$B$8),Table14[[#This Row],[USD_Spend]]&lt;($B$6-1.5*$B$8)),"Outlier","Normal")</f>
        <v>Normal</v>
      </c>
      <c r="D431" s="1">
        <v>688569</v>
      </c>
      <c r="E431" s="1">
        <v>48286</v>
      </c>
      <c r="F431" s="15">
        <v>214686.55</v>
      </c>
      <c r="G431" s="15" t="str">
        <f>IF(OR(Table14[[#This Row],[Sales]]&gt;($B$5+1.5*$B$9),Table14[[#This Row],[Sales]]&lt;($B$7-1.5*$B$9)),"Outlier","Normal")</f>
        <v>Normal</v>
      </c>
      <c r="H431" s="22"/>
      <c r="I431" s="22">
        <f>Table1[[#This Row],[Sales]]/Table1[[#This Row],[USD_Spend]]</f>
        <v>13.725691460990573</v>
      </c>
    </row>
    <row r="432" spans="1:9" x14ac:dyDescent="0.35">
      <c r="A432" s="3" t="s">
        <v>42</v>
      </c>
      <c r="B432" s="15">
        <v>29881.599999999999</v>
      </c>
      <c r="C432" s="1" t="str">
        <f>IF(OR(Table14[[#This Row],[USD_Spend]]&gt;($B$4+1.5*$B$8),Table14[[#This Row],[USD_Spend]]&lt;($B$6-1.5*$B$8)),"Outlier","Normal")</f>
        <v>Normal</v>
      </c>
      <c r="D432" s="1">
        <v>660810</v>
      </c>
      <c r="E432" s="1">
        <v>49217</v>
      </c>
      <c r="F432" s="15">
        <v>42865.57</v>
      </c>
      <c r="G432" s="15" t="str">
        <f>IF(OR(Table14[[#This Row],[Sales]]&gt;($B$5+1.5*$B$9),Table14[[#This Row],[Sales]]&lt;($B$7-1.5*$B$9)),"Outlier","Normal")</f>
        <v>Normal</v>
      </c>
      <c r="H432" s="22"/>
      <c r="I432" s="22">
        <f>Table1[[#This Row],[Sales]]/Table1[[#This Row],[USD_Spend]]</f>
        <v>1.8026208607911856</v>
      </c>
    </row>
    <row r="433" spans="1:9" x14ac:dyDescent="0.35">
      <c r="A433" s="3" t="s">
        <v>72</v>
      </c>
      <c r="B433" s="15">
        <v>21947.48</v>
      </c>
      <c r="C433" s="1" t="str">
        <f>IF(OR(Table14[[#This Row],[USD_Spend]]&gt;($B$4+1.5*$B$8),Table14[[#This Row],[USD_Spend]]&lt;($B$6-1.5*$B$8)),"Outlier","Normal")</f>
        <v>Normal</v>
      </c>
      <c r="D433" s="1">
        <v>66802</v>
      </c>
      <c r="E433" s="1">
        <v>44229</v>
      </c>
      <c r="F433" s="15">
        <v>165096.59</v>
      </c>
      <c r="G433" s="15" t="str">
        <f>IF(OR(Table14[[#This Row],[Sales]]&gt;($B$5+1.5*$B$9),Table14[[#This Row],[Sales]]&lt;($B$7-1.5*$B$9)),"Outlier","Normal")</f>
        <v>Normal</v>
      </c>
      <c r="H433" s="22"/>
      <c r="I433" s="22">
        <f>Table1[[#This Row],[Sales]]/Table1[[#This Row],[USD_Spend]]</f>
        <v>361.42104264503581</v>
      </c>
    </row>
    <row r="434" spans="1:9" x14ac:dyDescent="0.35">
      <c r="A434" s="3" t="s">
        <v>111</v>
      </c>
      <c r="B434" s="15">
        <v>40843.47</v>
      </c>
      <c r="C434" s="1" t="str">
        <f>IF(OR(Table14[[#This Row],[USD_Spend]]&gt;($B$4+1.5*$B$8),Table14[[#This Row],[USD_Spend]]&lt;($B$6-1.5*$B$8)),"Outlier","Normal")</f>
        <v>Normal</v>
      </c>
      <c r="D434" s="1">
        <v>358048</v>
      </c>
      <c r="E434" s="1">
        <v>18005</v>
      </c>
      <c r="F434" s="15">
        <v>35496.379999999997</v>
      </c>
      <c r="G434" s="15" t="str">
        <f>IF(OR(Table14[[#This Row],[Sales]]&gt;($B$5+1.5*$B$9),Table14[[#This Row],[Sales]]&lt;($B$7-1.5*$B$9)),"Outlier","Normal")</f>
        <v>Normal</v>
      </c>
      <c r="H434" s="22"/>
      <c r="I434" s="22">
        <f>Table1[[#This Row],[Sales]]/Table1[[#This Row],[USD_Spend]]</f>
        <v>141.18372937883387</v>
      </c>
    </row>
    <row r="435" spans="1:9" x14ac:dyDescent="0.35">
      <c r="A435" s="3" t="s">
        <v>93</v>
      </c>
      <c r="B435" s="15">
        <v>15798.89</v>
      </c>
      <c r="C435" s="1" t="str">
        <f>IF(OR(Table14[[#This Row],[USD_Spend]]&gt;($B$4+1.5*$B$8),Table14[[#This Row],[USD_Spend]]&lt;($B$6-1.5*$B$8)),"Outlier","Normal")</f>
        <v>Normal</v>
      </c>
      <c r="D435" s="1">
        <v>127955</v>
      </c>
      <c r="E435" s="1">
        <v>47270</v>
      </c>
      <c r="F435" s="15">
        <v>217385.43</v>
      </c>
      <c r="G435" s="15" t="str">
        <f>IF(OR(Table14[[#This Row],[Sales]]&gt;($B$5+1.5*$B$9),Table14[[#This Row],[Sales]]&lt;($B$7-1.5*$B$9)),"Outlier","Normal")</f>
        <v>Normal</v>
      </c>
      <c r="H435" s="22"/>
      <c r="I435" s="22">
        <f>Table1[[#This Row],[Sales]]/Table1[[#This Row],[USD_Spend]]</f>
        <v>54.18709803057402</v>
      </c>
    </row>
    <row r="436" spans="1:9" x14ac:dyDescent="0.35">
      <c r="A436" s="3" t="s">
        <v>91</v>
      </c>
      <c r="B436" s="15">
        <v>4644.3900000000003</v>
      </c>
      <c r="C436" s="1" t="str">
        <f>IF(OR(Table14[[#This Row],[USD_Spend]]&gt;($B$4+1.5*$B$8),Table14[[#This Row],[USD_Spend]]&lt;($B$6-1.5*$B$8)),"Outlier","Normal")</f>
        <v>Normal</v>
      </c>
      <c r="D436" s="1">
        <v>341601</v>
      </c>
      <c r="E436" s="1">
        <v>885</v>
      </c>
      <c r="F436" s="15">
        <v>100350.73</v>
      </c>
      <c r="G436" s="15" t="str">
        <f>IF(OR(Table14[[#This Row],[Sales]]&gt;($B$5+1.5*$B$9),Table14[[#This Row],[Sales]]&lt;($B$7-1.5*$B$9)),"Outlier","Normal")</f>
        <v>Normal</v>
      </c>
      <c r="H436" s="22"/>
      <c r="I436" s="22">
        <f>Table1[[#This Row],[Sales]]/Table1[[#This Row],[USD_Spend]]</f>
        <v>13.664866437316604</v>
      </c>
    </row>
    <row r="437" spans="1:9" x14ac:dyDescent="0.35">
      <c r="A437" s="3" t="s">
        <v>89</v>
      </c>
      <c r="B437" s="15">
        <v>4232.47</v>
      </c>
      <c r="C437" s="1" t="str">
        <f>IF(OR(Table14[[#This Row],[USD_Spend]]&gt;($B$4+1.5*$B$8),Table14[[#This Row],[USD_Spend]]&lt;($B$6-1.5*$B$8)),"Outlier","Normal")</f>
        <v>Normal</v>
      </c>
      <c r="D437" s="1">
        <v>584765</v>
      </c>
      <c r="E437" s="1">
        <v>32629</v>
      </c>
      <c r="F437" s="15">
        <v>228037.37</v>
      </c>
      <c r="G437" s="15" t="str">
        <f>IF(OR(Table14[[#This Row],[Sales]]&gt;($B$5+1.5*$B$9),Table14[[#This Row],[Sales]]&lt;($B$7-1.5*$B$9)),"Outlier","Normal")</f>
        <v>Normal</v>
      </c>
      <c r="H437" s="22"/>
      <c r="I437" s="22">
        <f>Table1[[#This Row],[Sales]]/Table1[[#This Row],[USD_Spend]]</f>
        <v>135.94288483261451</v>
      </c>
    </row>
    <row r="438" spans="1:9" x14ac:dyDescent="0.35">
      <c r="A438" s="3" t="s">
        <v>89</v>
      </c>
      <c r="B438" s="15">
        <v>592.46</v>
      </c>
      <c r="C438" s="1" t="str">
        <f>IF(OR(Table14[[#This Row],[USD_Spend]]&gt;($B$4+1.5*$B$8),Table14[[#This Row],[USD_Spend]]&lt;($B$6-1.5*$B$8)),"Outlier","Normal")</f>
        <v>Normal</v>
      </c>
      <c r="D438" s="1">
        <v>717835</v>
      </c>
      <c r="E438" s="1">
        <v>34984</v>
      </c>
      <c r="F438" s="15">
        <v>57960.79</v>
      </c>
      <c r="G438" s="15" t="str">
        <f>IF(OR(Table14[[#This Row],[Sales]]&gt;($B$5+1.5*$B$9),Table14[[#This Row],[Sales]]&lt;($B$7-1.5*$B$9)),"Outlier","Normal")</f>
        <v>Normal</v>
      </c>
      <c r="H438" s="22"/>
      <c r="I438" s="22">
        <f>Table1[[#This Row],[Sales]]/Table1[[#This Row],[USD_Spend]]</f>
        <v>25.847451231144984</v>
      </c>
    </row>
    <row r="439" spans="1:9" x14ac:dyDescent="0.35">
      <c r="A439" s="3" t="s">
        <v>18</v>
      </c>
      <c r="B439" s="15">
        <v>7724.03</v>
      </c>
      <c r="C439" s="1" t="str">
        <f>IF(OR(Table14[[#This Row],[USD_Spend]]&gt;($B$4+1.5*$B$8),Table14[[#This Row],[USD_Spend]]&lt;($B$6-1.5*$B$8)),"Outlier","Normal")</f>
        <v>Normal</v>
      </c>
      <c r="D439" s="1">
        <v>605990</v>
      </c>
      <c r="E439" s="1">
        <v>27681</v>
      </c>
      <c r="F439" s="15">
        <v>94526.05</v>
      </c>
      <c r="G439" s="15" t="str">
        <f>IF(OR(Table14[[#This Row],[Sales]]&gt;($B$5+1.5*$B$9),Table14[[#This Row],[Sales]]&lt;($B$7-1.5*$B$9)),"Outlier","Normal")</f>
        <v>Normal</v>
      </c>
      <c r="H439" s="22"/>
      <c r="I439" s="22">
        <f>Table1[[#This Row],[Sales]]/Table1[[#This Row],[USD_Spend]]</f>
        <v>9.8938189160135401</v>
      </c>
    </row>
    <row r="440" spans="1:9" x14ac:dyDescent="0.35">
      <c r="A440" s="3" t="s">
        <v>91</v>
      </c>
      <c r="B440" s="15">
        <v>41022.93</v>
      </c>
      <c r="C440" s="1" t="str">
        <f>IF(OR(Table14[[#This Row],[USD_Spend]]&gt;($B$4+1.5*$B$8),Table14[[#This Row],[USD_Spend]]&lt;($B$6-1.5*$B$8)),"Outlier","Normal")</f>
        <v>Normal</v>
      </c>
      <c r="D440" s="1">
        <v>529886</v>
      </c>
      <c r="E440" s="1">
        <v>39015</v>
      </c>
      <c r="F440" s="15">
        <v>156083.85</v>
      </c>
      <c r="G440" s="15" t="str">
        <f>IF(OR(Table14[[#This Row],[Sales]]&gt;($B$5+1.5*$B$9),Table14[[#This Row],[Sales]]&lt;($B$7-1.5*$B$9)),"Outlier","Normal")</f>
        <v>Normal</v>
      </c>
      <c r="H440" s="22"/>
      <c r="I440" s="22">
        <f>Table1[[#This Row],[Sales]]/Table1[[#This Row],[USD_Spend]]</f>
        <v>13.319836275226098</v>
      </c>
    </row>
    <row r="441" spans="1:9" x14ac:dyDescent="0.35">
      <c r="A441" s="3" t="s">
        <v>88</v>
      </c>
      <c r="B441" s="15">
        <v>11661.54</v>
      </c>
      <c r="C441" s="1" t="str">
        <f>IF(OR(Table14[[#This Row],[USD_Spend]]&gt;($B$4+1.5*$B$8),Table14[[#This Row],[USD_Spend]]&lt;($B$6-1.5*$B$8)),"Outlier","Normal")</f>
        <v>Normal</v>
      </c>
      <c r="D441" s="1">
        <v>128414</v>
      </c>
      <c r="E441" s="1">
        <v>15564</v>
      </c>
      <c r="F441" s="15">
        <v>160062.70000000001</v>
      </c>
      <c r="G441" s="15" t="str">
        <f>IF(OR(Table14[[#This Row],[Sales]]&gt;($B$5+1.5*$B$9),Table14[[#This Row],[Sales]]&lt;($B$7-1.5*$B$9)),"Outlier","Normal")</f>
        <v>Normal</v>
      </c>
      <c r="H441" s="22"/>
      <c r="I441" s="22">
        <f>Table1[[#This Row],[Sales]]/Table1[[#This Row],[USD_Spend]]</f>
        <v>8.5724126306988229</v>
      </c>
    </row>
    <row r="442" spans="1:9" x14ac:dyDescent="0.35">
      <c r="A442" s="3" t="s">
        <v>96</v>
      </c>
      <c r="B442" s="15">
        <v>40548.51</v>
      </c>
      <c r="C442" s="1" t="str">
        <f>IF(OR(Table14[[#This Row],[USD_Spend]]&gt;($B$4+1.5*$B$8),Table14[[#This Row],[USD_Spend]]&lt;($B$6-1.5*$B$8)),"Outlier","Normal")</f>
        <v>Normal</v>
      </c>
      <c r="D442" s="1">
        <v>245455</v>
      </c>
      <c r="E442" s="1">
        <v>3177</v>
      </c>
      <c r="F442" s="15">
        <v>73093.59</v>
      </c>
      <c r="G442" s="15" t="str">
        <f>IF(OR(Table14[[#This Row],[Sales]]&gt;($B$5+1.5*$B$9),Table14[[#This Row],[Sales]]&lt;($B$7-1.5*$B$9)),"Outlier","Normal")</f>
        <v>Normal</v>
      </c>
      <c r="H442" s="22"/>
      <c r="I442" s="22">
        <f>Table1[[#This Row],[Sales]]/Table1[[#This Row],[USD_Spend]]</f>
        <v>101.78702399320231</v>
      </c>
    </row>
    <row r="443" spans="1:9" x14ac:dyDescent="0.35">
      <c r="A443" s="3" t="s">
        <v>114</v>
      </c>
      <c r="B443" s="15">
        <v>210.81</v>
      </c>
      <c r="C443" s="1" t="str">
        <f>IF(OR(Table14[[#This Row],[USD_Spend]]&gt;($B$4+1.5*$B$8),Table14[[#This Row],[USD_Spend]]&lt;($B$6-1.5*$B$8)),"Outlier","Normal")</f>
        <v>Normal</v>
      </c>
      <c r="D443" s="1">
        <v>130784</v>
      </c>
      <c r="E443" s="1">
        <v>9432</v>
      </c>
      <c r="F443" s="15">
        <v>76191.17</v>
      </c>
      <c r="G443" s="15" t="str">
        <f>IF(OR(Table14[[#This Row],[Sales]]&gt;($B$5+1.5*$B$9),Table14[[#This Row],[Sales]]&lt;($B$7-1.5*$B$9)),"Outlier","Normal")</f>
        <v>Normal</v>
      </c>
      <c r="H443" s="22"/>
      <c r="I443" s="22">
        <f>Table1[[#This Row],[Sales]]/Table1[[#This Row],[USD_Spend]]</f>
        <v>250.20411784501485</v>
      </c>
    </row>
    <row r="444" spans="1:9" x14ac:dyDescent="0.35">
      <c r="A444" s="3" t="s">
        <v>107</v>
      </c>
      <c r="B444" s="15">
        <v>1007.46</v>
      </c>
      <c r="C444" s="1" t="str">
        <f>IF(OR(Table14[[#This Row],[USD_Spend]]&gt;($B$4+1.5*$B$8),Table14[[#This Row],[USD_Spend]]&lt;($B$6-1.5*$B$8)),"Outlier","Normal")</f>
        <v>Normal</v>
      </c>
      <c r="D444" s="1">
        <v>486535</v>
      </c>
      <c r="E444" s="1">
        <v>21856</v>
      </c>
      <c r="F444" s="15">
        <v>142236.96</v>
      </c>
      <c r="G444" s="15" t="str">
        <f>IF(OR(Table14[[#This Row],[Sales]]&gt;($B$5+1.5*$B$9),Table14[[#This Row],[Sales]]&lt;($B$7-1.5*$B$9)),"Outlier","Normal")</f>
        <v>Normal</v>
      </c>
      <c r="H444" s="22"/>
      <c r="I444" s="22">
        <f>Table1[[#This Row],[Sales]]/Table1[[#This Row],[USD_Spend]]</f>
        <v>1.963178416894664</v>
      </c>
    </row>
    <row r="445" spans="1:9" x14ac:dyDescent="0.35">
      <c r="A445" s="3" t="s">
        <v>67</v>
      </c>
      <c r="B445" s="15">
        <v>3902.66</v>
      </c>
      <c r="C445" s="1" t="str">
        <f>IF(OR(Table14[[#This Row],[USD_Spend]]&gt;($B$4+1.5*$B$8),Table14[[#This Row],[USD_Spend]]&lt;($B$6-1.5*$B$8)),"Outlier","Normal")</f>
        <v>Normal</v>
      </c>
      <c r="D445" s="1">
        <v>998977</v>
      </c>
      <c r="E445" s="1">
        <v>47563</v>
      </c>
      <c r="F445" s="15">
        <v>211473.82</v>
      </c>
      <c r="G445" s="15" t="str">
        <f>IF(OR(Table14[[#This Row],[Sales]]&gt;($B$5+1.5*$B$9),Table14[[#This Row],[Sales]]&lt;($B$7-1.5*$B$9)),"Outlier","Normal")</f>
        <v>Normal</v>
      </c>
      <c r="H445" s="22"/>
      <c r="I445" s="22">
        <f>Table1[[#This Row],[Sales]]/Table1[[#This Row],[USD_Spend]]</f>
        <v>25.99168340186797</v>
      </c>
    </row>
    <row r="446" spans="1:9" x14ac:dyDescent="0.35">
      <c r="A446" s="3" t="s">
        <v>103</v>
      </c>
      <c r="B446" s="15">
        <v>10278.32</v>
      </c>
      <c r="C446" s="1" t="str">
        <f>IF(OR(Table14[[#This Row],[USD_Spend]]&gt;($B$4+1.5*$B$8),Table14[[#This Row],[USD_Spend]]&lt;($B$6-1.5*$B$8)),"Outlier","Normal")</f>
        <v>Normal</v>
      </c>
      <c r="D446" s="1">
        <v>909138</v>
      </c>
      <c r="E446" s="1">
        <v>2417</v>
      </c>
      <c r="F446" s="15">
        <v>140451.87</v>
      </c>
      <c r="G446" s="15" t="str">
        <f>IF(OR(Table14[[#This Row],[Sales]]&gt;($B$5+1.5*$B$9),Table14[[#This Row],[Sales]]&lt;($B$7-1.5*$B$9)),"Outlier","Normal")</f>
        <v>Normal</v>
      </c>
      <c r="H446" s="22"/>
      <c r="I446" s="22">
        <f>Table1[[#This Row],[Sales]]/Table1[[#This Row],[USD_Spend]]</f>
        <v>0.97443251863418834</v>
      </c>
    </row>
    <row r="447" spans="1:9" x14ac:dyDescent="0.35">
      <c r="A447" s="3" t="s">
        <v>96</v>
      </c>
      <c r="B447" s="15">
        <v>1558.08</v>
      </c>
      <c r="C447" s="1" t="str">
        <f>IF(OR(Table14[[#This Row],[USD_Spend]]&gt;($B$4+1.5*$B$8),Table14[[#This Row],[USD_Spend]]&lt;($B$6-1.5*$B$8)),"Outlier","Normal")</f>
        <v>Normal</v>
      </c>
      <c r="D447" s="1">
        <v>728596</v>
      </c>
      <c r="E447" s="1">
        <v>19778</v>
      </c>
      <c r="F447" s="15">
        <v>211809.89</v>
      </c>
      <c r="G447" s="15" t="str">
        <f>IF(OR(Table14[[#This Row],[Sales]]&gt;($B$5+1.5*$B$9),Table14[[#This Row],[Sales]]&lt;($B$7-1.5*$B$9)),"Outlier","Normal")</f>
        <v>Normal</v>
      </c>
      <c r="H447" s="22"/>
      <c r="I447" s="22">
        <f>Table1[[#This Row],[Sales]]/Table1[[#This Row],[USD_Spend]]</f>
        <v>9.0266591249210961</v>
      </c>
    </row>
    <row r="448" spans="1:9" x14ac:dyDescent="0.35">
      <c r="A448" s="3" t="s">
        <v>104</v>
      </c>
      <c r="B448" s="15">
        <v>4769.95</v>
      </c>
      <c r="C448" s="1" t="str">
        <f>IF(OR(Table14[[#This Row],[USD_Spend]]&gt;($B$4+1.5*$B$8),Table14[[#This Row],[USD_Spend]]&lt;($B$6-1.5*$B$8)),"Outlier","Normal")</f>
        <v>Normal</v>
      </c>
      <c r="D448" s="1">
        <v>467311</v>
      </c>
      <c r="E448" s="1">
        <v>4537</v>
      </c>
      <c r="F448" s="15">
        <v>123291.05</v>
      </c>
      <c r="G448" s="15" t="str">
        <f>IF(OR(Table14[[#This Row],[Sales]]&gt;($B$5+1.5*$B$9),Table14[[#This Row],[Sales]]&lt;($B$7-1.5*$B$9)),"Outlier","Normal")</f>
        <v>Normal</v>
      </c>
      <c r="H448" s="22"/>
      <c r="I448" s="22">
        <f>Table1[[#This Row],[Sales]]/Table1[[#This Row],[USD_Spend]]</f>
        <v>9.4902704511654541</v>
      </c>
    </row>
    <row r="449" spans="1:9" x14ac:dyDescent="0.35">
      <c r="A449" s="3" t="s">
        <v>98</v>
      </c>
      <c r="B449" s="15">
        <v>14204.79</v>
      </c>
      <c r="C449" s="1" t="str">
        <f>IF(OR(Table14[[#This Row],[USD_Spend]]&gt;($B$4+1.5*$B$8),Table14[[#This Row],[USD_Spend]]&lt;($B$6-1.5*$B$8)),"Outlier","Normal")</f>
        <v>Normal</v>
      </c>
      <c r="D449" s="1">
        <v>214110</v>
      </c>
      <c r="E449" s="1">
        <v>23858</v>
      </c>
      <c r="F449" s="15">
        <v>140539.62</v>
      </c>
      <c r="G449" s="15" t="str">
        <f>IF(OR(Table14[[#This Row],[Sales]]&gt;($B$5+1.5*$B$9),Table14[[#This Row],[Sales]]&lt;($B$7-1.5*$B$9)),"Outlier","Normal")</f>
        <v>Normal</v>
      </c>
      <c r="H449" s="22"/>
      <c r="I449" s="22">
        <f>Table1[[#This Row],[Sales]]/Table1[[#This Row],[USD_Spend]]</f>
        <v>0.68229417601752029</v>
      </c>
    </row>
    <row r="450" spans="1:9" x14ac:dyDescent="0.35">
      <c r="A450" s="3" t="s">
        <v>83</v>
      </c>
      <c r="B450" s="15">
        <v>8499.6299999999992</v>
      </c>
      <c r="C450" s="1" t="str">
        <f>IF(OR(Table14[[#This Row],[USD_Spend]]&gt;($B$4+1.5*$B$8),Table14[[#This Row],[USD_Spend]]&lt;($B$6-1.5*$B$8)),"Outlier","Normal")</f>
        <v>Normal</v>
      </c>
      <c r="D450" s="1">
        <v>35918</v>
      </c>
      <c r="E450" s="1">
        <v>11868</v>
      </c>
      <c r="F450" s="15">
        <v>113213.68</v>
      </c>
      <c r="G450" s="15" t="str">
        <f>IF(OR(Table14[[#This Row],[Sales]]&gt;($B$5+1.5*$B$9),Table14[[#This Row],[Sales]]&lt;($B$7-1.5*$B$9)),"Outlier","Normal")</f>
        <v>Normal</v>
      </c>
      <c r="H450" s="22"/>
      <c r="I450" s="22">
        <f>Table1[[#This Row],[Sales]]/Table1[[#This Row],[USD_Spend]]</f>
        <v>65.549065542193759</v>
      </c>
    </row>
    <row r="451" spans="1:9" x14ac:dyDescent="0.35">
      <c r="A451" s="3" t="s">
        <v>50</v>
      </c>
      <c r="B451" s="15">
        <v>13586.58</v>
      </c>
      <c r="C451" s="1" t="str">
        <f>IF(OR(Table14[[#This Row],[USD_Spend]]&gt;($B$4+1.5*$B$8),Table14[[#This Row],[USD_Spend]]&lt;($B$6-1.5*$B$8)),"Outlier","Normal")</f>
        <v>Normal</v>
      </c>
      <c r="D451" s="1">
        <v>511410</v>
      </c>
      <c r="E451" s="1">
        <v>10139</v>
      </c>
      <c r="F451" s="15">
        <v>116469.77</v>
      </c>
      <c r="G451" s="15" t="str">
        <f>IF(OR(Table14[[#This Row],[Sales]]&gt;($B$5+1.5*$B$9),Table14[[#This Row],[Sales]]&lt;($B$7-1.5*$B$9)),"Outlier","Normal")</f>
        <v>Normal</v>
      </c>
      <c r="H451" s="22"/>
      <c r="I451" s="22">
        <f>Table1[[#This Row],[Sales]]/Table1[[#This Row],[USD_Spend]]</f>
        <v>14.177014608545385</v>
      </c>
    </row>
    <row r="452" spans="1:9" x14ac:dyDescent="0.35">
      <c r="A452" s="3" t="s">
        <v>62</v>
      </c>
      <c r="B452" s="15">
        <v>1788.84</v>
      </c>
      <c r="C452" s="1" t="str">
        <f>IF(OR(Table14[[#This Row],[USD_Spend]]&gt;($B$4+1.5*$B$8),Table14[[#This Row],[USD_Spend]]&lt;($B$6-1.5*$B$8)),"Outlier","Normal")</f>
        <v>Normal</v>
      </c>
      <c r="D452" s="1">
        <v>611790</v>
      </c>
      <c r="E452" s="1">
        <v>44279</v>
      </c>
      <c r="F452" s="15">
        <v>182080.7</v>
      </c>
      <c r="G452" s="15" t="str">
        <f>IF(OR(Table14[[#This Row],[Sales]]&gt;($B$5+1.5*$B$9),Table14[[#This Row],[Sales]]&lt;($B$7-1.5*$B$9)),"Outlier","Normal")</f>
        <v>Normal</v>
      </c>
      <c r="H452" s="22"/>
      <c r="I452" s="22">
        <f>Table1[[#This Row],[Sales]]/Table1[[#This Row],[USD_Spend]]</f>
        <v>4.5236483239397556</v>
      </c>
    </row>
    <row r="453" spans="1:9" x14ac:dyDescent="0.35">
      <c r="A453" s="3" t="s">
        <v>72</v>
      </c>
      <c r="B453" s="15">
        <v>653.74</v>
      </c>
      <c r="C453" s="1" t="str">
        <f>IF(OR(Table14[[#This Row],[USD_Spend]]&gt;($B$4+1.5*$B$8),Table14[[#This Row],[USD_Spend]]&lt;($B$6-1.5*$B$8)),"Outlier","Normal")</f>
        <v>Normal</v>
      </c>
      <c r="D453" s="1">
        <v>296290</v>
      </c>
      <c r="E453" s="1">
        <v>2297</v>
      </c>
      <c r="F453" s="15">
        <v>163568.44</v>
      </c>
      <c r="G453" s="15" t="str">
        <f>IF(OR(Table14[[#This Row],[Sales]]&gt;($B$5+1.5*$B$9),Table14[[#This Row],[Sales]]&lt;($B$7-1.5*$B$9)),"Outlier","Normal")</f>
        <v>Normal</v>
      </c>
      <c r="H453" s="22"/>
      <c r="I453" s="22">
        <f>Table1[[#This Row],[Sales]]/Table1[[#This Row],[USD_Spend]]</f>
        <v>1.9735346202059707</v>
      </c>
    </row>
    <row r="454" spans="1:9" x14ac:dyDescent="0.35">
      <c r="A454" s="3" t="s">
        <v>88</v>
      </c>
      <c r="B454" s="15">
        <v>19170.55</v>
      </c>
      <c r="C454" s="1" t="str">
        <f>IF(OR(Table14[[#This Row],[USD_Spend]]&gt;($B$4+1.5*$B$8),Table14[[#This Row],[USD_Spend]]&lt;($B$6-1.5*$B$8)),"Outlier","Normal")</f>
        <v>Normal</v>
      </c>
      <c r="D454" s="1">
        <v>20821</v>
      </c>
      <c r="E454" s="1">
        <v>30828</v>
      </c>
      <c r="F454" s="15">
        <v>37635.21</v>
      </c>
      <c r="G454" s="15" t="str">
        <f>IF(OR(Table14[[#This Row],[Sales]]&gt;($B$5+1.5*$B$9),Table14[[#This Row],[Sales]]&lt;($B$7-1.5*$B$9)),"Outlier","Normal")</f>
        <v>Normal</v>
      </c>
      <c r="H454" s="22"/>
      <c r="I454" s="22">
        <f>Table1[[#This Row],[Sales]]/Table1[[#This Row],[USD_Spend]]</f>
        <v>708.61435492553392</v>
      </c>
    </row>
    <row r="455" spans="1:9" x14ac:dyDescent="0.35">
      <c r="A455" s="3" t="s">
        <v>66</v>
      </c>
      <c r="B455" s="15">
        <v>9411.2999999999993</v>
      </c>
      <c r="C455" s="1" t="str">
        <f>IF(OR(Table14[[#This Row],[USD_Spend]]&gt;($B$4+1.5*$B$8),Table14[[#This Row],[USD_Spend]]&lt;($B$6-1.5*$B$8)),"Outlier","Normal")</f>
        <v>Normal</v>
      </c>
      <c r="D455" s="1">
        <v>707883</v>
      </c>
      <c r="E455" s="1">
        <v>20871</v>
      </c>
      <c r="F455" s="15">
        <v>244615.53</v>
      </c>
      <c r="G455" s="15" t="str">
        <f>IF(OR(Table14[[#This Row],[Sales]]&gt;($B$5+1.5*$B$9),Table14[[#This Row],[Sales]]&lt;($B$7-1.5*$B$9)),"Outlier","Normal")</f>
        <v>Normal</v>
      </c>
      <c r="H455" s="22"/>
      <c r="I455" s="22">
        <f>Table1[[#This Row],[Sales]]/Table1[[#This Row],[USD_Spend]]</f>
        <v>26.625181924636067</v>
      </c>
    </row>
    <row r="456" spans="1:9" x14ac:dyDescent="0.35">
      <c r="A456" s="3" t="s">
        <v>82</v>
      </c>
      <c r="B456" s="15">
        <v>25308.32</v>
      </c>
      <c r="C456" s="1" t="str">
        <f>IF(OR(Table14[[#This Row],[USD_Spend]]&gt;($B$4+1.5*$B$8),Table14[[#This Row],[USD_Spend]]&lt;($B$6-1.5*$B$8)),"Outlier","Normal")</f>
        <v>Normal</v>
      </c>
      <c r="D456" s="1">
        <v>405833</v>
      </c>
      <c r="E456" s="1">
        <v>24718</v>
      </c>
      <c r="F456" s="15">
        <v>24661.25</v>
      </c>
      <c r="G456" s="15" t="str">
        <f>IF(OR(Table14[[#This Row],[Sales]]&gt;($B$5+1.5*$B$9),Table14[[#This Row],[Sales]]&lt;($B$7-1.5*$B$9)),"Outlier","Normal")</f>
        <v>Normal</v>
      </c>
      <c r="H456" s="22"/>
      <c r="I456" s="22">
        <f>Table1[[#This Row],[Sales]]/Table1[[#This Row],[USD_Spend]]</f>
        <v>34.463899685097452</v>
      </c>
    </row>
    <row r="457" spans="1:9" x14ac:dyDescent="0.35">
      <c r="A457" s="3" t="s">
        <v>93</v>
      </c>
      <c r="B457" s="15">
        <v>5639.72</v>
      </c>
      <c r="C457" s="1" t="str">
        <f>IF(OR(Table14[[#This Row],[USD_Spend]]&gt;($B$4+1.5*$B$8),Table14[[#This Row],[USD_Spend]]&lt;($B$6-1.5*$B$8)),"Outlier","Normal")</f>
        <v>Normal</v>
      </c>
      <c r="D457" s="1">
        <v>645111</v>
      </c>
      <c r="E457" s="1">
        <v>25630</v>
      </c>
      <c r="F457" s="15">
        <v>50907.83</v>
      </c>
      <c r="G457" s="15" t="str">
        <f>IF(OR(Table14[[#This Row],[Sales]]&gt;($B$5+1.5*$B$9),Table14[[#This Row],[Sales]]&lt;($B$7-1.5*$B$9)),"Outlier","Normal")</f>
        <v>Normal</v>
      </c>
      <c r="H457" s="22"/>
      <c r="I457" s="22">
        <f>Table1[[#This Row],[Sales]]/Table1[[#This Row],[USD_Spend]]</f>
        <v>12.888981152765094</v>
      </c>
    </row>
    <row r="458" spans="1:9" x14ac:dyDescent="0.35">
      <c r="A458" s="3" t="s">
        <v>105</v>
      </c>
      <c r="B458" s="15">
        <v>13864.98</v>
      </c>
      <c r="C458" s="1" t="str">
        <f>IF(OR(Table14[[#This Row],[USD_Spend]]&gt;($B$4+1.5*$B$8),Table14[[#This Row],[USD_Spend]]&lt;($B$6-1.5*$B$8)),"Outlier","Normal")</f>
        <v>Normal</v>
      </c>
      <c r="D458" s="1">
        <v>951858</v>
      </c>
      <c r="E458" s="1">
        <v>5201</v>
      </c>
      <c r="F458" s="15">
        <v>131582.41</v>
      </c>
      <c r="G458" s="15" t="str">
        <f>IF(OR(Table14[[#This Row],[Sales]]&gt;($B$5+1.5*$B$9),Table14[[#This Row],[Sales]]&lt;($B$7-1.5*$B$9)),"Outlier","Normal")</f>
        <v>Normal</v>
      </c>
      <c r="H458" s="22"/>
      <c r="I458" s="22">
        <f>Table1[[#This Row],[Sales]]/Table1[[#This Row],[USD_Spend]]</f>
        <v>21.47320343735942</v>
      </c>
    </row>
    <row r="459" spans="1:9" x14ac:dyDescent="0.35">
      <c r="A459" s="3" t="s">
        <v>114</v>
      </c>
      <c r="B459" s="15">
        <v>28912.69</v>
      </c>
      <c r="C459" s="1" t="str">
        <f>IF(OR(Table14[[#This Row],[USD_Spend]]&gt;($B$4+1.5*$B$8),Table14[[#This Row],[USD_Spend]]&lt;($B$6-1.5*$B$8)),"Outlier","Normal")</f>
        <v>Normal</v>
      </c>
      <c r="D459" s="1">
        <v>277865</v>
      </c>
      <c r="E459" s="1">
        <v>11262</v>
      </c>
      <c r="F459" s="15">
        <v>19726.96</v>
      </c>
      <c r="G459" s="15" t="str">
        <f>IF(OR(Table14[[#This Row],[Sales]]&gt;($B$5+1.5*$B$9),Table14[[#This Row],[Sales]]&lt;($B$7-1.5*$B$9)),"Outlier","Normal")</f>
        <v>Normal</v>
      </c>
      <c r="H459" s="22"/>
      <c r="I459" s="22">
        <f>Table1[[#This Row],[Sales]]/Table1[[#This Row],[USD_Spend]]</f>
        <v>3.3340893748988827</v>
      </c>
    </row>
    <row r="460" spans="1:9" x14ac:dyDescent="0.35">
      <c r="A460" s="3" t="s">
        <v>103</v>
      </c>
      <c r="B460" s="15">
        <v>2112.9899999999998</v>
      </c>
      <c r="C460" s="1" t="str">
        <f>IF(OR(Table14[[#This Row],[USD_Spend]]&gt;($B$4+1.5*$B$8),Table14[[#This Row],[USD_Spend]]&lt;($B$6-1.5*$B$8)),"Outlier","Normal")</f>
        <v>Normal</v>
      </c>
      <c r="D460" s="1">
        <v>667343</v>
      </c>
      <c r="E460" s="1">
        <v>44585</v>
      </c>
      <c r="F460" s="15">
        <v>138504.51999999999</v>
      </c>
      <c r="G460" s="15" t="str">
        <f>IF(OR(Table14[[#This Row],[Sales]]&gt;($B$5+1.5*$B$9),Table14[[#This Row],[Sales]]&lt;($B$7-1.5*$B$9)),"Outlier","Normal")</f>
        <v>Normal</v>
      </c>
      <c r="H460" s="22"/>
      <c r="I460" s="22">
        <f>Table1[[#This Row],[Sales]]/Table1[[#This Row],[USD_Spend]]</f>
        <v>14.808031825606824</v>
      </c>
    </row>
    <row r="461" spans="1:9" x14ac:dyDescent="0.35">
      <c r="A461" s="3" t="s">
        <v>67</v>
      </c>
      <c r="B461" s="15">
        <v>5624.79</v>
      </c>
      <c r="C461" s="1" t="str">
        <f>IF(OR(Table14[[#This Row],[USD_Spend]]&gt;($B$4+1.5*$B$8),Table14[[#This Row],[USD_Spend]]&lt;($B$6-1.5*$B$8)),"Outlier","Normal")</f>
        <v>Normal</v>
      </c>
      <c r="D461" s="1">
        <v>991586</v>
      </c>
      <c r="E461" s="1">
        <v>13878</v>
      </c>
      <c r="F461" s="15">
        <v>79742.73</v>
      </c>
      <c r="G461" s="15" t="str">
        <f>IF(OR(Table14[[#This Row],[Sales]]&gt;($B$5+1.5*$B$9),Table14[[#This Row],[Sales]]&lt;($B$7-1.5*$B$9)),"Outlier","Normal")</f>
        <v>Normal</v>
      </c>
      <c r="H461" s="22"/>
      <c r="I461" s="22">
        <f>Table1[[#This Row],[Sales]]/Table1[[#This Row],[USD_Spend]]</f>
        <v>1.7333678374445598</v>
      </c>
    </row>
    <row r="462" spans="1:9" x14ac:dyDescent="0.35">
      <c r="A462" s="3" t="s">
        <v>55</v>
      </c>
      <c r="B462" s="15">
        <v>38183.89</v>
      </c>
      <c r="C462" s="1" t="str">
        <f>IF(OR(Table14[[#This Row],[USD_Spend]]&gt;($B$4+1.5*$B$8),Table14[[#This Row],[USD_Spend]]&lt;($B$6-1.5*$B$8)),"Outlier","Normal")</f>
        <v>Normal</v>
      </c>
      <c r="D462" s="1">
        <v>594004</v>
      </c>
      <c r="E462" s="1">
        <v>14492</v>
      </c>
      <c r="F462" s="15">
        <v>172730.49</v>
      </c>
      <c r="G462" s="15" t="str">
        <f>IF(OR(Table14[[#This Row],[Sales]]&gt;($B$5+1.5*$B$9),Table14[[#This Row],[Sales]]&lt;($B$7-1.5*$B$9)),"Outlier","Normal")</f>
        <v>Normal</v>
      </c>
      <c r="H462" s="22"/>
      <c r="I462" s="22">
        <f>Table1[[#This Row],[Sales]]/Table1[[#This Row],[USD_Spend]]</f>
        <v>0.58905508770064519</v>
      </c>
    </row>
    <row r="463" spans="1:9" x14ac:dyDescent="0.35">
      <c r="A463" s="3" t="s">
        <v>89</v>
      </c>
      <c r="B463" s="15">
        <v>14845.81</v>
      </c>
      <c r="C463" s="1" t="str">
        <f>IF(OR(Table14[[#This Row],[USD_Spend]]&gt;($B$4+1.5*$B$8),Table14[[#This Row],[USD_Spend]]&lt;($B$6-1.5*$B$8)),"Outlier","Normal")</f>
        <v>Normal</v>
      </c>
      <c r="D463" s="1">
        <v>644836</v>
      </c>
      <c r="E463" s="1">
        <v>28293</v>
      </c>
      <c r="F463" s="15">
        <v>29298.720000000001</v>
      </c>
      <c r="G463" s="15" t="str">
        <f>IF(OR(Table14[[#This Row],[Sales]]&gt;($B$5+1.5*$B$9),Table14[[#This Row],[Sales]]&lt;($B$7-1.5*$B$9)),"Outlier","Normal")</f>
        <v>Normal</v>
      </c>
      <c r="H463" s="22"/>
      <c r="I463" s="22">
        <f>Table1[[#This Row],[Sales]]/Table1[[#This Row],[USD_Spend]]</f>
        <v>3.108495098262547</v>
      </c>
    </row>
    <row r="464" spans="1:9" x14ac:dyDescent="0.35">
      <c r="A464" s="3" t="s">
        <v>97</v>
      </c>
      <c r="B464" s="15">
        <v>278.64999999999998</v>
      </c>
      <c r="C464" s="1" t="str">
        <f>IF(OR(Table14[[#This Row],[USD_Spend]]&gt;($B$4+1.5*$B$8),Table14[[#This Row],[USD_Spend]]&lt;($B$6-1.5*$B$8)),"Outlier","Normal")</f>
        <v>Normal</v>
      </c>
      <c r="D464" s="1">
        <v>289947</v>
      </c>
      <c r="E464" s="1">
        <v>49264</v>
      </c>
      <c r="F464" s="15">
        <v>197455.39</v>
      </c>
      <c r="G464" s="15" t="str">
        <f>IF(OR(Table14[[#This Row],[Sales]]&gt;($B$5+1.5*$B$9),Table14[[#This Row],[Sales]]&lt;($B$7-1.5*$B$9)),"Outlier","Normal")</f>
        <v>Normal</v>
      </c>
      <c r="H464" s="22"/>
      <c r="I464" s="22">
        <f>Table1[[#This Row],[Sales]]/Table1[[#This Row],[USD_Spend]]</f>
        <v>0.35756084894207579</v>
      </c>
    </row>
    <row r="465" spans="1:9" x14ac:dyDescent="0.35">
      <c r="A465" s="3" t="s">
        <v>62</v>
      </c>
      <c r="B465" s="15">
        <v>9282.69</v>
      </c>
      <c r="C465" s="1" t="str">
        <f>IF(OR(Table14[[#This Row],[USD_Spend]]&gt;($B$4+1.5*$B$8),Table14[[#This Row],[USD_Spend]]&lt;($B$6-1.5*$B$8)),"Outlier","Normal")</f>
        <v>Normal</v>
      </c>
      <c r="D465" s="1">
        <v>626005</v>
      </c>
      <c r="E465" s="1">
        <v>46278</v>
      </c>
      <c r="F465" s="15">
        <v>247153.31</v>
      </c>
      <c r="G465" s="15" t="str">
        <f>IF(OR(Table14[[#This Row],[Sales]]&gt;($B$5+1.5*$B$9),Table14[[#This Row],[Sales]]&lt;($B$7-1.5*$B$9)),"Outlier","Normal")</f>
        <v>Normal</v>
      </c>
      <c r="H465" s="22"/>
      <c r="I465" s="22">
        <f>Table1[[#This Row],[Sales]]/Table1[[#This Row],[USD_Spend]]</f>
        <v>25.037002461589861</v>
      </c>
    </row>
    <row r="466" spans="1:9" x14ac:dyDescent="0.35">
      <c r="A466" s="3" t="s">
        <v>98</v>
      </c>
      <c r="B466" s="15">
        <v>1409.96</v>
      </c>
      <c r="C466" s="1" t="str">
        <f>IF(OR(Table14[[#This Row],[USD_Spend]]&gt;($B$4+1.5*$B$8),Table14[[#This Row],[USD_Spend]]&lt;($B$6-1.5*$B$8)),"Outlier","Normal")</f>
        <v>Normal</v>
      </c>
      <c r="D466" s="1">
        <v>862283</v>
      </c>
      <c r="E466" s="1">
        <v>17445</v>
      </c>
      <c r="F466" s="15">
        <v>48592.72</v>
      </c>
      <c r="G466" s="15" t="str">
        <f>IF(OR(Table14[[#This Row],[Sales]]&gt;($B$5+1.5*$B$9),Table14[[#This Row],[Sales]]&lt;($B$7-1.5*$B$9)),"Outlier","Normal")</f>
        <v>Normal</v>
      </c>
      <c r="H466" s="22"/>
      <c r="I466" s="22">
        <f>Table1[[#This Row],[Sales]]/Table1[[#This Row],[USD_Spend]]</f>
        <v>79.840881066715681</v>
      </c>
    </row>
    <row r="467" spans="1:9" x14ac:dyDescent="0.35">
      <c r="A467" s="3" t="s">
        <v>104</v>
      </c>
      <c r="B467" s="15">
        <v>8791.2099999999991</v>
      </c>
      <c r="C467" s="1" t="str">
        <f>IF(OR(Table14[[#This Row],[USD_Spend]]&gt;($B$4+1.5*$B$8),Table14[[#This Row],[USD_Spend]]&lt;($B$6-1.5*$B$8)),"Outlier","Normal")</f>
        <v>Normal</v>
      </c>
      <c r="D467" s="1">
        <v>21190</v>
      </c>
      <c r="E467" s="1">
        <v>12934</v>
      </c>
      <c r="F467" s="15">
        <v>113309.74</v>
      </c>
      <c r="G467" s="15" t="str">
        <f>IF(OR(Table14[[#This Row],[Sales]]&gt;($B$5+1.5*$B$9),Table14[[#This Row],[Sales]]&lt;($B$7-1.5*$B$9)),"Outlier","Normal")</f>
        <v>Normal</v>
      </c>
      <c r="H467" s="22"/>
      <c r="I467" s="22">
        <f>Table1[[#This Row],[Sales]]/Table1[[#This Row],[USD_Spend]]</f>
        <v>3.5349041401383081</v>
      </c>
    </row>
    <row r="468" spans="1:9" x14ac:dyDescent="0.35">
      <c r="A468" s="3" t="s">
        <v>42</v>
      </c>
      <c r="B468" s="15">
        <v>9514.2800000000007</v>
      </c>
      <c r="C468" s="1" t="str">
        <f>IF(OR(Table14[[#This Row],[USD_Spend]]&gt;($B$4+1.5*$B$8),Table14[[#This Row],[USD_Spend]]&lt;($B$6-1.5*$B$8)),"Outlier","Normal")</f>
        <v>Normal</v>
      </c>
      <c r="D468" s="1">
        <v>917340</v>
      </c>
      <c r="E468" s="1">
        <v>10566</v>
      </c>
      <c r="F468" s="15">
        <v>204302.07</v>
      </c>
      <c r="G468" s="15" t="str">
        <f>IF(OR(Table14[[#This Row],[Sales]]&gt;($B$5+1.5*$B$9),Table14[[#This Row],[Sales]]&lt;($B$7-1.5*$B$9)),"Outlier","Normal")</f>
        <v>Normal</v>
      </c>
      <c r="H468" s="22"/>
      <c r="I468" s="22">
        <f>Table1[[#This Row],[Sales]]/Table1[[#This Row],[USD_Spend]]</f>
        <v>10.152842610179313</v>
      </c>
    </row>
    <row r="469" spans="1:9" x14ac:dyDescent="0.35">
      <c r="A469" s="3" t="s">
        <v>50</v>
      </c>
      <c r="B469" s="15">
        <v>32264.54</v>
      </c>
      <c r="C469" s="1" t="str">
        <f>IF(OR(Table14[[#This Row],[USD_Spend]]&gt;($B$4+1.5*$B$8),Table14[[#This Row],[USD_Spend]]&lt;($B$6-1.5*$B$8)),"Outlier","Normal")</f>
        <v>Normal</v>
      </c>
      <c r="D469" s="1">
        <v>538597</v>
      </c>
      <c r="E469" s="1">
        <v>25309</v>
      </c>
      <c r="F469" s="15">
        <v>107572.86</v>
      </c>
      <c r="G469" s="15" t="str">
        <f>IF(OR(Table14[[#This Row],[Sales]]&gt;($B$5+1.5*$B$9),Table14[[#This Row],[Sales]]&lt;($B$7-1.5*$B$9)),"Outlier","Normal")</f>
        <v>Normal</v>
      </c>
      <c r="H469" s="22"/>
      <c r="I469" s="22">
        <f>Table1[[#This Row],[Sales]]/Table1[[#This Row],[USD_Spend]]</f>
        <v>8.4414241010977982</v>
      </c>
    </row>
    <row r="470" spans="1:9" x14ac:dyDescent="0.35">
      <c r="A470" s="3" t="s">
        <v>86</v>
      </c>
      <c r="B470" s="15">
        <v>14637.27</v>
      </c>
      <c r="C470" s="1" t="str">
        <f>IF(OR(Table14[[#This Row],[USD_Spend]]&gt;($B$4+1.5*$B$8),Table14[[#This Row],[USD_Spend]]&lt;($B$6-1.5*$B$8)),"Outlier","Normal")</f>
        <v>Normal</v>
      </c>
      <c r="D470" s="1">
        <v>702165</v>
      </c>
      <c r="E470" s="1">
        <v>23707</v>
      </c>
      <c r="F470" s="15">
        <v>216749.16</v>
      </c>
      <c r="G470" s="15" t="str">
        <f>IF(OR(Table14[[#This Row],[Sales]]&gt;($B$5+1.5*$B$9),Table14[[#This Row],[Sales]]&lt;($B$7-1.5*$B$9)),"Outlier","Normal")</f>
        <v>Normal</v>
      </c>
      <c r="H470" s="22"/>
      <c r="I470" s="22">
        <f>Table1[[#This Row],[Sales]]/Table1[[#This Row],[USD_Spend]]</f>
        <v>5.1870960247401472</v>
      </c>
    </row>
    <row r="471" spans="1:9" x14ac:dyDescent="0.35">
      <c r="A471" s="3" t="s">
        <v>109</v>
      </c>
      <c r="B471" s="15">
        <v>48689.85</v>
      </c>
      <c r="C471" s="1" t="str">
        <f>IF(OR(Table14[[#This Row],[USD_Spend]]&gt;($B$4+1.5*$B$8),Table14[[#This Row],[USD_Spend]]&lt;($B$6-1.5*$B$8)),"Outlier","Normal")</f>
        <v>Normal</v>
      </c>
      <c r="D471" s="1">
        <v>51843</v>
      </c>
      <c r="E471" s="1">
        <v>42601</v>
      </c>
      <c r="F471" s="15">
        <v>84397.42</v>
      </c>
      <c r="G471" s="15" t="str">
        <f>IF(OR(Table14[[#This Row],[Sales]]&gt;($B$5+1.5*$B$9),Table14[[#This Row],[Sales]]&lt;($B$7-1.5*$B$9)),"Outlier","Normal")</f>
        <v>Normal</v>
      </c>
      <c r="H471" s="22"/>
      <c r="I471" s="22">
        <f>Table1[[#This Row],[Sales]]/Table1[[#This Row],[USD_Spend]]</f>
        <v>1.9854424319041286</v>
      </c>
    </row>
    <row r="472" spans="1:9" x14ac:dyDescent="0.35">
      <c r="A472" s="3" t="s">
        <v>104</v>
      </c>
      <c r="B472" s="15">
        <v>25582.48</v>
      </c>
      <c r="C472" s="1" t="str">
        <f>IF(OR(Table14[[#This Row],[USD_Spend]]&gt;($B$4+1.5*$B$8),Table14[[#This Row],[USD_Spend]]&lt;($B$6-1.5*$B$8)),"Outlier","Normal")</f>
        <v>Normal</v>
      </c>
      <c r="D472" s="1">
        <v>334348</v>
      </c>
      <c r="E472" s="1">
        <v>12589</v>
      </c>
      <c r="F472" s="15">
        <v>15069.49</v>
      </c>
      <c r="G472" s="15" t="str">
        <f>IF(OR(Table14[[#This Row],[Sales]]&gt;($B$5+1.5*$B$9),Table14[[#This Row],[Sales]]&lt;($B$7-1.5*$B$9)),"Outlier","Normal")</f>
        <v>Normal</v>
      </c>
      <c r="H472" s="22"/>
      <c r="I472" s="22">
        <f>Table1[[#This Row],[Sales]]/Table1[[#This Row],[USD_Spend]]</f>
        <v>17.818335857167281</v>
      </c>
    </row>
    <row r="473" spans="1:9" x14ac:dyDescent="0.35">
      <c r="A473" s="3" t="s">
        <v>97</v>
      </c>
      <c r="B473" s="15">
        <v>29412.02</v>
      </c>
      <c r="C473" s="1" t="str">
        <f>IF(OR(Table14[[#This Row],[USD_Spend]]&gt;($B$4+1.5*$B$8),Table14[[#This Row],[USD_Spend]]&lt;($B$6-1.5*$B$8)),"Outlier","Normal")</f>
        <v>Normal</v>
      </c>
      <c r="D473" s="1">
        <v>656908</v>
      </c>
      <c r="E473" s="1">
        <v>44434</v>
      </c>
      <c r="F473" s="15">
        <v>91427.12</v>
      </c>
      <c r="G473" s="15" t="str">
        <f>IF(OR(Table14[[#This Row],[Sales]]&gt;($B$5+1.5*$B$9),Table14[[#This Row],[Sales]]&lt;($B$7-1.5*$B$9)),"Outlier","Normal")</f>
        <v>Normal</v>
      </c>
      <c r="H473" s="22"/>
      <c r="I473" s="22">
        <f>Table1[[#This Row],[Sales]]/Table1[[#This Row],[USD_Spend]]</f>
        <v>13.289329594640792</v>
      </c>
    </row>
    <row r="474" spans="1:9" x14ac:dyDescent="0.35">
      <c r="A474" s="3" t="s">
        <v>78</v>
      </c>
      <c r="B474" s="15">
        <v>16598.07</v>
      </c>
      <c r="C474" s="1" t="str">
        <f>IF(OR(Table14[[#This Row],[USD_Spend]]&gt;($B$4+1.5*$B$8),Table14[[#This Row],[USD_Spend]]&lt;($B$6-1.5*$B$8)),"Outlier","Normal")</f>
        <v>Normal</v>
      </c>
      <c r="D474" s="1">
        <v>67152</v>
      </c>
      <c r="E474" s="1">
        <v>23747</v>
      </c>
      <c r="F474" s="15">
        <v>5934.82</v>
      </c>
      <c r="G474" s="15" t="str">
        <f>IF(OR(Table14[[#This Row],[Sales]]&gt;($B$5+1.5*$B$9),Table14[[#This Row],[Sales]]&lt;($B$7-1.5*$B$9)),"Outlier","Normal")</f>
        <v>Normal</v>
      </c>
      <c r="H474" s="22"/>
      <c r="I474" s="22">
        <f>Table1[[#This Row],[Sales]]/Table1[[#This Row],[USD_Spend]]</f>
        <v>221.67102271971922</v>
      </c>
    </row>
    <row r="475" spans="1:9" x14ac:dyDescent="0.35">
      <c r="A475" s="3" t="s">
        <v>94</v>
      </c>
      <c r="B475" s="15">
        <v>8141.08</v>
      </c>
      <c r="C475" s="1" t="str">
        <f>IF(OR(Table14[[#This Row],[USD_Spend]]&gt;($B$4+1.5*$B$8),Table14[[#This Row],[USD_Spend]]&lt;($B$6-1.5*$B$8)),"Outlier","Normal")</f>
        <v>Normal</v>
      </c>
      <c r="D475" s="1">
        <v>201031</v>
      </c>
      <c r="E475" s="1">
        <v>35255</v>
      </c>
      <c r="F475" s="15">
        <v>203828.24</v>
      </c>
      <c r="G475" s="15" t="str">
        <f>IF(OR(Table14[[#This Row],[Sales]]&gt;($B$5+1.5*$B$9),Table14[[#This Row],[Sales]]&lt;($B$7-1.5*$B$9)),"Outlier","Normal")</f>
        <v>Normal</v>
      </c>
      <c r="H475" s="22"/>
      <c r="I475" s="22">
        <f>Table1[[#This Row],[Sales]]/Table1[[#This Row],[USD_Spend]]</f>
        <v>3.6862024116668506</v>
      </c>
    </row>
    <row r="476" spans="1:9" x14ac:dyDescent="0.35">
      <c r="A476" s="3" t="s">
        <v>82</v>
      </c>
      <c r="B476" s="15">
        <v>1305.69</v>
      </c>
      <c r="C476" s="1" t="str">
        <f>IF(OR(Table14[[#This Row],[USD_Spend]]&gt;($B$4+1.5*$B$8),Table14[[#This Row],[USD_Spend]]&lt;($B$6-1.5*$B$8)),"Outlier","Normal")</f>
        <v>Normal</v>
      </c>
      <c r="D476" s="1">
        <v>492515</v>
      </c>
      <c r="E476" s="1">
        <v>45438</v>
      </c>
      <c r="F476" s="15">
        <v>104247.44</v>
      </c>
      <c r="G476" s="15" t="str">
        <f>IF(OR(Table14[[#This Row],[Sales]]&gt;($B$5+1.5*$B$9),Table14[[#This Row],[Sales]]&lt;($B$7-1.5*$B$9)),"Outlier","Normal")</f>
        <v>Normal</v>
      </c>
      <c r="H476" s="22"/>
      <c r="I476" s="22">
        <f>Table1[[#This Row],[Sales]]/Table1[[#This Row],[USD_Spend]]</f>
        <v>108.84485578474649</v>
      </c>
    </row>
    <row r="477" spans="1:9" x14ac:dyDescent="0.35">
      <c r="A477" s="3" t="s">
        <v>99</v>
      </c>
      <c r="B477" s="15">
        <v>6708.23</v>
      </c>
      <c r="C477" s="1" t="str">
        <f>IF(OR(Table14[[#This Row],[USD_Spend]]&gt;($B$4+1.5*$B$8),Table14[[#This Row],[USD_Spend]]&lt;($B$6-1.5*$B$8)),"Outlier","Normal")</f>
        <v>Normal</v>
      </c>
      <c r="D477" s="1">
        <v>359247</v>
      </c>
      <c r="E477" s="1">
        <v>11118</v>
      </c>
      <c r="F477" s="15">
        <v>23712.95</v>
      </c>
      <c r="G477" s="15" t="str">
        <f>IF(OR(Table14[[#This Row],[Sales]]&gt;($B$5+1.5*$B$9),Table14[[#This Row],[Sales]]&lt;($B$7-1.5*$B$9)),"Outlier","Normal")</f>
        <v>Normal</v>
      </c>
      <c r="H477" s="22"/>
      <c r="I477" s="22">
        <f>Table1[[#This Row],[Sales]]/Table1[[#This Row],[USD_Spend]]</f>
        <v>0.45446684288127226</v>
      </c>
    </row>
    <row r="478" spans="1:9" x14ac:dyDescent="0.35">
      <c r="A478" s="3" t="s">
        <v>75</v>
      </c>
      <c r="B478" s="15">
        <v>1242.52</v>
      </c>
      <c r="C478" s="1" t="str">
        <f>IF(OR(Table14[[#This Row],[USD_Spend]]&gt;($B$4+1.5*$B$8),Table14[[#This Row],[USD_Spend]]&lt;($B$6-1.5*$B$8)),"Outlier","Normal")</f>
        <v>Normal</v>
      </c>
      <c r="D478" s="1">
        <v>869926</v>
      </c>
      <c r="E478" s="1">
        <v>11494</v>
      </c>
      <c r="F478" s="15">
        <v>12615.11</v>
      </c>
      <c r="G478" s="15" t="str">
        <f>IF(OR(Table14[[#This Row],[Sales]]&gt;($B$5+1.5*$B$9),Table14[[#This Row],[Sales]]&lt;($B$7-1.5*$B$9)),"Outlier","Normal")</f>
        <v>Normal</v>
      </c>
      <c r="H478" s="22"/>
      <c r="I478" s="22">
        <f>Table1[[#This Row],[Sales]]/Table1[[#This Row],[USD_Spend]]</f>
        <v>5.6209769851507243</v>
      </c>
    </row>
    <row r="479" spans="1:9" x14ac:dyDescent="0.35">
      <c r="A479" s="3" t="s">
        <v>34</v>
      </c>
      <c r="B479" s="15">
        <v>20449.11</v>
      </c>
      <c r="C479" s="1" t="str">
        <f>IF(OR(Table14[[#This Row],[USD_Spend]]&gt;($B$4+1.5*$B$8),Table14[[#This Row],[USD_Spend]]&lt;($B$6-1.5*$B$8)),"Outlier","Normal")</f>
        <v>Normal</v>
      </c>
      <c r="D479" s="1">
        <v>899173</v>
      </c>
      <c r="E479" s="1">
        <v>40341</v>
      </c>
      <c r="F479" s="15">
        <v>172619.61</v>
      </c>
      <c r="G479" s="15" t="str">
        <f>IF(OR(Table14[[#This Row],[Sales]]&gt;($B$5+1.5*$B$9),Table14[[#This Row],[Sales]]&lt;($B$7-1.5*$B$9)),"Outlier","Normal")</f>
        <v>Normal</v>
      </c>
      <c r="H479" s="22"/>
      <c r="I479" s="22">
        <f>Table1[[#This Row],[Sales]]/Table1[[#This Row],[USD_Spend]]</f>
        <v>5.0628729533948702</v>
      </c>
    </row>
    <row r="480" spans="1:9" x14ac:dyDescent="0.35">
      <c r="A480" s="3" t="s">
        <v>112</v>
      </c>
      <c r="B480" s="15">
        <v>26169.61</v>
      </c>
      <c r="C480" s="1" t="str">
        <f>IF(OR(Table14[[#This Row],[USD_Spend]]&gt;($B$4+1.5*$B$8),Table14[[#This Row],[USD_Spend]]&lt;($B$6-1.5*$B$8)),"Outlier","Normal")</f>
        <v>Normal</v>
      </c>
      <c r="D480" s="1">
        <v>409152</v>
      </c>
      <c r="E480" s="1">
        <v>30656</v>
      </c>
      <c r="F480" s="15">
        <v>135744.28</v>
      </c>
      <c r="G480" s="15" t="str">
        <f>IF(OR(Table14[[#This Row],[Sales]]&gt;($B$5+1.5*$B$9),Table14[[#This Row],[Sales]]&lt;($B$7-1.5*$B$9)),"Outlier","Normal")</f>
        <v>Normal</v>
      </c>
      <c r="H480" s="22"/>
      <c r="I480" s="22">
        <f>Table1[[#This Row],[Sales]]/Table1[[#This Row],[USD_Spend]]</f>
        <v>5.272948721179139</v>
      </c>
    </row>
    <row r="481" spans="1:9" x14ac:dyDescent="0.35">
      <c r="A481" s="3" t="s">
        <v>62</v>
      </c>
      <c r="B481" s="15">
        <v>17450.03</v>
      </c>
      <c r="C481" s="1" t="str">
        <f>IF(OR(Table14[[#This Row],[USD_Spend]]&gt;($B$4+1.5*$B$8),Table14[[#This Row],[USD_Spend]]&lt;($B$6-1.5*$B$8)),"Outlier","Normal")</f>
        <v>Normal</v>
      </c>
      <c r="D481" s="1">
        <v>552717</v>
      </c>
      <c r="E481" s="1">
        <v>29688</v>
      </c>
      <c r="F481" s="15">
        <v>34646.03</v>
      </c>
      <c r="G481" s="15" t="str">
        <f>IF(OR(Table14[[#This Row],[Sales]]&gt;($B$5+1.5*$B$9),Table14[[#This Row],[Sales]]&lt;($B$7-1.5*$B$9)),"Outlier","Normal")</f>
        <v>Normal</v>
      </c>
      <c r="H481" s="22"/>
      <c r="I481" s="22">
        <f>Table1[[#This Row],[Sales]]/Table1[[#This Row],[USD_Spend]]</f>
        <v>7.5276949368361086</v>
      </c>
    </row>
    <row r="482" spans="1:9" x14ac:dyDescent="0.35">
      <c r="A482" s="3" t="s">
        <v>89</v>
      </c>
      <c r="B482" s="15">
        <v>3275.44</v>
      </c>
      <c r="C482" s="1" t="str">
        <f>IF(OR(Table14[[#This Row],[USD_Spend]]&gt;($B$4+1.5*$B$8),Table14[[#This Row],[USD_Spend]]&lt;($B$6-1.5*$B$8)),"Outlier","Normal")</f>
        <v>Normal</v>
      </c>
      <c r="D482" s="1">
        <v>177775</v>
      </c>
      <c r="E482" s="1">
        <v>37579</v>
      </c>
      <c r="F482" s="15">
        <v>58362.89</v>
      </c>
      <c r="G482" s="15" t="str">
        <f>IF(OR(Table14[[#This Row],[Sales]]&gt;($B$5+1.5*$B$9),Table14[[#This Row],[Sales]]&lt;($B$7-1.5*$B$9)),"Outlier","Normal")</f>
        <v>Normal</v>
      </c>
      <c r="H482" s="22"/>
      <c r="I482" s="22">
        <f>Table1[[#This Row],[Sales]]/Table1[[#This Row],[USD_Spend]]</f>
        <v>7.7647615057026425</v>
      </c>
    </row>
    <row r="483" spans="1:9" x14ac:dyDescent="0.35">
      <c r="A483" s="3" t="s">
        <v>118</v>
      </c>
      <c r="B483" s="15">
        <v>16059.09</v>
      </c>
      <c r="C483" s="1" t="str">
        <f>IF(OR(Table14[[#This Row],[USD_Spend]]&gt;($B$4+1.5*$B$8),Table14[[#This Row],[USD_Spend]]&lt;($B$6-1.5*$B$8)),"Outlier","Normal")</f>
        <v>Normal</v>
      </c>
      <c r="D483" s="1">
        <v>414452</v>
      </c>
      <c r="E483" s="1">
        <v>45313</v>
      </c>
      <c r="F483" s="15">
        <v>213414.54</v>
      </c>
      <c r="G483" s="15" t="str">
        <f>IF(OR(Table14[[#This Row],[Sales]]&gt;($B$5+1.5*$B$9),Table14[[#This Row],[Sales]]&lt;($B$7-1.5*$B$9)),"Outlier","Normal")</f>
        <v>Normal</v>
      </c>
      <c r="H483" s="22"/>
      <c r="I483" s="22">
        <f>Table1[[#This Row],[Sales]]/Table1[[#This Row],[USD_Spend]]</f>
        <v>84.740416969963334</v>
      </c>
    </row>
    <row r="484" spans="1:9" x14ac:dyDescent="0.35">
      <c r="A484" s="3" t="s">
        <v>72</v>
      </c>
      <c r="B484" s="15">
        <v>752.21</v>
      </c>
      <c r="C484" s="1" t="str">
        <f>IF(OR(Table14[[#This Row],[USD_Spend]]&gt;($B$4+1.5*$B$8),Table14[[#This Row],[USD_Spend]]&lt;($B$6-1.5*$B$8)),"Outlier","Normal")</f>
        <v>Normal</v>
      </c>
      <c r="D484" s="1">
        <v>806070</v>
      </c>
      <c r="E484" s="1">
        <v>2530</v>
      </c>
      <c r="F484" s="15">
        <v>166743.16</v>
      </c>
      <c r="G484" s="15" t="str">
        <f>IF(OR(Table14[[#This Row],[Sales]]&gt;($B$5+1.5*$B$9),Table14[[#This Row],[Sales]]&lt;($B$7-1.5*$B$9)),"Outlier","Normal")</f>
        <v>Normal</v>
      </c>
      <c r="H484" s="22"/>
      <c r="I484" s="22">
        <f>Table1[[#This Row],[Sales]]/Table1[[#This Row],[USD_Spend]]</f>
        <v>0.35566190936629621</v>
      </c>
    </row>
    <row r="485" spans="1:9" x14ac:dyDescent="0.35">
      <c r="A485" s="3" t="s">
        <v>57</v>
      </c>
      <c r="B485" s="15">
        <v>31577.33</v>
      </c>
      <c r="C485" s="1" t="str">
        <f>IF(OR(Table14[[#This Row],[USD_Spend]]&gt;($B$4+1.5*$B$8),Table14[[#This Row],[USD_Spend]]&lt;($B$6-1.5*$B$8)),"Outlier","Normal")</f>
        <v>Normal</v>
      </c>
      <c r="D485" s="1">
        <v>929933</v>
      </c>
      <c r="E485" s="1">
        <v>24287</v>
      </c>
      <c r="F485" s="15">
        <v>116400.43</v>
      </c>
      <c r="G485" s="15" t="str">
        <f>IF(OR(Table14[[#This Row],[Sales]]&gt;($B$5+1.5*$B$9),Table14[[#This Row],[Sales]]&lt;($B$7-1.5*$B$9)),"Outlier","Normal")</f>
        <v>Normal</v>
      </c>
      <c r="H485" s="22"/>
      <c r="I485" s="22">
        <f>Table1[[#This Row],[Sales]]/Table1[[#This Row],[USD_Spend]]</f>
        <v>16.559999629803301</v>
      </c>
    </row>
    <row r="486" spans="1:9" x14ac:dyDescent="0.35">
      <c r="A486" s="3" t="s">
        <v>107</v>
      </c>
      <c r="B486" s="15">
        <v>1828.17</v>
      </c>
      <c r="C486" s="1" t="str">
        <f>IF(OR(Table14[[#This Row],[USD_Spend]]&gt;($B$4+1.5*$B$8),Table14[[#This Row],[USD_Spend]]&lt;($B$6-1.5*$B$8)),"Outlier","Normal")</f>
        <v>Normal</v>
      </c>
      <c r="D486" s="1">
        <v>876028</v>
      </c>
      <c r="E486" s="1">
        <v>6056</v>
      </c>
      <c r="F486" s="15">
        <v>198986.9</v>
      </c>
      <c r="G486" s="15" t="str">
        <f>IF(OR(Table14[[#This Row],[Sales]]&gt;($B$5+1.5*$B$9),Table14[[#This Row],[Sales]]&lt;($B$7-1.5*$B$9)),"Outlier","Normal")</f>
        <v>Normal</v>
      </c>
      <c r="H486" s="22"/>
      <c r="I486" s="22">
        <f>Table1[[#This Row],[Sales]]/Table1[[#This Row],[USD_Spend]]</f>
        <v>23.4443550034858</v>
      </c>
    </row>
    <row r="487" spans="1:9" x14ac:dyDescent="0.35">
      <c r="A487" s="3" t="s">
        <v>78</v>
      </c>
      <c r="B487" s="15">
        <v>32426.37</v>
      </c>
      <c r="C487" s="1" t="str">
        <f>IF(OR(Table14[[#This Row],[USD_Spend]]&gt;($B$4+1.5*$B$8),Table14[[#This Row],[USD_Spend]]&lt;($B$6-1.5*$B$8)),"Outlier","Normal")</f>
        <v>Normal</v>
      </c>
      <c r="D487" s="1">
        <v>617040</v>
      </c>
      <c r="E487" s="1">
        <v>39062</v>
      </c>
      <c r="F487" s="15">
        <v>14736.71</v>
      </c>
      <c r="G487" s="15" t="str">
        <f>IF(OR(Table14[[#This Row],[Sales]]&gt;($B$5+1.5*$B$9),Table14[[#This Row],[Sales]]&lt;($B$7-1.5*$B$9)),"Outlier","Normal")</f>
        <v>Normal</v>
      </c>
      <c r="H487" s="22"/>
      <c r="I487" s="22">
        <f>Table1[[#This Row],[Sales]]/Table1[[#This Row],[USD_Spend]]</f>
        <v>0.66119601809646622</v>
      </c>
    </row>
    <row r="488" spans="1:9" x14ac:dyDescent="0.35">
      <c r="A488" s="3" t="s">
        <v>34</v>
      </c>
      <c r="B488" s="15">
        <v>23234.13</v>
      </c>
      <c r="C488" s="1" t="str">
        <f>IF(OR(Table14[[#This Row],[USD_Spend]]&gt;($B$4+1.5*$B$8),Table14[[#This Row],[USD_Spend]]&lt;($B$6-1.5*$B$8)),"Outlier","Normal")</f>
        <v>Normal</v>
      </c>
      <c r="D488" s="1">
        <v>504932</v>
      </c>
      <c r="E488" s="1">
        <v>42966</v>
      </c>
      <c r="F488" s="15">
        <v>130598.51</v>
      </c>
      <c r="G488" s="15" t="str">
        <f>IF(OR(Table14[[#This Row],[Sales]]&gt;($B$5+1.5*$B$9),Table14[[#This Row],[Sales]]&lt;($B$7-1.5*$B$9)),"Outlier","Normal")</f>
        <v>Normal</v>
      </c>
      <c r="H488" s="22"/>
      <c r="I488" s="22">
        <f>Table1[[#This Row],[Sales]]/Table1[[#This Row],[USD_Spend]]</f>
        <v>9.1717381370694362</v>
      </c>
    </row>
    <row r="489" spans="1:9" x14ac:dyDescent="0.35">
      <c r="A489" s="3" t="s">
        <v>47</v>
      </c>
      <c r="B489" s="15">
        <v>34089.379999999997</v>
      </c>
      <c r="C489" s="1" t="str">
        <f>IF(OR(Table14[[#This Row],[USD_Spend]]&gt;($B$4+1.5*$B$8),Table14[[#This Row],[USD_Spend]]&lt;($B$6-1.5*$B$8)),"Outlier","Normal")</f>
        <v>Normal</v>
      </c>
      <c r="D489" s="1">
        <v>246828</v>
      </c>
      <c r="E489" s="1">
        <v>19759</v>
      </c>
      <c r="F489" s="15">
        <v>172590.2</v>
      </c>
      <c r="G489" s="15" t="str">
        <f>IF(OR(Table14[[#This Row],[Sales]]&gt;($B$5+1.5*$B$9),Table14[[#This Row],[Sales]]&lt;($B$7-1.5*$B$9)),"Outlier","Normal")</f>
        <v>Normal</v>
      </c>
      <c r="H489" s="22"/>
      <c r="I489" s="22">
        <f>Table1[[#This Row],[Sales]]/Table1[[#This Row],[USD_Spend]]</f>
        <v>5.6946502374910093</v>
      </c>
    </row>
    <row r="490" spans="1:9" x14ac:dyDescent="0.35">
      <c r="A490" s="3" t="s">
        <v>89</v>
      </c>
      <c r="B490" s="15">
        <v>34130.660000000003</v>
      </c>
      <c r="C490" s="1" t="str">
        <f>IF(OR(Table14[[#This Row],[USD_Spend]]&gt;($B$4+1.5*$B$8),Table14[[#This Row],[USD_Spend]]&lt;($B$6-1.5*$B$8)),"Outlier","Normal")</f>
        <v>Normal</v>
      </c>
      <c r="D490" s="1">
        <v>792150</v>
      </c>
      <c r="E490" s="1">
        <v>577</v>
      </c>
      <c r="F490" s="15">
        <v>179969.22</v>
      </c>
      <c r="G490" s="15" t="str">
        <f>IF(OR(Table14[[#This Row],[Sales]]&gt;($B$5+1.5*$B$9),Table14[[#This Row],[Sales]]&lt;($B$7-1.5*$B$9)),"Outlier","Normal")</f>
        <v>Normal</v>
      </c>
      <c r="H490" s="22"/>
      <c r="I490" s="22">
        <f>Table1[[#This Row],[Sales]]/Table1[[#This Row],[USD_Spend]]</f>
        <v>196.79214842699653</v>
      </c>
    </row>
    <row r="491" spans="1:9" x14ac:dyDescent="0.35">
      <c r="A491" s="3" t="s">
        <v>106</v>
      </c>
      <c r="B491" s="15">
        <v>2089.0100000000002</v>
      </c>
      <c r="C491" s="1" t="str">
        <f>IF(OR(Table14[[#This Row],[USD_Spend]]&gt;($B$4+1.5*$B$8),Table14[[#This Row],[USD_Spend]]&lt;($B$6-1.5*$B$8)),"Outlier","Normal")</f>
        <v>Normal</v>
      </c>
      <c r="D491" s="1">
        <v>700897</v>
      </c>
      <c r="E491" s="1">
        <v>4469</v>
      </c>
      <c r="F491" s="15">
        <v>15725.43</v>
      </c>
      <c r="G491" s="15" t="str">
        <f>IF(OR(Table14[[#This Row],[Sales]]&gt;($B$5+1.5*$B$9),Table14[[#This Row],[Sales]]&lt;($B$7-1.5*$B$9)),"Outlier","Normal")</f>
        <v>Normal</v>
      </c>
      <c r="H491" s="22"/>
      <c r="I491" s="22">
        <f>Table1[[#This Row],[Sales]]/Table1[[#This Row],[USD_Spend]]</f>
        <v>23.193767537592453</v>
      </c>
    </row>
    <row r="492" spans="1:9" x14ac:dyDescent="0.35">
      <c r="A492" s="3" t="s">
        <v>34</v>
      </c>
      <c r="B492" s="15">
        <v>23054.22</v>
      </c>
      <c r="C492" s="1" t="str">
        <f>IF(OR(Table14[[#This Row],[USD_Spend]]&gt;($B$4+1.5*$B$8),Table14[[#This Row],[USD_Spend]]&lt;($B$6-1.5*$B$8)),"Outlier","Normal")</f>
        <v>Normal</v>
      </c>
      <c r="D492" s="1">
        <v>592813</v>
      </c>
      <c r="E492" s="1">
        <v>30385</v>
      </c>
      <c r="F492" s="15">
        <v>179010.52</v>
      </c>
      <c r="G492" s="15" t="str">
        <f>IF(OR(Table14[[#This Row],[Sales]]&gt;($B$5+1.5*$B$9),Table14[[#This Row],[Sales]]&lt;($B$7-1.5*$B$9)),"Outlier","Normal")</f>
        <v>Normal</v>
      </c>
      <c r="H492" s="22"/>
      <c r="I492" s="22">
        <f>Table1[[#This Row],[Sales]]/Table1[[#This Row],[USD_Spend]]</f>
        <v>1.3101317519959079</v>
      </c>
    </row>
    <row r="493" spans="1:9" x14ac:dyDescent="0.35">
      <c r="A493" s="3" t="s">
        <v>111</v>
      </c>
      <c r="B493" s="15">
        <v>1456.22</v>
      </c>
      <c r="C493" s="1" t="str">
        <f>IF(OR(Table14[[#This Row],[USD_Spend]]&gt;($B$4+1.5*$B$8),Table14[[#This Row],[USD_Spend]]&lt;($B$6-1.5*$B$8)),"Outlier","Normal")</f>
        <v>Normal</v>
      </c>
      <c r="D493" s="1">
        <v>49704</v>
      </c>
      <c r="E493" s="1">
        <v>37334</v>
      </c>
      <c r="F493" s="15">
        <v>123400.69</v>
      </c>
      <c r="G493" s="15" t="str">
        <f>IF(OR(Table14[[#This Row],[Sales]]&gt;($B$5+1.5*$B$9),Table14[[#This Row],[Sales]]&lt;($B$7-1.5*$B$9)),"Outlier","Normal")</f>
        <v>Normal</v>
      </c>
      <c r="H493" s="22"/>
      <c r="I493" s="22">
        <f>Table1[[#This Row],[Sales]]/Table1[[#This Row],[USD_Spend]]</f>
        <v>8.0632031409888558</v>
      </c>
    </row>
    <row r="494" spans="1:9" x14ac:dyDescent="0.35">
      <c r="A494" s="3" t="s">
        <v>97</v>
      </c>
      <c r="B494" s="15">
        <v>49497.26</v>
      </c>
      <c r="C494" s="1" t="str">
        <f>IF(OR(Table14[[#This Row],[USD_Spend]]&gt;($B$4+1.5*$B$8),Table14[[#This Row],[USD_Spend]]&lt;($B$6-1.5*$B$8)),"Outlier","Normal")</f>
        <v>Normal</v>
      </c>
      <c r="D494" s="1">
        <v>453481</v>
      </c>
      <c r="E494" s="1">
        <v>47355</v>
      </c>
      <c r="F494" s="15">
        <v>17604.29</v>
      </c>
      <c r="G494" s="15" t="str">
        <f>IF(OR(Table14[[#This Row],[Sales]]&gt;($B$5+1.5*$B$9),Table14[[#This Row],[Sales]]&lt;($B$7-1.5*$B$9)),"Outlier","Normal")</f>
        <v>Normal</v>
      </c>
      <c r="H494" s="22"/>
      <c r="I494" s="22">
        <f>Table1[[#This Row],[Sales]]/Table1[[#This Row],[USD_Spend]]</f>
        <v>4.8510890798462851</v>
      </c>
    </row>
    <row r="495" spans="1:9" x14ac:dyDescent="0.35">
      <c r="A495" s="3" t="s">
        <v>107</v>
      </c>
      <c r="B495" s="15">
        <v>9724.56</v>
      </c>
      <c r="C495" s="1" t="str">
        <f>IF(OR(Table14[[#This Row],[USD_Spend]]&gt;($B$4+1.5*$B$8),Table14[[#This Row],[USD_Spend]]&lt;($B$6-1.5*$B$8)),"Outlier","Normal")</f>
        <v>Normal</v>
      </c>
      <c r="D495" s="1">
        <v>313662</v>
      </c>
      <c r="E495" s="1">
        <v>7332</v>
      </c>
      <c r="F495" s="15">
        <v>161038.71</v>
      </c>
      <c r="G495" s="15" t="str">
        <f>IF(OR(Table14[[#This Row],[Sales]]&gt;($B$5+1.5*$B$9),Table14[[#This Row],[Sales]]&lt;($B$7-1.5*$B$9)),"Outlier","Normal")</f>
        <v>Normal</v>
      </c>
      <c r="H495" s="22"/>
      <c r="I495" s="22">
        <f>Table1[[#This Row],[Sales]]/Table1[[#This Row],[USD_Spend]]</f>
        <v>7.9796565636524566</v>
      </c>
    </row>
    <row r="496" spans="1:9" x14ac:dyDescent="0.35">
      <c r="A496" s="3" t="s">
        <v>99</v>
      </c>
      <c r="B496" s="15">
        <v>9739.51</v>
      </c>
      <c r="C496" s="1" t="str">
        <f>IF(OR(Table14[[#This Row],[USD_Spend]]&gt;($B$4+1.5*$B$8),Table14[[#This Row],[USD_Spend]]&lt;($B$6-1.5*$B$8)),"Outlier","Normal")</f>
        <v>Normal</v>
      </c>
      <c r="D496" s="1">
        <v>630407</v>
      </c>
      <c r="E496" s="1">
        <v>48282</v>
      </c>
      <c r="F496" s="15">
        <v>228336.53</v>
      </c>
      <c r="G496" s="15" t="str">
        <f>IF(OR(Table14[[#This Row],[Sales]]&gt;($B$5+1.5*$B$9),Table14[[#This Row],[Sales]]&lt;($B$7-1.5*$B$9)),"Outlier","Normal")</f>
        <v>Normal</v>
      </c>
      <c r="H496" s="22"/>
      <c r="I496" s="22">
        <f>Table1[[#This Row],[Sales]]/Table1[[#This Row],[USD_Spend]]</f>
        <v>8.3017495878436218</v>
      </c>
    </row>
    <row r="497" spans="1:9" x14ac:dyDescent="0.35">
      <c r="A497" s="3" t="s">
        <v>114</v>
      </c>
      <c r="B497" s="15">
        <v>11748.15</v>
      </c>
      <c r="C497" s="1" t="str">
        <f>IF(OR(Table14[[#This Row],[USD_Spend]]&gt;($B$4+1.5*$B$8),Table14[[#This Row],[USD_Spend]]&lt;($B$6-1.5*$B$8)),"Outlier","Normal")</f>
        <v>Normal</v>
      </c>
      <c r="D497" s="1">
        <v>678470</v>
      </c>
      <c r="E497" s="1">
        <v>14015</v>
      </c>
      <c r="F497" s="15">
        <v>7767.83</v>
      </c>
      <c r="G497" s="15" t="str">
        <f>IF(OR(Table14[[#This Row],[Sales]]&gt;($B$5+1.5*$B$9),Table14[[#This Row],[Sales]]&lt;($B$7-1.5*$B$9)),"Outlier","Normal")</f>
        <v>Normal</v>
      </c>
      <c r="H497" s="22"/>
      <c r="I497" s="22">
        <f>Table1[[#This Row],[Sales]]/Table1[[#This Row],[USD_Spend]]</f>
        <v>25.749001828762179</v>
      </c>
    </row>
    <row r="498" spans="1:9" x14ac:dyDescent="0.35">
      <c r="A498" s="3" t="s">
        <v>50</v>
      </c>
      <c r="B498" s="15">
        <v>17354.27</v>
      </c>
      <c r="C498" s="1" t="str">
        <f>IF(OR(Table14[[#This Row],[USD_Spend]]&gt;($B$4+1.5*$B$8),Table14[[#This Row],[USD_Spend]]&lt;($B$6-1.5*$B$8)),"Outlier","Normal")</f>
        <v>Normal</v>
      </c>
      <c r="D498" s="1">
        <v>924462</v>
      </c>
      <c r="E498" s="1">
        <v>45191</v>
      </c>
      <c r="F498" s="15">
        <v>159168.82</v>
      </c>
      <c r="G498" s="15" t="str">
        <f>IF(OR(Table14[[#This Row],[Sales]]&gt;($B$5+1.5*$B$9),Table14[[#This Row],[Sales]]&lt;($B$7-1.5*$B$9)),"Outlier","Normal")</f>
        <v>Normal</v>
      </c>
      <c r="H498" s="22"/>
      <c r="I498" s="22">
        <f>Table1[[#This Row],[Sales]]/Table1[[#This Row],[USD_Spend]]</f>
        <v>75.143949718671237</v>
      </c>
    </row>
    <row r="499" spans="1:9" x14ac:dyDescent="0.35">
      <c r="A499" s="3" t="s">
        <v>27</v>
      </c>
      <c r="B499" s="15">
        <v>15044.78</v>
      </c>
      <c r="C499" s="1" t="str">
        <f>IF(OR(Table14[[#This Row],[USD_Spend]]&gt;($B$4+1.5*$B$8),Table14[[#This Row],[USD_Spend]]&lt;($B$6-1.5*$B$8)),"Outlier","Normal")</f>
        <v>Normal</v>
      </c>
      <c r="D499" s="1">
        <v>337557</v>
      </c>
      <c r="E499" s="1">
        <v>39773</v>
      </c>
      <c r="F499" s="15">
        <v>85674.76</v>
      </c>
      <c r="G499" s="15" t="str">
        <f>IF(OR(Table14[[#This Row],[Sales]]&gt;($B$5+1.5*$B$9),Table14[[#This Row],[Sales]]&lt;($B$7-1.5*$B$9)),"Outlier","Normal")</f>
        <v>Normal</v>
      </c>
      <c r="H499" s="22"/>
      <c r="I499" s="22">
        <f>Table1[[#This Row],[Sales]]/Table1[[#This Row],[USD_Spend]]</f>
        <v>3.3252690072358027</v>
      </c>
    </row>
    <row r="500" spans="1:9" x14ac:dyDescent="0.35">
      <c r="A500" s="3" t="s">
        <v>102</v>
      </c>
      <c r="B500" s="15">
        <v>1041.32</v>
      </c>
      <c r="C500" s="1" t="str">
        <f>IF(OR(Table14[[#This Row],[USD_Spend]]&gt;($B$4+1.5*$B$8),Table14[[#This Row],[USD_Spend]]&lt;($B$6-1.5*$B$8)),"Outlier","Normal")</f>
        <v>Normal</v>
      </c>
      <c r="D500" s="1">
        <v>752464</v>
      </c>
      <c r="E500" s="1">
        <v>37589</v>
      </c>
      <c r="F500" s="15">
        <v>204923.6</v>
      </c>
      <c r="G500" s="15" t="str">
        <f>IF(OR(Table14[[#This Row],[Sales]]&gt;($B$5+1.5*$B$9),Table14[[#This Row],[Sales]]&lt;($B$7-1.5*$B$9)),"Outlier","Normal")</f>
        <v>Normal</v>
      </c>
      <c r="H500" s="22"/>
      <c r="I500" s="22">
        <f>Table1[[#This Row],[Sales]]/Table1[[#This Row],[USD_Spend]]</f>
        <v>7.1665440799253632</v>
      </c>
    </row>
    <row r="501" spans="1:9" x14ac:dyDescent="0.35">
      <c r="A501" s="3" t="s">
        <v>113</v>
      </c>
      <c r="B501" s="15">
        <v>6753.35</v>
      </c>
      <c r="C501" s="1" t="str">
        <f>IF(OR(Table14[[#This Row],[USD_Spend]]&gt;($B$4+1.5*$B$8),Table14[[#This Row],[USD_Spend]]&lt;($B$6-1.5*$B$8)),"Outlier","Normal")</f>
        <v>Normal</v>
      </c>
      <c r="D501" s="1">
        <v>565953</v>
      </c>
      <c r="E501" s="1">
        <v>6370</v>
      </c>
      <c r="F501" s="15">
        <v>156635.63</v>
      </c>
      <c r="G501" s="15" t="str">
        <f>IF(OR(Table14[[#This Row],[Sales]]&gt;($B$5+1.5*$B$9),Table14[[#This Row],[Sales]]&lt;($B$7-1.5*$B$9)),"Outlier","Normal")</f>
        <v>Normal</v>
      </c>
      <c r="H501" s="22"/>
      <c r="I501" s="22">
        <f>Table1[[#This Row],[Sales]]/Table1[[#This Row],[USD_Spend]]</f>
        <v>5.8552928451569857</v>
      </c>
    </row>
    <row r="502" spans="1:9" x14ac:dyDescent="0.35">
      <c r="A502" s="3" t="s">
        <v>70</v>
      </c>
      <c r="B502" s="15">
        <v>56144.88</v>
      </c>
      <c r="C502" s="1" t="str">
        <f>IF(OR(Table14[[#This Row],[USD_Spend]]&gt;($B$4+1.5*$B$8),Table14[[#This Row],[USD_Spend]]&lt;($B$6-1.5*$B$8)),"Outlier","Normal")</f>
        <v>Outlier</v>
      </c>
      <c r="D502" s="1">
        <v>159289</v>
      </c>
      <c r="E502" s="1">
        <v>46738</v>
      </c>
      <c r="F502" s="15">
        <v>73557.19</v>
      </c>
      <c r="G502" s="15" t="str">
        <f>IF(OR(Table14[[#This Row],[Sales]]&gt;($B$5+1.5*$B$9),Table14[[#This Row],[Sales]]&lt;($B$7-1.5*$B$9)),"Outlier","Normal")</f>
        <v>Normal</v>
      </c>
      <c r="H502" s="22"/>
      <c r="I502" s="22">
        <f>Table1[[#This Row],[Sales]]/Table1[[#This Row],[USD_Spend]]</f>
        <v>5.9939698030941315</v>
      </c>
    </row>
    <row r="503" spans="1:9" x14ac:dyDescent="0.35">
      <c r="A503" s="3" t="s">
        <v>88</v>
      </c>
      <c r="B503" s="15">
        <v>16955.169999999998</v>
      </c>
      <c r="C503" s="1" t="str">
        <f>IF(OR(Table14[[#This Row],[USD_Spend]]&gt;($B$4+1.5*$B$8),Table14[[#This Row],[USD_Spend]]&lt;($B$6-1.5*$B$8)),"Outlier","Normal")</f>
        <v>Normal</v>
      </c>
      <c r="D503" s="1">
        <v>826466</v>
      </c>
      <c r="E503" s="1">
        <v>45353</v>
      </c>
      <c r="F503" s="15">
        <v>136712.98000000001</v>
      </c>
      <c r="G503" s="15" t="str">
        <f>IF(OR(Table14[[#This Row],[Sales]]&gt;($B$5+1.5*$B$9),Table14[[#This Row],[Sales]]&lt;($B$7-1.5*$B$9)),"Outlier","Normal")</f>
        <v>Normal</v>
      </c>
      <c r="H503" s="22"/>
      <c r="I503" s="22">
        <f>Table1[[#This Row],[Sales]]/Table1[[#This Row],[USD_Spend]]</f>
        <v>6.756653376002971</v>
      </c>
    </row>
    <row r="504" spans="1:9" x14ac:dyDescent="0.35">
      <c r="A504" s="3" t="s">
        <v>88</v>
      </c>
      <c r="B504" s="15">
        <v>37472</v>
      </c>
      <c r="C504" s="1" t="str">
        <f>IF(OR(Table14[[#This Row],[USD_Spend]]&gt;($B$4+1.5*$B$8),Table14[[#This Row],[USD_Spend]]&lt;($B$6-1.5*$B$8)),"Outlier","Normal")</f>
        <v>Normal</v>
      </c>
      <c r="D504" s="1">
        <v>925979</v>
      </c>
      <c r="E504" s="1">
        <v>20044</v>
      </c>
      <c r="F504" s="15">
        <v>181780.01</v>
      </c>
      <c r="G504" s="15" t="str">
        <f>IF(OR(Table14[[#This Row],[Sales]]&gt;($B$5+1.5*$B$9),Table14[[#This Row],[Sales]]&lt;($B$7-1.5*$B$9)),"Outlier","Normal")</f>
        <v>Normal</v>
      </c>
      <c r="H504" s="22"/>
      <c r="I504" s="22">
        <f>Table1[[#This Row],[Sales]]/Table1[[#This Row],[USD_Spend]]</f>
        <v>3.6374004647029738</v>
      </c>
    </row>
    <row r="505" spans="1:9" x14ac:dyDescent="0.35">
      <c r="A505" s="3" t="s">
        <v>27</v>
      </c>
      <c r="B505" s="15">
        <v>31148.13</v>
      </c>
      <c r="C505" s="1" t="str">
        <f>IF(OR(Table14[[#This Row],[USD_Spend]]&gt;($B$4+1.5*$B$8),Table14[[#This Row],[USD_Spend]]&lt;($B$6-1.5*$B$8)),"Outlier","Normal")</f>
        <v>Normal</v>
      </c>
      <c r="D505" s="1">
        <v>271250</v>
      </c>
      <c r="E505" s="1">
        <v>41437</v>
      </c>
      <c r="F505" s="15">
        <v>248551.38</v>
      </c>
      <c r="G505" s="15" t="str">
        <f>IF(OR(Table14[[#This Row],[Sales]]&gt;($B$5+1.5*$B$9),Table14[[#This Row],[Sales]]&lt;($B$7-1.5*$B$9)),"Outlier","Normal")</f>
        <v>Normal</v>
      </c>
      <c r="H505" s="22"/>
      <c r="I505" s="22">
        <f>Table1[[#This Row],[Sales]]/Table1[[#This Row],[USD_Spend]]</f>
        <v>14.189490473391194</v>
      </c>
    </row>
    <row r="506" spans="1:9" x14ac:dyDescent="0.35">
      <c r="A506" s="3" t="s">
        <v>62</v>
      </c>
      <c r="B506" s="15">
        <v>20344.22</v>
      </c>
      <c r="C506" s="1" t="str">
        <f>IF(OR(Table14[[#This Row],[USD_Spend]]&gt;($B$4+1.5*$B$8),Table14[[#This Row],[USD_Spend]]&lt;($B$6-1.5*$B$8)),"Outlier","Normal")</f>
        <v>Normal</v>
      </c>
      <c r="D506" s="1">
        <v>211485</v>
      </c>
      <c r="E506" s="1">
        <v>44661</v>
      </c>
      <c r="F506" s="15">
        <v>168892.62</v>
      </c>
      <c r="G506" s="15" t="str">
        <f>IF(OR(Table14[[#This Row],[Sales]]&gt;($B$5+1.5*$B$9),Table14[[#This Row],[Sales]]&lt;($B$7-1.5*$B$9)),"Outlier","Normal")</f>
        <v>Normal</v>
      </c>
      <c r="H506" s="22"/>
      <c r="I506" s="22">
        <f>Table1[[#This Row],[Sales]]/Table1[[#This Row],[USD_Spend]]</f>
        <v>19.817033432077867</v>
      </c>
    </row>
    <row r="507" spans="1:9" x14ac:dyDescent="0.35">
      <c r="A507" s="3" t="s">
        <v>67</v>
      </c>
      <c r="B507" s="15">
        <v>8891.26</v>
      </c>
      <c r="C507" s="1" t="str">
        <f>IF(OR(Table14[[#This Row],[USD_Spend]]&gt;($B$4+1.5*$B$8),Table14[[#This Row],[USD_Spend]]&lt;($B$6-1.5*$B$8)),"Outlier","Normal")</f>
        <v>Normal</v>
      </c>
      <c r="D507" s="1">
        <v>128733</v>
      </c>
      <c r="E507" s="1">
        <v>22248</v>
      </c>
      <c r="F507" s="15">
        <v>228941.07</v>
      </c>
      <c r="G507" s="15" t="str">
        <f>IF(OR(Table14[[#This Row],[Sales]]&gt;($B$5+1.5*$B$9),Table14[[#This Row],[Sales]]&lt;($B$7-1.5*$B$9)),"Outlier","Normal")</f>
        <v>Normal</v>
      </c>
      <c r="H507" s="22"/>
      <c r="I507" s="22">
        <f>Table1[[#This Row],[Sales]]/Table1[[#This Row],[USD_Spend]]</f>
        <v>31.471734771440556</v>
      </c>
    </row>
    <row r="508" spans="1:9" x14ac:dyDescent="0.35">
      <c r="A508" s="3" t="s">
        <v>102</v>
      </c>
      <c r="B508" s="15">
        <v>2626.82</v>
      </c>
      <c r="C508" s="1" t="str">
        <f>IF(OR(Table14[[#This Row],[USD_Spend]]&gt;($B$4+1.5*$B$8),Table14[[#This Row],[USD_Spend]]&lt;($B$6-1.5*$B$8)),"Outlier","Normal")</f>
        <v>Normal</v>
      </c>
      <c r="D508" s="1">
        <v>962631</v>
      </c>
      <c r="E508" s="1">
        <v>13289</v>
      </c>
      <c r="F508" s="15">
        <v>197389.63</v>
      </c>
      <c r="G508" s="15" t="str">
        <f>IF(OR(Table14[[#This Row],[Sales]]&gt;($B$5+1.5*$B$9),Table14[[#This Row],[Sales]]&lt;($B$7-1.5*$B$9)),"Outlier","Normal")</f>
        <v>Normal</v>
      </c>
      <c r="H508" s="22"/>
      <c r="I508" s="22">
        <f>Table1[[#This Row],[Sales]]/Table1[[#This Row],[USD_Spend]]</f>
        <v>4.0688473249676811</v>
      </c>
    </row>
    <row r="509" spans="1:9" x14ac:dyDescent="0.35">
      <c r="A509" s="3" t="s">
        <v>104</v>
      </c>
      <c r="B509" s="15">
        <v>23765.16</v>
      </c>
      <c r="C509" s="1" t="str">
        <f>IF(OR(Table14[[#This Row],[USD_Spend]]&gt;($B$4+1.5*$B$8),Table14[[#This Row],[USD_Spend]]&lt;($B$6-1.5*$B$8)),"Outlier","Normal")</f>
        <v>Normal</v>
      </c>
      <c r="D509" s="1">
        <v>238808</v>
      </c>
      <c r="E509" s="1">
        <v>30685</v>
      </c>
      <c r="F509" s="15">
        <v>79025.55</v>
      </c>
      <c r="G509" s="15" t="str">
        <f>IF(OR(Table14[[#This Row],[Sales]]&gt;($B$5+1.5*$B$9),Table14[[#This Row],[Sales]]&lt;($B$7-1.5*$B$9)),"Outlier","Normal")</f>
        <v>Normal</v>
      </c>
      <c r="H509" s="22"/>
      <c r="I509" s="22">
        <f>Table1[[#This Row],[Sales]]/Table1[[#This Row],[USD_Spend]]</f>
        <v>14.260517305381617</v>
      </c>
    </row>
    <row r="510" spans="1:9" x14ac:dyDescent="0.35">
      <c r="A510" s="3" t="s">
        <v>91</v>
      </c>
      <c r="B510" s="15">
        <v>33527.279999999999</v>
      </c>
      <c r="C510" s="1" t="str">
        <f>IF(OR(Table14[[#This Row],[USD_Spend]]&gt;($B$4+1.5*$B$8),Table14[[#This Row],[USD_Spend]]&lt;($B$6-1.5*$B$8)),"Outlier","Normal")</f>
        <v>Normal</v>
      </c>
      <c r="D510" s="1">
        <v>282735</v>
      </c>
      <c r="E510" s="1">
        <v>10752</v>
      </c>
      <c r="F510" s="15">
        <v>240274.73</v>
      </c>
      <c r="G510" s="15" t="str">
        <f>IF(OR(Table14[[#This Row],[Sales]]&gt;($B$5+1.5*$B$9),Table14[[#This Row],[Sales]]&lt;($B$7-1.5*$B$9)),"Outlier","Normal")</f>
        <v>Normal</v>
      </c>
      <c r="H510" s="22"/>
      <c r="I510" s="22">
        <f>Table1[[#This Row],[Sales]]/Table1[[#This Row],[USD_Spend]]</f>
        <v>11.70136166207743</v>
      </c>
    </row>
    <row r="511" spans="1:9" x14ac:dyDescent="0.35">
      <c r="A511" s="3" t="s">
        <v>67</v>
      </c>
      <c r="B511" s="15">
        <v>19785.2</v>
      </c>
      <c r="C511" s="1" t="str">
        <f>IF(OR(Table14[[#This Row],[USD_Spend]]&gt;($B$4+1.5*$B$8),Table14[[#This Row],[USD_Spend]]&lt;($B$6-1.5*$B$8)),"Outlier","Normal")</f>
        <v>Normal</v>
      </c>
      <c r="D511" s="1">
        <v>740494</v>
      </c>
      <c r="E511" s="1">
        <v>6522</v>
      </c>
      <c r="F511" s="15">
        <v>115848.14</v>
      </c>
      <c r="G511" s="15" t="str">
        <f>IF(OR(Table14[[#This Row],[Sales]]&gt;($B$5+1.5*$B$9),Table14[[#This Row],[Sales]]&lt;($B$7-1.5*$B$9)),"Outlier","Normal")</f>
        <v>Normal</v>
      </c>
      <c r="H511" s="22"/>
      <c r="I511" s="22">
        <f>Table1[[#This Row],[Sales]]/Table1[[#This Row],[USD_Spend]]</f>
        <v>22.453061627315893</v>
      </c>
    </row>
    <row r="512" spans="1:9" x14ac:dyDescent="0.35">
      <c r="A512" s="3" t="s">
        <v>81</v>
      </c>
      <c r="B512" s="15">
        <v>12412.53</v>
      </c>
      <c r="C512" s="1" t="str">
        <f>IF(OR(Table14[[#This Row],[USD_Spend]]&gt;($B$4+1.5*$B$8),Table14[[#This Row],[USD_Spend]]&lt;($B$6-1.5*$B$8)),"Outlier","Normal")</f>
        <v>Normal</v>
      </c>
      <c r="D512" s="1">
        <v>964293</v>
      </c>
      <c r="E512" s="1">
        <v>5593</v>
      </c>
      <c r="F512" s="15">
        <v>74400.33</v>
      </c>
      <c r="G512" s="15" t="str">
        <f>IF(OR(Table14[[#This Row],[Sales]]&gt;($B$5+1.5*$B$9),Table14[[#This Row],[Sales]]&lt;($B$7-1.5*$B$9)),"Outlier","Normal")</f>
        <v>Normal</v>
      </c>
      <c r="H512" s="22"/>
      <c r="I512" s="22">
        <f>Table1[[#This Row],[Sales]]/Table1[[#This Row],[USD_Spend]]</f>
        <v>7.5911682679005246</v>
      </c>
    </row>
    <row r="513" spans="1:9" x14ac:dyDescent="0.35">
      <c r="A513" s="3" t="s">
        <v>106</v>
      </c>
      <c r="B513" s="15">
        <v>13570.93</v>
      </c>
      <c r="C513" s="1" t="str">
        <f>IF(OR(Table14[[#This Row],[USD_Spend]]&gt;($B$4+1.5*$B$8),Table14[[#This Row],[USD_Spend]]&lt;($B$6-1.5*$B$8)),"Outlier","Normal")</f>
        <v>Normal</v>
      </c>
      <c r="D513" s="1">
        <v>613080</v>
      </c>
      <c r="E513" s="1">
        <v>40944</v>
      </c>
      <c r="F513" s="15">
        <v>91694.07</v>
      </c>
      <c r="G513" s="15" t="str">
        <f>IF(OR(Table14[[#This Row],[Sales]]&gt;($B$5+1.5*$B$9),Table14[[#This Row],[Sales]]&lt;($B$7-1.5*$B$9)),"Outlier","Normal")</f>
        <v>Normal</v>
      </c>
      <c r="H513" s="22"/>
      <c r="I513" s="22">
        <f>Table1[[#This Row],[Sales]]/Table1[[#This Row],[USD_Spend]]</f>
        <v>4.471453383257324</v>
      </c>
    </row>
    <row r="514" spans="1:9" x14ac:dyDescent="0.35">
      <c r="A514" s="3" t="s">
        <v>97</v>
      </c>
      <c r="B514" s="15">
        <v>50832.47</v>
      </c>
      <c r="C514" s="1" t="str">
        <f>IF(OR(Table14[[#This Row],[USD_Spend]]&gt;($B$4+1.5*$B$8),Table14[[#This Row],[USD_Spend]]&lt;($B$6-1.5*$B$8)),"Outlier","Normal")</f>
        <v>Normal</v>
      </c>
      <c r="D514" s="1">
        <v>959173</v>
      </c>
      <c r="E514" s="1">
        <v>6683</v>
      </c>
      <c r="F514" s="15">
        <v>184898.05</v>
      </c>
      <c r="G514" s="15" t="str">
        <f>IF(OR(Table14[[#This Row],[Sales]]&gt;($B$5+1.5*$B$9),Table14[[#This Row],[Sales]]&lt;($B$7-1.5*$B$9)),"Outlier","Normal")</f>
        <v>Normal</v>
      </c>
      <c r="H514" s="22"/>
      <c r="I514" s="22">
        <f>Table1[[#This Row],[Sales]]/Table1[[#This Row],[USD_Spend]]</f>
        <v>7.3548181616674091</v>
      </c>
    </row>
    <row r="515" spans="1:9" x14ac:dyDescent="0.35">
      <c r="A515" s="3" t="s">
        <v>47</v>
      </c>
      <c r="B515" s="15">
        <v>6940.56</v>
      </c>
      <c r="C515" s="1" t="str">
        <f>IF(OR(Table14[[#This Row],[USD_Spend]]&gt;($B$4+1.5*$B$8),Table14[[#This Row],[USD_Spend]]&lt;($B$6-1.5*$B$8)),"Outlier","Normal")</f>
        <v>Normal</v>
      </c>
      <c r="D515" s="1">
        <v>579128</v>
      </c>
      <c r="E515" s="1">
        <v>28665</v>
      </c>
      <c r="F515" s="15">
        <v>98483.01</v>
      </c>
      <c r="G515" s="15" t="str">
        <f>IF(OR(Table14[[#This Row],[Sales]]&gt;($B$5+1.5*$B$9),Table14[[#This Row],[Sales]]&lt;($B$7-1.5*$B$9)),"Outlier","Normal")</f>
        <v>Normal</v>
      </c>
      <c r="H515" s="22"/>
      <c r="I515" s="22">
        <f>Table1[[#This Row],[Sales]]/Table1[[#This Row],[USD_Spend]]</f>
        <v>0.92789611315820753</v>
      </c>
    </row>
    <row r="516" spans="1:9" x14ac:dyDescent="0.35">
      <c r="A516" s="3" t="s">
        <v>34</v>
      </c>
      <c r="B516" s="15">
        <v>2363</v>
      </c>
      <c r="C516" s="1" t="str">
        <f>IF(OR(Table14[[#This Row],[USD_Spend]]&gt;($B$4+1.5*$B$8),Table14[[#This Row],[USD_Spend]]&lt;($B$6-1.5*$B$8)),"Outlier","Normal")</f>
        <v>Normal</v>
      </c>
      <c r="D516" s="1">
        <v>934065</v>
      </c>
      <c r="E516" s="1">
        <v>5144</v>
      </c>
      <c r="F516" s="15">
        <v>46827.65</v>
      </c>
      <c r="G516" s="15" t="str">
        <f>IF(OR(Table14[[#This Row],[Sales]]&gt;($B$5+1.5*$B$9),Table14[[#This Row],[Sales]]&lt;($B$7-1.5*$B$9)),"Outlier","Normal")</f>
        <v>Normal</v>
      </c>
      <c r="H516" s="22"/>
      <c r="I516" s="22">
        <f>Table1[[#This Row],[Sales]]/Table1[[#This Row],[USD_Spend]]</f>
        <v>4.7400656155385219</v>
      </c>
    </row>
    <row r="517" spans="1:9" x14ac:dyDescent="0.35">
      <c r="A517" s="3" t="s">
        <v>66</v>
      </c>
      <c r="B517" s="15">
        <v>3052.16</v>
      </c>
      <c r="C517" s="1" t="str">
        <f>IF(OR(Table14[[#This Row],[USD_Spend]]&gt;($B$4+1.5*$B$8),Table14[[#This Row],[USD_Spend]]&lt;($B$6-1.5*$B$8)),"Outlier","Normal")</f>
        <v>Normal</v>
      </c>
      <c r="D517" s="1">
        <v>235636</v>
      </c>
      <c r="E517" s="1">
        <v>43154</v>
      </c>
      <c r="F517" s="15">
        <v>96056.77</v>
      </c>
      <c r="G517" s="15" t="str">
        <f>IF(OR(Table14[[#This Row],[Sales]]&gt;($B$5+1.5*$B$9),Table14[[#This Row],[Sales]]&lt;($B$7-1.5*$B$9)),"Outlier","Normal")</f>
        <v>Normal</v>
      </c>
      <c r="H517" s="22"/>
      <c r="I517" s="22">
        <f>Table1[[#This Row],[Sales]]/Table1[[#This Row],[USD_Spend]]</f>
        <v>2.6157730106970245</v>
      </c>
    </row>
    <row r="518" spans="1:9" x14ac:dyDescent="0.35">
      <c r="A518" s="3" t="s">
        <v>82</v>
      </c>
      <c r="B518" s="15">
        <v>7944.39</v>
      </c>
      <c r="C518" s="1" t="str">
        <f>IF(OR(Table14[[#This Row],[USD_Spend]]&gt;($B$4+1.5*$B$8),Table14[[#This Row],[USD_Spend]]&lt;($B$6-1.5*$B$8)),"Outlier","Normal")</f>
        <v>Normal</v>
      </c>
      <c r="D518" s="1">
        <v>360520</v>
      </c>
      <c r="E518" s="1">
        <v>20046</v>
      </c>
      <c r="F518" s="15">
        <v>32324.51</v>
      </c>
      <c r="G518" s="15" t="str">
        <f>IF(OR(Table14[[#This Row],[Sales]]&gt;($B$5+1.5*$B$9),Table14[[#This Row],[Sales]]&lt;($B$7-1.5*$B$9)),"Outlier","Normal")</f>
        <v>Normal</v>
      </c>
      <c r="H518" s="22"/>
      <c r="I518" s="22">
        <f>Table1[[#This Row],[Sales]]/Table1[[#This Row],[USD_Spend]]</f>
        <v>28.19546480136437</v>
      </c>
    </row>
    <row r="519" spans="1:9" x14ac:dyDescent="0.35">
      <c r="A519" s="3" t="s">
        <v>67</v>
      </c>
      <c r="B519" s="15">
        <v>16378.72</v>
      </c>
      <c r="C519" s="1" t="str">
        <f>IF(OR(Table14[[#This Row],[USD_Spend]]&gt;($B$4+1.5*$B$8),Table14[[#This Row],[USD_Spend]]&lt;($B$6-1.5*$B$8)),"Outlier","Normal")</f>
        <v>Normal</v>
      </c>
      <c r="D519" s="1">
        <v>43697</v>
      </c>
      <c r="E519" s="1">
        <v>31110</v>
      </c>
      <c r="F519" s="15">
        <v>233569.02</v>
      </c>
      <c r="G519" s="15" t="str">
        <f>IF(OR(Table14[[#This Row],[Sales]]&gt;($B$5+1.5*$B$9),Table14[[#This Row],[Sales]]&lt;($B$7-1.5*$B$9)),"Outlier","Normal")</f>
        <v>Normal</v>
      </c>
      <c r="H519" s="22"/>
      <c r="I519" s="22">
        <f>Table1[[#This Row],[Sales]]/Table1[[#This Row],[USD_Spend]]</f>
        <v>111.77093643812691</v>
      </c>
    </row>
    <row r="520" spans="1:9" x14ac:dyDescent="0.35">
      <c r="A520" s="3" t="s">
        <v>112</v>
      </c>
      <c r="B520" s="15">
        <v>14428.69</v>
      </c>
      <c r="C520" s="1" t="str">
        <f>IF(OR(Table14[[#This Row],[USD_Spend]]&gt;($B$4+1.5*$B$8),Table14[[#This Row],[USD_Spend]]&lt;($B$6-1.5*$B$8)),"Outlier","Normal")</f>
        <v>Normal</v>
      </c>
      <c r="D520" s="1">
        <v>301979</v>
      </c>
      <c r="E520" s="1">
        <v>48048</v>
      </c>
      <c r="F520" s="15">
        <v>168835.32</v>
      </c>
      <c r="G520" s="15" t="str">
        <f>IF(OR(Table14[[#This Row],[Sales]]&gt;($B$5+1.5*$B$9),Table14[[#This Row],[Sales]]&lt;($B$7-1.5*$B$9)),"Outlier","Normal")</f>
        <v>Normal</v>
      </c>
      <c r="H520" s="22"/>
      <c r="I520" s="22">
        <f>Table1[[#This Row],[Sales]]/Table1[[#This Row],[USD_Spend]]</f>
        <v>9.076511946771646</v>
      </c>
    </row>
    <row r="521" spans="1:9" x14ac:dyDescent="0.35">
      <c r="A521" s="3" t="s">
        <v>64</v>
      </c>
      <c r="B521" s="15">
        <v>7396.72</v>
      </c>
      <c r="C521" s="1" t="str">
        <f>IF(OR(Table14[[#This Row],[USD_Spend]]&gt;($B$4+1.5*$B$8),Table14[[#This Row],[USD_Spend]]&lt;($B$6-1.5*$B$8)),"Outlier","Normal")</f>
        <v>Normal</v>
      </c>
      <c r="D521" s="1">
        <v>868311</v>
      </c>
      <c r="E521" s="1">
        <v>48898</v>
      </c>
      <c r="F521" s="15">
        <v>166079.01</v>
      </c>
      <c r="G521" s="15" t="str">
        <f>IF(OR(Table14[[#This Row],[Sales]]&gt;($B$5+1.5*$B$9),Table14[[#This Row],[Sales]]&lt;($B$7-1.5*$B$9)),"Outlier","Normal")</f>
        <v>Normal</v>
      </c>
      <c r="H521" s="22"/>
      <c r="I521" s="22">
        <f>Table1[[#This Row],[Sales]]/Table1[[#This Row],[USD_Spend]]</f>
        <v>24.231672691903317</v>
      </c>
    </row>
    <row r="522" spans="1:9" x14ac:dyDescent="0.35">
      <c r="A522" s="3" t="s">
        <v>66</v>
      </c>
      <c r="B522" s="15">
        <v>21359.57</v>
      </c>
      <c r="C522" s="1" t="str">
        <f>IF(OR(Table14[[#This Row],[USD_Spend]]&gt;($B$4+1.5*$B$8),Table14[[#This Row],[USD_Spend]]&lt;($B$6-1.5*$B$8)),"Outlier","Normal")</f>
        <v>Normal</v>
      </c>
      <c r="D522" s="1">
        <v>705951</v>
      </c>
      <c r="E522" s="1">
        <v>44421</v>
      </c>
      <c r="F522" s="15">
        <v>162144.09</v>
      </c>
      <c r="G522" s="15" t="str">
        <f>IF(OR(Table14[[#This Row],[Sales]]&gt;($B$5+1.5*$B$9),Table14[[#This Row],[Sales]]&lt;($B$7-1.5*$B$9)),"Outlier","Normal")</f>
        <v>Normal</v>
      </c>
      <c r="H522" s="22"/>
      <c r="I522" s="22">
        <f>Table1[[#This Row],[Sales]]/Table1[[#This Row],[USD_Spend]]</f>
        <v>13.116024628287095</v>
      </c>
    </row>
    <row r="523" spans="1:9" x14ac:dyDescent="0.35">
      <c r="A523" s="3" t="s">
        <v>114</v>
      </c>
      <c r="B523" s="15">
        <v>20802.29</v>
      </c>
      <c r="C523" s="1" t="str">
        <f>IF(OR(Table14[[#This Row],[USD_Spend]]&gt;($B$4+1.5*$B$8),Table14[[#This Row],[USD_Spend]]&lt;($B$6-1.5*$B$8)),"Outlier","Normal")</f>
        <v>Normal</v>
      </c>
      <c r="D523" s="1">
        <v>955169</v>
      </c>
      <c r="E523" s="1">
        <v>32224</v>
      </c>
      <c r="F523" s="15">
        <v>93016.47</v>
      </c>
      <c r="G523" s="15" t="str">
        <f>IF(OR(Table14[[#This Row],[Sales]]&gt;($B$5+1.5*$B$9),Table14[[#This Row],[Sales]]&lt;($B$7-1.5*$B$9)),"Outlier","Normal")</f>
        <v>Normal</v>
      </c>
      <c r="H523" s="22"/>
      <c r="I523" s="22">
        <f>Table1[[#This Row],[Sales]]/Table1[[#This Row],[USD_Spend]]</f>
        <v>10.078638212875141</v>
      </c>
    </row>
    <row r="524" spans="1:9" x14ac:dyDescent="0.35">
      <c r="A524" s="3" t="s">
        <v>66</v>
      </c>
      <c r="B524" s="15">
        <v>8932.66</v>
      </c>
      <c r="C524" s="1" t="str">
        <f>IF(OR(Table14[[#This Row],[USD_Spend]]&gt;($B$4+1.5*$B$8),Table14[[#This Row],[USD_Spend]]&lt;($B$6-1.5*$B$8)),"Outlier","Normal")</f>
        <v>Normal</v>
      </c>
      <c r="D524" s="1">
        <v>807861</v>
      </c>
      <c r="E524" s="1">
        <v>28211</v>
      </c>
      <c r="F524" s="15">
        <v>65698.09</v>
      </c>
      <c r="G524" s="15" t="str">
        <f>IF(OR(Table14[[#This Row],[Sales]]&gt;($B$5+1.5*$B$9),Table14[[#This Row],[Sales]]&lt;($B$7-1.5*$B$9)),"Outlier","Normal")</f>
        <v>Normal</v>
      </c>
      <c r="H524" s="22"/>
      <c r="I524" s="22">
        <f>Table1[[#This Row],[Sales]]/Table1[[#This Row],[USD_Spend]]</f>
        <v>39.742040325934596</v>
      </c>
    </row>
    <row r="525" spans="1:9" x14ac:dyDescent="0.35">
      <c r="A525" s="3" t="s">
        <v>87</v>
      </c>
      <c r="B525" s="15">
        <v>16826</v>
      </c>
      <c r="C525" s="1" t="str">
        <f>IF(OR(Table14[[#This Row],[USD_Spend]]&gt;($B$4+1.5*$B$8),Table14[[#This Row],[USD_Spend]]&lt;($B$6-1.5*$B$8)),"Outlier","Normal")</f>
        <v>Normal</v>
      </c>
      <c r="D525" s="1">
        <v>805248</v>
      </c>
      <c r="E525" s="1">
        <v>29797</v>
      </c>
      <c r="F525" s="15">
        <v>15612.78</v>
      </c>
      <c r="G525" s="15" t="str">
        <f>IF(OR(Table14[[#This Row],[Sales]]&gt;($B$5+1.5*$B$9),Table14[[#This Row],[Sales]]&lt;($B$7-1.5*$B$9)),"Outlier","Normal")</f>
        <v>Normal</v>
      </c>
      <c r="H525" s="22"/>
      <c r="I525" s="22">
        <f>Table1[[#This Row],[Sales]]/Table1[[#This Row],[USD_Spend]]</f>
        <v>1.9423083843256177</v>
      </c>
    </row>
    <row r="526" spans="1:9" x14ac:dyDescent="0.35">
      <c r="A526" s="3" t="s">
        <v>27</v>
      </c>
      <c r="B526" s="15">
        <v>42828.27</v>
      </c>
      <c r="C526" s="1" t="str">
        <f>IF(OR(Table14[[#This Row],[USD_Spend]]&gt;($B$4+1.5*$B$8),Table14[[#This Row],[USD_Spend]]&lt;($B$6-1.5*$B$8)),"Outlier","Normal")</f>
        <v>Normal</v>
      </c>
      <c r="D526" s="1">
        <v>293201</v>
      </c>
      <c r="E526" s="1">
        <v>40464</v>
      </c>
      <c r="F526" s="15">
        <v>203008.81</v>
      </c>
      <c r="G526" s="15" t="str">
        <f>IF(OR(Table14[[#This Row],[Sales]]&gt;($B$5+1.5*$B$9),Table14[[#This Row],[Sales]]&lt;($B$7-1.5*$B$9)),"Outlier","Normal")</f>
        <v>Normal</v>
      </c>
      <c r="H526" s="22"/>
      <c r="I526" s="22">
        <f>Table1[[#This Row],[Sales]]/Table1[[#This Row],[USD_Spend]]</f>
        <v>3.1126685053582173</v>
      </c>
    </row>
    <row r="527" spans="1:9" x14ac:dyDescent="0.35">
      <c r="A527" s="3" t="s">
        <v>91</v>
      </c>
      <c r="B527" s="15">
        <v>30096.22</v>
      </c>
      <c r="C527" s="1" t="str">
        <f>IF(OR(Table14[[#This Row],[USD_Spend]]&gt;($B$4+1.5*$B$8),Table14[[#This Row],[USD_Spend]]&lt;($B$6-1.5*$B$8)),"Outlier","Normal")</f>
        <v>Normal</v>
      </c>
      <c r="D527" s="1">
        <v>210188</v>
      </c>
      <c r="E527" s="1">
        <v>5742</v>
      </c>
      <c r="F527" s="15">
        <v>78724.88</v>
      </c>
      <c r="G527" s="15" t="str">
        <f>IF(OR(Table14[[#This Row],[Sales]]&gt;($B$5+1.5*$B$9),Table14[[#This Row],[Sales]]&lt;($B$7-1.5*$B$9)),"Outlier","Normal")</f>
        <v>Normal</v>
      </c>
      <c r="H527" s="22"/>
      <c r="I527" s="22">
        <f>Table1[[#This Row],[Sales]]/Table1[[#This Row],[USD_Spend]]</f>
        <v>7.1512710338759558</v>
      </c>
    </row>
    <row r="528" spans="1:9" x14ac:dyDescent="0.35">
      <c r="A528" s="3" t="s">
        <v>71</v>
      </c>
      <c r="B528" s="15">
        <v>5664.14</v>
      </c>
      <c r="C528" s="1" t="str">
        <f>IF(OR(Table14[[#This Row],[USD_Spend]]&gt;($B$4+1.5*$B$8),Table14[[#This Row],[USD_Spend]]&lt;($B$6-1.5*$B$8)),"Outlier","Normal")</f>
        <v>Normal</v>
      </c>
      <c r="D528" s="1">
        <v>538751</v>
      </c>
      <c r="E528" s="1">
        <v>7857</v>
      </c>
      <c r="F528" s="15">
        <v>159703.06</v>
      </c>
      <c r="G528" s="15" t="str">
        <f>IF(OR(Table14[[#This Row],[Sales]]&gt;($B$5+1.5*$B$9),Table14[[#This Row],[Sales]]&lt;($B$7-1.5*$B$9)),"Outlier","Normal")</f>
        <v>Normal</v>
      </c>
      <c r="H528" s="22"/>
      <c r="I528" s="22">
        <f>Table1[[#This Row],[Sales]]/Table1[[#This Row],[USD_Spend]]</f>
        <v>38.367801144570237</v>
      </c>
    </row>
    <row r="529" spans="1:9" x14ac:dyDescent="0.35">
      <c r="A529" s="3" t="s">
        <v>79</v>
      </c>
      <c r="B529" s="15">
        <v>1959.98</v>
      </c>
      <c r="C529" s="1" t="str">
        <f>IF(OR(Table14[[#This Row],[USD_Spend]]&gt;($B$4+1.5*$B$8),Table14[[#This Row],[USD_Spend]]&lt;($B$6-1.5*$B$8)),"Outlier","Normal")</f>
        <v>Normal</v>
      </c>
      <c r="D529" s="1">
        <v>155699</v>
      </c>
      <c r="E529" s="1">
        <v>37947</v>
      </c>
      <c r="F529" s="15">
        <v>219068.79999999999</v>
      </c>
      <c r="G529" s="15" t="str">
        <f>IF(OR(Table14[[#This Row],[Sales]]&gt;($B$5+1.5*$B$9),Table14[[#This Row],[Sales]]&lt;($B$7-1.5*$B$9)),"Outlier","Normal")</f>
        <v>Normal</v>
      </c>
      <c r="H529" s="22"/>
      <c r="I529" s="22">
        <f>Table1[[#This Row],[Sales]]/Table1[[#This Row],[USD_Spend]]</f>
        <v>26.541862471790786</v>
      </c>
    </row>
    <row r="530" spans="1:9" x14ac:dyDescent="0.35">
      <c r="A530" s="3" t="s">
        <v>84</v>
      </c>
      <c r="B530" s="15">
        <v>7869.49</v>
      </c>
      <c r="C530" s="1" t="str">
        <f>IF(OR(Table14[[#This Row],[USD_Spend]]&gt;($B$4+1.5*$B$8),Table14[[#This Row],[USD_Spend]]&lt;($B$6-1.5*$B$8)),"Outlier","Normal")</f>
        <v>Normal</v>
      </c>
      <c r="D530" s="1">
        <v>221883</v>
      </c>
      <c r="E530" s="1">
        <v>35396</v>
      </c>
      <c r="F530" s="15">
        <v>71427.520000000004</v>
      </c>
      <c r="G530" s="15" t="str">
        <f>IF(OR(Table14[[#This Row],[Sales]]&gt;($B$5+1.5*$B$9),Table14[[#This Row],[Sales]]&lt;($B$7-1.5*$B$9)),"Outlier","Normal")</f>
        <v>Normal</v>
      </c>
      <c r="H530" s="22"/>
      <c r="I530" s="22">
        <f>Table1[[#This Row],[Sales]]/Table1[[#This Row],[USD_Spend]]</f>
        <v>100.41189266259644</v>
      </c>
    </row>
    <row r="531" spans="1:9" x14ac:dyDescent="0.35">
      <c r="A531" s="3" t="s">
        <v>79</v>
      </c>
      <c r="B531" s="15">
        <v>5335.89</v>
      </c>
      <c r="C531" s="1" t="str">
        <f>IF(OR(Table14[[#This Row],[USD_Spend]]&gt;($B$4+1.5*$B$8),Table14[[#This Row],[USD_Spend]]&lt;($B$6-1.5*$B$8)),"Outlier","Normal")</f>
        <v>Normal</v>
      </c>
      <c r="D531" s="1">
        <v>68900</v>
      </c>
      <c r="E531" s="1">
        <v>23164</v>
      </c>
      <c r="F531" s="15">
        <v>129297.54</v>
      </c>
      <c r="G531" s="15" t="str">
        <f>IF(OR(Table14[[#This Row],[Sales]]&gt;($B$5+1.5*$B$9),Table14[[#This Row],[Sales]]&lt;($B$7-1.5*$B$9)),"Outlier","Normal")</f>
        <v>Normal</v>
      </c>
      <c r="H531" s="22"/>
      <c r="I531" s="22">
        <f>Table1[[#This Row],[Sales]]/Table1[[#This Row],[USD_Spend]]</f>
        <v>2.0556441411730564</v>
      </c>
    </row>
    <row r="532" spans="1:9" x14ac:dyDescent="0.35">
      <c r="A532" s="3" t="s">
        <v>66</v>
      </c>
      <c r="B532" s="15">
        <v>1354.54</v>
      </c>
      <c r="C532" s="1" t="str">
        <f>IF(OR(Table14[[#This Row],[USD_Spend]]&gt;($B$4+1.5*$B$8),Table14[[#This Row],[USD_Spend]]&lt;($B$6-1.5*$B$8)),"Outlier","Normal")</f>
        <v>Normal</v>
      </c>
      <c r="D532" s="1">
        <v>83384</v>
      </c>
      <c r="E532" s="1">
        <v>12713</v>
      </c>
      <c r="F532" s="15">
        <v>17766.18</v>
      </c>
      <c r="G532" s="15" t="str">
        <f>IF(OR(Table14[[#This Row],[Sales]]&gt;($B$5+1.5*$B$9),Table14[[#This Row],[Sales]]&lt;($B$7-1.5*$B$9)),"Outlier","Normal")</f>
        <v>Normal</v>
      </c>
      <c r="H532" s="22"/>
      <c r="I532" s="22">
        <f>Table1[[#This Row],[Sales]]/Table1[[#This Row],[USD_Spend]]</f>
        <v>945.98077037212875</v>
      </c>
    </row>
    <row r="533" spans="1:9" x14ac:dyDescent="0.35">
      <c r="A533" s="3" t="s">
        <v>79</v>
      </c>
      <c r="B533" s="15">
        <v>13477.29</v>
      </c>
      <c r="C533" s="1" t="str">
        <f>IF(OR(Table14[[#This Row],[USD_Spend]]&gt;($B$4+1.5*$B$8),Table14[[#This Row],[USD_Spend]]&lt;($B$6-1.5*$B$8)),"Outlier","Normal")</f>
        <v>Normal</v>
      </c>
      <c r="D533" s="1">
        <v>480735</v>
      </c>
      <c r="E533" s="1">
        <v>15435</v>
      </c>
      <c r="F533" s="15">
        <v>135832.73000000001</v>
      </c>
      <c r="G533" s="15" t="str">
        <f>IF(OR(Table14[[#This Row],[Sales]]&gt;($B$5+1.5*$B$9),Table14[[#This Row],[Sales]]&lt;($B$7-1.5*$B$9)),"Outlier","Normal")</f>
        <v>Normal</v>
      </c>
      <c r="H533" s="22"/>
      <c r="I533" s="22">
        <f>Table1[[#This Row],[Sales]]/Table1[[#This Row],[USD_Spend]]</f>
        <v>13.457609325400689</v>
      </c>
    </row>
    <row r="534" spans="1:9" x14ac:dyDescent="0.35">
      <c r="A534" s="3" t="s">
        <v>42</v>
      </c>
      <c r="B534" s="15">
        <v>1298.42</v>
      </c>
      <c r="C534" s="1" t="str">
        <f>IF(OR(Table14[[#This Row],[USD_Spend]]&gt;($B$4+1.5*$B$8),Table14[[#This Row],[USD_Spend]]&lt;($B$6-1.5*$B$8)),"Outlier","Normal")</f>
        <v>Normal</v>
      </c>
      <c r="D534" s="1">
        <v>534344</v>
      </c>
      <c r="E534" s="1">
        <v>10197</v>
      </c>
      <c r="F534" s="15">
        <v>51601.86</v>
      </c>
      <c r="G534" s="15" t="str">
        <f>IF(OR(Table14[[#This Row],[Sales]]&gt;($B$5+1.5*$B$9),Table14[[#This Row],[Sales]]&lt;($B$7-1.5*$B$9)),"Outlier","Normal")</f>
        <v>Normal</v>
      </c>
      <c r="H534" s="22"/>
      <c r="I534" s="22">
        <f>Table1[[#This Row],[Sales]]/Table1[[#This Row],[USD_Spend]]</f>
        <v>2.4171861064716471</v>
      </c>
    </row>
    <row r="535" spans="1:9" x14ac:dyDescent="0.35">
      <c r="A535" s="3" t="s">
        <v>108</v>
      </c>
      <c r="B535" s="15">
        <v>48909.36</v>
      </c>
      <c r="C535" s="1" t="str">
        <f>IF(OR(Table14[[#This Row],[USD_Spend]]&gt;($B$4+1.5*$B$8),Table14[[#This Row],[USD_Spend]]&lt;($B$6-1.5*$B$8)),"Outlier","Normal")</f>
        <v>Normal</v>
      </c>
      <c r="D535" s="1">
        <v>114180</v>
      </c>
      <c r="E535" s="1">
        <v>45036</v>
      </c>
      <c r="F535" s="15">
        <v>94997.06</v>
      </c>
      <c r="G535" s="15" t="str">
        <f>IF(OR(Table14[[#This Row],[Sales]]&gt;($B$5+1.5*$B$9),Table14[[#This Row],[Sales]]&lt;($B$7-1.5*$B$9)),"Outlier","Normal")</f>
        <v>Normal</v>
      </c>
      <c r="H535" s="22"/>
      <c r="I535" s="22">
        <f>Table1[[#This Row],[Sales]]/Table1[[#This Row],[USD_Spend]]</f>
        <v>17.259724805300479</v>
      </c>
    </row>
    <row r="536" spans="1:9" x14ac:dyDescent="0.35">
      <c r="A536" s="3" t="s">
        <v>105</v>
      </c>
      <c r="B536" s="15">
        <v>10072.379999999999</v>
      </c>
      <c r="C536" s="1" t="str">
        <f>IF(OR(Table14[[#This Row],[USD_Spend]]&gt;($B$4+1.5*$B$8),Table14[[#This Row],[USD_Spend]]&lt;($B$6-1.5*$B$8)),"Outlier","Normal")</f>
        <v>Normal</v>
      </c>
      <c r="D536" s="1">
        <v>344232</v>
      </c>
      <c r="E536" s="1">
        <v>40923</v>
      </c>
      <c r="F536" s="15">
        <v>31351.98</v>
      </c>
      <c r="G536" s="15" t="str">
        <f>IF(OR(Table14[[#This Row],[Sales]]&gt;($B$5+1.5*$B$9),Table14[[#This Row],[Sales]]&lt;($B$7-1.5*$B$9)),"Outlier","Normal")</f>
        <v>Normal</v>
      </c>
      <c r="H536" s="22"/>
      <c r="I536" s="22">
        <f>Table1[[#This Row],[Sales]]/Table1[[#This Row],[USD_Spend]]</f>
        <v>2.8082228714531983</v>
      </c>
    </row>
    <row r="537" spans="1:9" x14ac:dyDescent="0.35">
      <c r="A537" s="3" t="s">
        <v>18</v>
      </c>
      <c r="B537" s="15">
        <v>33550.639999999999</v>
      </c>
      <c r="C537" s="1" t="str">
        <f>IF(OR(Table14[[#This Row],[USD_Spend]]&gt;($B$4+1.5*$B$8),Table14[[#This Row],[USD_Spend]]&lt;($B$6-1.5*$B$8)),"Outlier","Normal")</f>
        <v>Normal</v>
      </c>
      <c r="D537" s="1">
        <v>661303</v>
      </c>
      <c r="E537" s="1">
        <v>16079</v>
      </c>
      <c r="F537" s="15">
        <v>239929.72</v>
      </c>
      <c r="G537" s="15" t="str">
        <f>IF(OR(Table14[[#This Row],[Sales]]&gt;($B$5+1.5*$B$9),Table14[[#This Row],[Sales]]&lt;($B$7-1.5*$B$9)),"Outlier","Normal")</f>
        <v>Normal</v>
      </c>
      <c r="H537" s="22"/>
      <c r="I537" s="22">
        <f>Table1[[#This Row],[Sales]]/Table1[[#This Row],[USD_Spend]]</f>
        <v>4.8688475778808105</v>
      </c>
    </row>
    <row r="538" spans="1:9" x14ac:dyDescent="0.35">
      <c r="A538" s="3" t="s">
        <v>96</v>
      </c>
      <c r="B538" s="15">
        <v>2014.73</v>
      </c>
      <c r="C538" s="1" t="str">
        <f>IF(OR(Table14[[#This Row],[USD_Spend]]&gt;($B$4+1.5*$B$8),Table14[[#This Row],[USD_Spend]]&lt;($B$6-1.5*$B$8)),"Outlier","Normal")</f>
        <v>Normal</v>
      </c>
      <c r="D538" s="1">
        <v>267724</v>
      </c>
      <c r="E538" s="1">
        <v>42520</v>
      </c>
      <c r="F538" s="15">
        <v>77300.759999999995</v>
      </c>
      <c r="G538" s="15" t="str">
        <f>IF(OR(Table14[[#This Row],[Sales]]&gt;($B$5+1.5*$B$9),Table14[[#This Row],[Sales]]&lt;($B$7-1.5*$B$9)),"Outlier","Normal")</f>
        <v>Normal</v>
      </c>
      <c r="H538" s="22"/>
      <c r="I538" s="22">
        <f>Table1[[#This Row],[Sales]]/Table1[[#This Row],[USD_Spend]]</f>
        <v>3.2091690989910404</v>
      </c>
    </row>
    <row r="539" spans="1:9" x14ac:dyDescent="0.35">
      <c r="A539" s="3" t="s">
        <v>119</v>
      </c>
      <c r="B539" s="15">
        <v>4519.8</v>
      </c>
      <c r="C539" s="1" t="str">
        <f>IF(OR(Table14[[#This Row],[USD_Spend]]&gt;($B$4+1.5*$B$8),Table14[[#This Row],[USD_Spend]]&lt;($B$6-1.5*$B$8)),"Outlier","Normal")</f>
        <v>Normal</v>
      </c>
      <c r="D539" s="1">
        <v>771485</v>
      </c>
      <c r="E539" s="1">
        <v>12696</v>
      </c>
      <c r="F539" s="15">
        <v>119963.91</v>
      </c>
      <c r="G539" s="15" t="str">
        <f>IF(OR(Table14[[#This Row],[Sales]]&gt;($B$5+1.5*$B$9),Table14[[#This Row],[Sales]]&lt;($B$7-1.5*$B$9)),"Outlier","Normal")</f>
        <v>Normal</v>
      </c>
      <c r="H539" s="22"/>
      <c r="I539" s="22">
        <f>Table1[[#This Row],[Sales]]/Table1[[#This Row],[USD_Spend]]</f>
        <v>1.6424268836305755</v>
      </c>
    </row>
    <row r="540" spans="1:9" x14ac:dyDescent="0.35">
      <c r="A540" s="3" t="s">
        <v>104</v>
      </c>
      <c r="B540" s="15">
        <v>547.05999999999995</v>
      </c>
      <c r="C540" s="1" t="str">
        <f>IF(OR(Table14[[#This Row],[USD_Spend]]&gt;($B$4+1.5*$B$8),Table14[[#This Row],[USD_Spend]]&lt;($B$6-1.5*$B$8)),"Outlier","Normal")</f>
        <v>Normal</v>
      </c>
      <c r="D540" s="1">
        <v>574139</v>
      </c>
      <c r="E540" s="1">
        <v>13985</v>
      </c>
      <c r="F540" s="15">
        <v>54931.33</v>
      </c>
      <c r="G540" s="15" t="str">
        <f>IF(OR(Table14[[#This Row],[Sales]]&gt;($B$5+1.5*$B$9),Table14[[#This Row],[Sales]]&lt;($B$7-1.5*$B$9)),"Outlier","Normal")</f>
        <v>Normal</v>
      </c>
      <c r="H540" s="22"/>
      <c r="I540" s="22">
        <f>Table1[[#This Row],[Sales]]/Table1[[#This Row],[USD_Spend]]</f>
        <v>5.2992012203904864</v>
      </c>
    </row>
    <row r="541" spans="1:9" x14ac:dyDescent="0.35">
      <c r="A541" s="3" t="s">
        <v>50</v>
      </c>
      <c r="B541" s="15">
        <v>51274.94</v>
      </c>
      <c r="C541" s="1" t="str">
        <f>IF(OR(Table14[[#This Row],[USD_Spend]]&gt;($B$4+1.5*$B$8),Table14[[#This Row],[USD_Spend]]&lt;($B$6-1.5*$B$8)),"Outlier","Normal")</f>
        <v>Normal</v>
      </c>
      <c r="D541" s="1">
        <v>275356</v>
      </c>
      <c r="E541" s="1">
        <v>38561</v>
      </c>
      <c r="F541" s="15">
        <v>105403.03</v>
      </c>
      <c r="G541" s="15" t="str">
        <f>IF(OR(Table14[[#This Row],[Sales]]&gt;($B$5+1.5*$B$9),Table14[[#This Row],[Sales]]&lt;($B$7-1.5*$B$9)),"Outlier","Normal")</f>
        <v>Normal</v>
      </c>
      <c r="H541" s="22"/>
      <c r="I541" s="22">
        <f>Table1[[#This Row],[Sales]]/Table1[[#This Row],[USD_Spend]]</f>
        <v>5.2499036167440742</v>
      </c>
    </row>
    <row r="542" spans="1:9" x14ac:dyDescent="0.35">
      <c r="A542" s="3" t="s">
        <v>71</v>
      </c>
      <c r="B542" s="15">
        <v>168.49</v>
      </c>
      <c r="C542" s="1" t="str">
        <f>IF(OR(Table14[[#This Row],[USD_Spend]]&gt;($B$4+1.5*$B$8),Table14[[#This Row],[USD_Spend]]&lt;($B$6-1.5*$B$8)),"Outlier","Normal")</f>
        <v>Normal</v>
      </c>
      <c r="D542" s="1">
        <v>682758</v>
      </c>
      <c r="E542" s="1">
        <v>12141</v>
      </c>
      <c r="F542" s="15">
        <v>159388.29999999999</v>
      </c>
      <c r="G542" s="15" t="str">
        <f>IF(OR(Table14[[#This Row],[Sales]]&gt;($B$5+1.5*$B$9),Table14[[#This Row],[Sales]]&lt;($B$7-1.5*$B$9)),"Outlier","Normal")</f>
        <v>Normal</v>
      </c>
      <c r="H542" s="22"/>
      <c r="I542" s="22">
        <f>Table1[[#This Row],[Sales]]/Table1[[#This Row],[USD_Spend]]</f>
        <v>35.155011139744168</v>
      </c>
    </row>
    <row r="543" spans="1:9" x14ac:dyDescent="0.35">
      <c r="A543" s="3" t="s">
        <v>85</v>
      </c>
      <c r="B543" s="15">
        <v>16431.68</v>
      </c>
      <c r="C543" s="1" t="str">
        <f>IF(OR(Table14[[#This Row],[USD_Spend]]&gt;($B$4+1.5*$B$8),Table14[[#This Row],[USD_Spend]]&lt;($B$6-1.5*$B$8)),"Outlier","Normal")</f>
        <v>Normal</v>
      </c>
      <c r="D543" s="1">
        <v>16892</v>
      </c>
      <c r="E543" s="1">
        <v>16137</v>
      </c>
      <c r="F543" s="15">
        <v>221131.13</v>
      </c>
      <c r="G543" s="15" t="str">
        <f>IF(OR(Table14[[#This Row],[Sales]]&gt;($B$5+1.5*$B$9),Table14[[#This Row],[Sales]]&lt;($B$7-1.5*$B$9)),"Outlier","Normal")</f>
        <v>Normal</v>
      </c>
      <c r="H543" s="22"/>
      <c r="I543" s="22">
        <f>Table1[[#This Row],[Sales]]/Table1[[#This Row],[USD_Spend]]</f>
        <v>1.0705330066191234</v>
      </c>
    </row>
    <row r="544" spans="1:9" x14ac:dyDescent="0.35">
      <c r="A544" s="3" t="s">
        <v>72</v>
      </c>
      <c r="B544" s="15">
        <v>12333.8</v>
      </c>
      <c r="C544" s="1" t="str">
        <f>IF(OR(Table14[[#This Row],[USD_Spend]]&gt;($B$4+1.5*$B$8),Table14[[#This Row],[USD_Spend]]&lt;($B$6-1.5*$B$8)),"Outlier","Normal")</f>
        <v>Normal</v>
      </c>
      <c r="D544" s="1">
        <v>660338</v>
      </c>
      <c r="E544" s="1">
        <v>40681</v>
      </c>
      <c r="F544" s="15">
        <v>29813.09</v>
      </c>
      <c r="G544" s="15" t="str">
        <f>IF(OR(Table14[[#This Row],[Sales]]&gt;($B$5+1.5*$B$9),Table14[[#This Row],[Sales]]&lt;($B$7-1.5*$B$9)),"Outlier","Normal")</f>
        <v>Normal</v>
      </c>
      <c r="H544" s="22"/>
      <c r="I544" s="22">
        <f>Table1[[#This Row],[Sales]]/Table1[[#This Row],[USD_Spend]]</f>
        <v>6.9265918337053849</v>
      </c>
    </row>
    <row r="545" spans="1:9" x14ac:dyDescent="0.35">
      <c r="A545" s="3" t="s">
        <v>102</v>
      </c>
      <c r="B545" s="15">
        <v>6882.4</v>
      </c>
      <c r="C545" s="1" t="str">
        <f>IF(OR(Table14[[#This Row],[USD_Spend]]&gt;($B$4+1.5*$B$8),Table14[[#This Row],[USD_Spend]]&lt;($B$6-1.5*$B$8)),"Outlier","Normal")</f>
        <v>Normal</v>
      </c>
      <c r="D545" s="1">
        <v>445810</v>
      </c>
      <c r="E545" s="1">
        <v>31835</v>
      </c>
      <c r="F545" s="15">
        <v>118788.33</v>
      </c>
      <c r="G545" s="15" t="str">
        <f>IF(OR(Table14[[#This Row],[Sales]]&gt;($B$5+1.5*$B$9),Table14[[#This Row],[Sales]]&lt;($B$7-1.5*$B$9)),"Outlier","Normal")</f>
        <v>Normal</v>
      </c>
      <c r="H545" s="22"/>
      <c r="I545" s="22">
        <f>Table1[[#This Row],[Sales]]/Table1[[#This Row],[USD_Spend]]</f>
        <v>29.255072309177876</v>
      </c>
    </row>
    <row r="546" spans="1:9" x14ac:dyDescent="0.35">
      <c r="A546" s="3" t="s">
        <v>68</v>
      </c>
      <c r="B546" s="15">
        <v>21474.98</v>
      </c>
      <c r="C546" s="1" t="str">
        <f>IF(OR(Table14[[#This Row],[USD_Spend]]&gt;($B$4+1.5*$B$8),Table14[[#This Row],[USD_Spend]]&lt;($B$6-1.5*$B$8)),"Outlier","Normal")</f>
        <v>Normal</v>
      </c>
      <c r="D546" s="1">
        <v>413402</v>
      </c>
      <c r="E546" s="1">
        <v>23385</v>
      </c>
      <c r="F546" s="15">
        <v>60306.53</v>
      </c>
      <c r="G546" s="15" t="str">
        <f>IF(OR(Table14[[#This Row],[Sales]]&gt;($B$5+1.5*$B$9),Table14[[#This Row],[Sales]]&lt;($B$7-1.5*$B$9)),"Outlier","Normal")</f>
        <v>Normal</v>
      </c>
      <c r="H546" s="22"/>
      <c r="I546" s="22">
        <f>Table1[[#This Row],[Sales]]/Table1[[#This Row],[USD_Spend]]</f>
        <v>12.769577862311198</v>
      </c>
    </row>
    <row r="547" spans="1:9" x14ac:dyDescent="0.35">
      <c r="A547" s="3" t="s">
        <v>111</v>
      </c>
      <c r="B547" s="15">
        <v>40772.559999999998</v>
      </c>
      <c r="C547" s="1" t="str">
        <f>IF(OR(Table14[[#This Row],[USD_Spend]]&gt;($B$4+1.5*$B$8),Table14[[#This Row],[USD_Spend]]&lt;($B$6-1.5*$B$8)),"Outlier","Normal")</f>
        <v>Normal</v>
      </c>
      <c r="D547" s="1">
        <v>435051</v>
      </c>
      <c r="E547" s="1">
        <v>12220</v>
      </c>
      <c r="F547" s="15">
        <v>198515.38</v>
      </c>
      <c r="G547" s="15" t="str">
        <f>IF(OR(Table14[[#This Row],[Sales]]&gt;($B$5+1.5*$B$9),Table14[[#This Row],[Sales]]&lt;($B$7-1.5*$B$9)),"Outlier","Normal")</f>
        <v>Normal</v>
      </c>
      <c r="H547" s="22"/>
      <c r="I547" s="22">
        <f>Table1[[#This Row],[Sales]]/Table1[[#This Row],[USD_Spend]]</f>
        <v>10.299636937048612</v>
      </c>
    </row>
    <row r="548" spans="1:9" x14ac:dyDescent="0.35">
      <c r="A548" s="3" t="s">
        <v>75</v>
      </c>
      <c r="B548" s="15">
        <v>30872.39</v>
      </c>
      <c r="C548" s="1" t="str">
        <f>IF(OR(Table14[[#This Row],[USD_Spend]]&gt;($B$4+1.5*$B$8),Table14[[#This Row],[USD_Spend]]&lt;($B$6-1.5*$B$8)),"Outlier","Normal")</f>
        <v>Normal</v>
      </c>
      <c r="D548" s="1">
        <v>763240</v>
      </c>
      <c r="E548" s="1">
        <v>45736</v>
      </c>
      <c r="F548" s="15">
        <v>99074.72</v>
      </c>
      <c r="G548" s="15" t="str">
        <f>IF(OR(Table14[[#This Row],[Sales]]&gt;($B$5+1.5*$B$9),Table14[[#This Row],[Sales]]&lt;($B$7-1.5*$B$9)),"Outlier","Normal")</f>
        <v>Normal</v>
      </c>
      <c r="H548" s="22"/>
      <c r="I548" s="22">
        <f>Table1[[#This Row],[Sales]]/Table1[[#This Row],[USD_Spend]]</f>
        <v>7.7746044623392061</v>
      </c>
    </row>
    <row r="549" spans="1:9" x14ac:dyDescent="0.35">
      <c r="A549" s="3" t="s">
        <v>105</v>
      </c>
      <c r="B549" s="15">
        <v>18953.689999999999</v>
      </c>
      <c r="C549" s="1" t="str">
        <f>IF(OR(Table14[[#This Row],[USD_Spend]]&gt;($B$4+1.5*$B$8),Table14[[#This Row],[USD_Spend]]&lt;($B$6-1.5*$B$8)),"Outlier","Normal")</f>
        <v>Normal</v>
      </c>
      <c r="D549" s="1">
        <v>904787</v>
      </c>
      <c r="E549" s="1">
        <v>31767</v>
      </c>
      <c r="F549" s="15">
        <v>31130.05</v>
      </c>
      <c r="G549" s="15" t="str">
        <f>IF(OR(Table14[[#This Row],[Sales]]&gt;($B$5+1.5*$B$9),Table14[[#This Row],[Sales]]&lt;($B$7-1.5*$B$9)),"Outlier","Normal")</f>
        <v>Normal</v>
      </c>
      <c r="H549" s="22"/>
      <c r="I549" s="22">
        <f>Table1[[#This Row],[Sales]]/Table1[[#This Row],[USD_Spend]]</f>
        <v>56.036251940612622</v>
      </c>
    </row>
    <row r="550" spans="1:9" x14ac:dyDescent="0.35">
      <c r="A550" s="3" t="s">
        <v>77</v>
      </c>
      <c r="B550" s="15">
        <v>39017.019999999997</v>
      </c>
      <c r="C550" s="1" t="str">
        <f>IF(OR(Table14[[#This Row],[USD_Spend]]&gt;($B$4+1.5*$B$8),Table14[[#This Row],[USD_Spend]]&lt;($B$6-1.5*$B$8)),"Outlier","Normal")</f>
        <v>Normal</v>
      </c>
      <c r="D550" s="1">
        <v>297286</v>
      </c>
      <c r="E550" s="1">
        <v>24240</v>
      </c>
      <c r="F550" s="15">
        <v>206759.04000000001</v>
      </c>
      <c r="G550" s="15" t="str">
        <f>IF(OR(Table14[[#This Row],[Sales]]&gt;($B$5+1.5*$B$9),Table14[[#This Row],[Sales]]&lt;($B$7-1.5*$B$9)),"Outlier","Normal")</f>
        <v>Normal</v>
      </c>
      <c r="H550" s="22"/>
      <c r="I550" s="22">
        <f>Table1[[#This Row],[Sales]]/Table1[[#This Row],[USD_Spend]]</f>
        <v>5.360385839868532</v>
      </c>
    </row>
    <row r="551" spans="1:9" x14ac:dyDescent="0.35">
      <c r="A551" s="3" t="s">
        <v>95</v>
      </c>
      <c r="B551" s="15">
        <v>21606.45</v>
      </c>
      <c r="C551" s="1" t="str">
        <f>IF(OR(Table14[[#This Row],[USD_Spend]]&gt;($B$4+1.5*$B$8),Table14[[#This Row],[USD_Spend]]&lt;($B$6-1.5*$B$8)),"Outlier","Normal")</f>
        <v>Normal</v>
      </c>
      <c r="D551" s="1">
        <v>999583</v>
      </c>
      <c r="E551" s="1">
        <v>2050</v>
      </c>
      <c r="F551" s="15">
        <v>113431.78</v>
      </c>
      <c r="G551" s="15" t="str">
        <f>IF(OR(Table14[[#This Row],[Sales]]&gt;($B$5+1.5*$B$9),Table14[[#This Row],[Sales]]&lt;($B$7-1.5*$B$9)),"Outlier","Normal")</f>
        <v>Normal</v>
      </c>
      <c r="H551" s="22"/>
      <c r="I551" s="22">
        <f>Table1[[#This Row],[Sales]]/Table1[[#This Row],[USD_Spend]]</f>
        <v>13.649304580131647</v>
      </c>
    </row>
    <row r="552" spans="1:9" x14ac:dyDescent="0.35">
      <c r="A552" s="3" t="s">
        <v>100</v>
      </c>
      <c r="B552" s="15">
        <v>6876.28</v>
      </c>
      <c r="C552" s="1" t="str">
        <f>IF(OR(Table14[[#This Row],[USD_Spend]]&gt;($B$4+1.5*$B$8),Table14[[#This Row],[USD_Spend]]&lt;($B$6-1.5*$B$8)),"Outlier","Normal")</f>
        <v>Normal</v>
      </c>
      <c r="D552" s="1">
        <v>563081</v>
      </c>
      <c r="E552" s="1">
        <v>27537</v>
      </c>
      <c r="F552" s="15">
        <v>241735.7</v>
      </c>
      <c r="G552" s="15" t="str">
        <f>IF(OR(Table14[[#This Row],[Sales]]&gt;($B$5+1.5*$B$9),Table14[[#This Row],[Sales]]&lt;($B$7-1.5*$B$9)),"Outlier","Normal")</f>
        <v>Normal</v>
      </c>
      <c r="H552" s="22"/>
      <c r="I552" s="22">
        <f>Table1[[#This Row],[Sales]]/Table1[[#This Row],[USD_Spend]]</f>
        <v>8.42107284045691</v>
      </c>
    </row>
    <row r="553" spans="1:9" x14ac:dyDescent="0.35">
      <c r="A553" s="3" t="s">
        <v>85</v>
      </c>
      <c r="B553" s="15">
        <v>24045.48</v>
      </c>
      <c r="C553" s="1" t="str">
        <f>IF(OR(Table14[[#This Row],[USD_Spend]]&gt;($B$4+1.5*$B$8),Table14[[#This Row],[USD_Spend]]&lt;($B$6-1.5*$B$8)),"Outlier","Normal")</f>
        <v>Normal</v>
      </c>
      <c r="D553" s="1">
        <v>889962</v>
      </c>
      <c r="E553" s="1">
        <v>3661</v>
      </c>
      <c r="F553" s="15">
        <v>25741.48</v>
      </c>
      <c r="G553" s="15" t="str">
        <f>IF(OR(Table14[[#This Row],[Sales]]&gt;($B$5+1.5*$B$9),Table14[[#This Row],[Sales]]&lt;($B$7-1.5*$B$9)),"Outlier","Normal")</f>
        <v>Normal</v>
      </c>
      <c r="H553" s="22"/>
      <c r="I553" s="22">
        <f>Table1[[#This Row],[Sales]]/Table1[[#This Row],[USD_Spend]]</f>
        <v>2.9356490595244229</v>
      </c>
    </row>
    <row r="554" spans="1:9" x14ac:dyDescent="0.35">
      <c r="A554" s="3" t="s">
        <v>50</v>
      </c>
      <c r="B554" s="15">
        <v>6939.01</v>
      </c>
      <c r="C554" s="1" t="str">
        <f>IF(OR(Table14[[#This Row],[USD_Spend]]&gt;($B$4+1.5*$B$8),Table14[[#This Row],[USD_Spend]]&lt;($B$6-1.5*$B$8)),"Outlier","Normal")</f>
        <v>Normal</v>
      </c>
      <c r="D554" s="1">
        <v>588469</v>
      </c>
      <c r="E554" s="1">
        <v>7232</v>
      </c>
      <c r="F554" s="15">
        <v>48063.69</v>
      </c>
      <c r="G554" s="15" t="str">
        <f>IF(OR(Table14[[#This Row],[Sales]]&gt;($B$5+1.5*$B$9),Table14[[#This Row],[Sales]]&lt;($B$7-1.5*$B$9)),"Outlier","Normal")</f>
        <v>Normal</v>
      </c>
      <c r="H554" s="22"/>
      <c r="I554" s="22">
        <f>Table1[[#This Row],[Sales]]/Table1[[#This Row],[USD_Spend]]</f>
        <v>12.133116813808455</v>
      </c>
    </row>
    <row r="555" spans="1:9" x14ac:dyDescent="0.35">
      <c r="A555" s="3" t="s">
        <v>62</v>
      </c>
      <c r="B555" s="15">
        <v>7124.96</v>
      </c>
      <c r="C555" s="1" t="str">
        <f>IF(OR(Table14[[#This Row],[USD_Spend]]&gt;($B$4+1.5*$B$8),Table14[[#This Row],[USD_Spend]]&lt;($B$6-1.5*$B$8)),"Outlier","Normal")</f>
        <v>Normal</v>
      </c>
      <c r="D555" s="1">
        <v>22537</v>
      </c>
      <c r="E555" s="1">
        <v>4141</v>
      </c>
      <c r="F555" s="15">
        <v>208441.22</v>
      </c>
      <c r="G555" s="15" t="str">
        <f>IF(OR(Table14[[#This Row],[Sales]]&gt;($B$5+1.5*$B$9),Table14[[#This Row],[Sales]]&lt;($B$7-1.5*$B$9)),"Outlier","Normal")</f>
        <v>Normal</v>
      </c>
      <c r="H555" s="22"/>
      <c r="I555" s="22">
        <f>Table1[[#This Row],[Sales]]/Table1[[#This Row],[USD_Spend]]</f>
        <v>2.6775756083257591</v>
      </c>
    </row>
    <row r="556" spans="1:9" x14ac:dyDescent="0.35">
      <c r="A556" s="3" t="s">
        <v>90</v>
      </c>
      <c r="B556" s="15">
        <v>3840.69</v>
      </c>
      <c r="C556" s="1" t="str">
        <f>IF(OR(Table14[[#This Row],[USD_Spend]]&gt;($B$4+1.5*$B$8),Table14[[#This Row],[USD_Spend]]&lt;($B$6-1.5*$B$8)),"Outlier","Normal")</f>
        <v>Normal</v>
      </c>
      <c r="D556" s="1">
        <v>534977</v>
      </c>
      <c r="E556" s="1">
        <v>7516</v>
      </c>
      <c r="F556" s="15">
        <v>49043.99</v>
      </c>
      <c r="G556" s="15" t="str">
        <f>IF(OR(Table14[[#This Row],[Sales]]&gt;($B$5+1.5*$B$9),Table14[[#This Row],[Sales]]&lt;($B$7-1.5*$B$9)),"Outlier","Normal")</f>
        <v>Normal</v>
      </c>
      <c r="H556" s="22"/>
      <c r="I556" s="22">
        <f>Table1[[#This Row],[Sales]]/Table1[[#This Row],[USD_Spend]]</f>
        <v>13.87477436607937</v>
      </c>
    </row>
    <row r="557" spans="1:9" x14ac:dyDescent="0.35">
      <c r="A557" s="3" t="s">
        <v>27</v>
      </c>
      <c r="B557" s="15">
        <v>17908.740000000002</v>
      </c>
      <c r="C557" s="1" t="str">
        <f>IF(OR(Table14[[#This Row],[USD_Spend]]&gt;($B$4+1.5*$B$8),Table14[[#This Row],[USD_Spend]]&lt;($B$6-1.5*$B$8)),"Outlier","Normal")</f>
        <v>Normal</v>
      </c>
      <c r="D557" s="1">
        <v>820143</v>
      </c>
      <c r="E557" s="1">
        <v>12907</v>
      </c>
      <c r="F557" s="15">
        <v>184453.52</v>
      </c>
      <c r="G557" s="15" t="str">
        <f>IF(OR(Table14[[#This Row],[Sales]]&gt;($B$5+1.5*$B$9),Table14[[#This Row],[Sales]]&lt;($B$7-1.5*$B$9)),"Outlier","Normal")</f>
        <v>Normal</v>
      </c>
      <c r="H557" s="22"/>
      <c r="I557" s="22">
        <f>Table1[[#This Row],[Sales]]/Table1[[#This Row],[USD_Spend]]</f>
        <v>72.507908500585359</v>
      </c>
    </row>
    <row r="558" spans="1:9" x14ac:dyDescent="0.35">
      <c r="A558" s="3" t="s">
        <v>78</v>
      </c>
      <c r="B558" s="15">
        <v>5990.58</v>
      </c>
      <c r="C558" s="1" t="str">
        <f>IF(OR(Table14[[#This Row],[USD_Spend]]&gt;($B$4+1.5*$B$8),Table14[[#This Row],[USD_Spend]]&lt;($B$6-1.5*$B$8)),"Outlier","Normal")</f>
        <v>Normal</v>
      </c>
      <c r="D558" s="1">
        <v>506171</v>
      </c>
      <c r="E558" s="1">
        <v>48331</v>
      </c>
      <c r="F558" s="15">
        <v>46574.39</v>
      </c>
      <c r="G558" s="15" t="str">
        <f>IF(OR(Table14[[#This Row],[Sales]]&gt;($B$5+1.5*$B$9),Table14[[#This Row],[Sales]]&lt;($B$7-1.5*$B$9)),"Outlier","Normal")</f>
        <v>Normal</v>
      </c>
      <c r="H558" s="22"/>
      <c r="I558" s="22">
        <f>Table1[[#This Row],[Sales]]/Table1[[#This Row],[USD_Spend]]</f>
        <v>0.58699513772506973</v>
      </c>
    </row>
    <row r="559" spans="1:9" x14ac:dyDescent="0.35">
      <c r="A559" s="3" t="s">
        <v>95</v>
      </c>
      <c r="B559" s="15">
        <v>2698.89</v>
      </c>
      <c r="C559" s="1" t="str">
        <f>IF(OR(Table14[[#This Row],[USD_Spend]]&gt;($B$4+1.5*$B$8),Table14[[#This Row],[USD_Spend]]&lt;($B$6-1.5*$B$8)),"Outlier","Normal")</f>
        <v>Normal</v>
      </c>
      <c r="D559" s="1">
        <v>983737</v>
      </c>
      <c r="E559" s="1">
        <v>21243</v>
      </c>
      <c r="F559" s="15">
        <v>151235.68</v>
      </c>
      <c r="G559" s="15" t="str">
        <f>IF(OR(Table14[[#This Row],[Sales]]&gt;($B$5+1.5*$B$9),Table14[[#This Row],[Sales]]&lt;($B$7-1.5*$B$9)),"Outlier","Normal")</f>
        <v>Normal</v>
      </c>
      <c r="H559" s="22"/>
      <c r="I559" s="22">
        <f>Table1[[#This Row],[Sales]]/Table1[[#This Row],[USD_Spend]]</f>
        <v>1.6068922368096377</v>
      </c>
    </row>
    <row r="560" spans="1:9" x14ac:dyDescent="0.35">
      <c r="A560" s="3" t="s">
        <v>89</v>
      </c>
      <c r="B560" s="15">
        <v>36096.839999999997</v>
      </c>
      <c r="C560" s="1" t="str">
        <f>IF(OR(Table14[[#This Row],[USD_Spend]]&gt;($B$4+1.5*$B$8),Table14[[#This Row],[USD_Spend]]&lt;($B$6-1.5*$B$8)),"Outlier","Normal")</f>
        <v>Normal</v>
      </c>
      <c r="D560" s="1">
        <v>977516</v>
      </c>
      <c r="E560" s="1">
        <v>18213</v>
      </c>
      <c r="F560" s="15">
        <v>193492.99</v>
      </c>
      <c r="G560" s="15" t="str">
        <f>IF(OR(Table14[[#This Row],[Sales]]&gt;($B$5+1.5*$B$9),Table14[[#This Row],[Sales]]&lt;($B$7-1.5*$B$9)),"Outlier","Normal")</f>
        <v>Normal</v>
      </c>
      <c r="H560" s="22"/>
      <c r="I560" s="22">
        <f>Table1[[#This Row],[Sales]]/Table1[[#This Row],[USD_Spend]]</f>
        <v>3.2121049930470988</v>
      </c>
    </row>
    <row r="561" spans="1:9" x14ac:dyDescent="0.35">
      <c r="A561" s="3" t="s">
        <v>18</v>
      </c>
      <c r="B561" s="15">
        <v>10892.7</v>
      </c>
      <c r="C561" s="1" t="str">
        <f>IF(OR(Table14[[#This Row],[USD_Spend]]&gt;($B$4+1.5*$B$8),Table14[[#This Row],[USD_Spend]]&lt;($B$6-1.5*$B$8)),"Outlier","Normal")</f>
        <v>Normal</v>
      </c>
      <c r="D561" s="1">
        <v>18474</v>
      </c>
      <c r="E561" s="1">
        <v>34026</v>
      </c>
      <c r="F561" s="15">
        <v>148677.78</v>
      </c>
      <c r="G561" s="15" t="str">
        <f>IF(OR(Table14[[#This Row],[Sales]]&gt;($B$5+1.5*$B$9),Table14[[#This Row],[Sales]]&lt;($B$7-1.5*$B$9)),"Outlier","Normal")</f>
        <v>Normal</v>
      </c>
      <c r="H561" s="22"/>
      <c r="I561" s="22">
        <f>Table1[[#This Row],[Sales]]/Table1[[#This Row],[USD_Spend]]</f>
        <v>27.700544344647923</v>
      </c>
    </row>
    <row r="562" spans="1:9" x14ac:dyDescent="0.35">
      <c r="A562" s="3" t="s">
        <v>104</v>
      </c>
      <c r="B562" s="15">
        <v>23152.93</v>
      </c>
      <c r="C562" s="1" t="str">
        <f>IF(OR(Table14[[#This Row],[USD_Spend]]&gt;($B$4+1.5*$B$8),Table14[[#This Row],[USD_Spend]]&lt;($B$6-1.5*$B$8)),"Outlier","Normal")</f>
        <v>Normal</v>
      </c>
      <c r="D562" s="1">
        <v>982462</v>
      </c>
      <c r="E562" s="1">
        <v>33325</v>
      </c>
      <c r="F562" s="15">
        <v>194972.51</v>
      </c>
      <c r="G562" s="15" t="str">
        <f>IF(OR(Table14[[#This Row],[Sales]]&gt;($B$5+1.5*$B$9),Table14[[#This Row],[Sales]]&lt;($B$7-1.5*$B$9)),"Outlier","Normal")</f>
        <v>Normal</v>
      </c>
      <c r="H562" s="22"/>
      <c r="I562" s="22">
        <f>Table1[[#This Row],[Sales]]/Table1[[#This Row],[USD_Spend]]</f>
        <v>0.31447874103007123</v>
      </c>
    </row>
    <row r="563" spans="1:9" x14ac:dyDescent="0.35">
      <c r="A563" s="3" t="s">
        <v>92</v>
      </c>
      <c r="B563" s="15">
        <v>26603.03</v>
      </c>
      <c r="C563" s="1" t="str">
        <f>IF(OR(Table14[[#This Row],[USD_Spend]]&gt;($B$4+1.5*$B$8),Table14[[#This Row],[USD_Spend]]&lt;($B$6-1.5*$B$8)),"Outlier","Normal")</f>
        <v>Normal</v>
      </c>
      <c r="D563" s="1">
        <v>410209</v>
      </c>
      <c r="E563" s="1">
        <v>34823</v>
      </c>
      <c r="F563" s="15">
        <v>78097.16</v>
      </c>
      <c r="G563" s="15" t="str">
        <f>IF(OR(Table14[[#This Row],[Sales]]&gt;($B$5+1.5*$B$9),Table14[[#This Row],[Sales]]&lt;($B$7-1.5*$B$9)),"Outlier","Normal")</f>
        <v>Normal</v>
      </c>
      <c r="H563" s="22"/>
      <c r="I563" s="22">
        <f>Table1[[#This Row],[Sales]]/Table1[[#This Row],[USD_Spend]]</f>
        <v>6.362750997441065</v>
      </c>
    </row>
    <row r="564" spans="1:9" x14ac:dyDescent="0.35">
      <c r="A564" s="3" t="s">
        <v>70</v>
      </c>
      <c r="B564" s="15">
        <v>13116.6</v>
      </c>
      <c r="C564" s="1" t="str">
        <f>IF(OR(Table14[[#This Row],[USD_Spend]]&gt;($B$4+1.5*$B$8),Table14[[#This Row],[USD_Spend]]&lt;($B$6-1.5*$B$8)),"Outlier","Normal")</f>
        <v>Normal</v>
      </c>
      <c r="D564" s="1">
        <v>348756</v>
      </c>
      <c r="E564" s="1">
        <v>10494</v>
      </c>
      <c r="F564" s="15">
        <v>159145.24</v>
      </c>
      <c r="G564" s="15" t="str">
        <f>IF(OR(Table14[[#This Row],[Sales]]&gt;($B$5+1.5*$B$9),Table14[[#This Row],[Sales]]&lt;($B$7-1.5*$B$9)),"Outlier","Normal")</f>
        <v>Normal</v>
      </c>
      <c r="H564" s="22"/>
      <c r="I564" s="22">
        <f>Table1[[#This Row],[Sales]]/Table1[[#This Row],[USD_Spend]]</f>
        <v>4.9019246353023496</v>
      </c>
    </row>
    <row r="565" spans="1:9" x14ac:dyDescent="0.35">
      <c r="A565" s="3" t="s">
        <v>86</v>
      </c>
      <c r="B565" s="15">
        <v>19166.54</v>
      </c>
      <c r="C565" s="1" t="str">
        <f>IF(OR(Table14[[#This Row],[USD_Spend]]&gt;($B$4+1.5*$B$8),Table14[[#This Row],[USD_Spend]]&lt;($B$6-1.5*$B$8)),"Outlier","Normal")</f>
        <v>Normal</v>
      </c>
      <c r="D565" s="1">
        <v>32525</v>
      </c>
      <c r="E565" s="1">
        <v>19204</v>
      </c>
      <c r="F565" s="15">
        <v>51319.86</v>
      </c>
      <c r="G565" s="15" t="str">
        <f>IF(OR(Table14[[#This Row],[Sales]]&gt;($B$5+1.5*$B$9),Table14[[#This Row],[Sales]]&lt;($B$7-1.5*$B$9)),"Outlier","Normal")</f>
        <v>Normal</v>
      </c>
      <c r="H565" s="22"/>
      <c r="I565" s="22">
        <f>Table1[[#This Row],[Sales]]/Table1[[#This Row],[USD_Spend]]</f>
        <v>5.8162807527238609</v>
      </c>
    </row>
    <row r="566" spans="1:9" x14ac:dyDescent="0.35">
      <c r="A566" s="3" t="s">
        <v>107</v>
      </c>
      <c r="B566" s="15">
        <v>14680.86</v>
      </c>
      <c r="C566" s="1" t="str">
        <f>IF(OR(Table14[[#This Row],[USD_Spend]]&gt;($B$4+1.5*$B$8),Table14[[#This Row],[USD_Spend]]&lt;($B$6-1.5*$B$8)),"Outlier","Normal")</f>
        <v>Normal</v>
      </c>
      <c r="D566" s="1">
        <v>803237</v>
      </c>
      <c r="E566" s="1">
        <v>27791</v>
      </c>
      <c r="F566" s="15">
        <v>203693.62</v>
      </c>
      <c r="G566" s="15" t="str">
        <f>IF(OR(Table14[[#This Row],[Sales]]&gt;($B$5+1.5*$B$9),Table14[[#This Row],[Sales]]&lt;($B$7-1.5*$B$9)),"Outlier","Normal")</f>
        <v>Normal</v>
      </c>
      <c r="H566" s="22"/>
      <c r="I566" s="22">
        <f>Table1[[#This Row],[Sales]]/Table1[[#This Row],[USD_Spend]]</f>
        <v>2.145904510451738</v>
      </c>
    </row>
    <row r="567" spans="1:9" x14ac:dyDescent="0.35">
      <c r="A567" s="3" t="s">
        <v>78</v>
      </c>
      <c r="B567" s="15">
        <v>2374.66</v>
      </c>
      <c r="C567" s="1" t="str">
        <f>IF(OR(Table14[[#This Row],[USD_Spend]]&gt;($B$4+1.5*$B$8),Table14[[#This Row],[USD_Spend]]&lt;($B$6-1.5*$B$8)),"Outlier","Normal")</f>
        <v>Normal</v>
      </c>
      <c r="D567" s="1">
        <v>179054</v>
      </c>
      <c r="E567" s="1">
        <v>10031</v>
      </c>
      <c r="F567" s="15">
        <v>172181.63</v>
      </c>
      <c r="G567" s="15" t="str">
        <f>IF(OR(Table14[[#This Row],[Sales]]&gt;($B$5+1.5*$B$9),Table14[[#This Row],[Sales]]&lt;($B$7-1.5*$B$9)),"Outlier","Normal")</f>
        <v>Normal</v>
      </c>
      <c r="H567" s="22"/>
      <c r="I567" s="22">
        <f>Table1[[#This Row],[Sales]]/Table1[[#This Row],[USD_Spend]]</f>
        <v>6.1947897081686429</v>
      </c>
    </row>
    <row r="568" spans="1:9" x14ac:dyDescent="0.35">
      <c r="A568" s="3" t="s">
        <v>82</v>
      </c>
      <c r="B568" s="15">
        <v>20311.48</v>
      </c>
      <c r="C568" s="1" t="str">
        <f>IF(OR(Table14[[#This Row],[USD_Spend]]&gt;($B$4+1.5*$B$8),Table14[[#This Row],[USD_Spend]]&lt;($B$6-1.5*$B$8)),"Outlier","Normal")</f>
        <v>Normal</v>
      </c>
      <c r="D568" s="1">
        <v>750880</v>
      </c>
      <c r="E568" s="1">
        <v>44430</v>
      </c>
      <c r="F568" s="15">
        <v>11922.74</v>
      </c>
      <c r="G568" s="15" t="str">
        <f>IF(OR(Table14[[#This Row],[Sales]]&gt;($B$5+1.5*$B$9),Table14[[#This Row],[Sales]]&lt;($B$7-1.5*$B$9)),"Outlier","Normal")</f>
        <v>Normal</v>
      </c>
      <c r="H568" s="22"/>
      <c r="I568" s="22">
        <f>Table1[[#This Row],[Sales]]/Table1[[#This Row],[USD_Spend]]</f>
        <v>38.758742305772749</v>
      </c>
    </row>
    <row r="569" spans="1:9" x14ac:dyDescent="0.35">
      <c r="A569" s="3" t="s">
        <v>98</v>
      </c>
      <c r="B569" s="15">
        <v>20506.259999999998</v>
      </c>
      <c r="C569" s="1" t="str">
        <f>IF(OR(Table14[[#This Row],[USD_Spend]]&gt;($B$4+1.5*$B$8),Table14[[#This Row],[USD_Spend]]&lt;($B$6-1.5*$B$8)),"Outlier","Normal")</f>
        <v>Normal</v>
      </c>
      <c r="D569" s="1">
        <v>274742</v>
      </c>
      <c r="E569" s="1">
        <v>31408</v>
      </c>
      <c r="F569" s="15">
        <v>32951.35</v>
      </c>
      <c r="G569" s="15" t="str">
        <f>IF(OR(Table14[[#This Row],[Sales]]&gt;($B$5+1.5*$B$9),Table14[[#This Row],[Sales]]&lt;($B$7-1.5*$B$9)),"Outlier","Normal")</f>
        <v>Normal</v>
      </c>
      <c r="H569" s="22"/>
      <c r="I569" s="22">
        <f>Table1[[#This Row],[Sales]]/Table1[[#This Row],[USD_Spend]]</f>
        <v>13.950202836393382</v>
      </c>
    </row>
    <row r="570" spans="1:9" x14ac:dyDescent="0.35">
      <c r="A570" s="3" t="s">
        <v>114</v>
      </c>
      <c r="B570" s="15">
        <v>17712.03</v>
      </c>
      <c r="C570" s="1" t="str">
        <f>IF(OR(Table14[[#This Row],[USD_Spend]]&gt;($B$4+1.5*$B$8),Table14[[#This Row],[USD_Spend]]&lt;($B$6-1.5*$B$8)),"Outlier","Normal")</f>
        <v>Normal</v>
      </c>
      <c r="D570" s="1">
        <v>963149</v>
      </c>
      <c r="E570" s="1">
        <v>1104</v>
      </c>
      <c r="F570" s="15">
        <v>56892.9</v>
      </c>
      <c r="G570" s="15" t="str">
        <f>IF(OR(Table14[[#This Row],[Sales]]&gt;($B$5+1.5*$B$9),Table14[[#This Row],[Sales]]&lt;($B$7-1.5*$B$9)),"Outlier","Normal")</f>
        <v>Normal</v>
      </c>
      <c r="H570" s="22"/>
      <c r="I570" s="22">
        <f>Table1[[#This Row],[Sales]]/Table1[[#This Row],[USD_Spend]]</f>
        <v>0.58314646113694657</v>
      </c>
    </row>
    <row r="571" spans="1:9" x14ac:dyDescent="0.35">
      <c r="A571" s="3" t="s">
        <v>87</v>
      </c>
      <c r="B571" s="15">
        <v>5143.8</v>
      </c>
      <c r="C571" s="1" t="str">
        <f>IF(OR(Table14[[#This Row],[USD_Spend]]&gt;($B$4+1.5*$B$8),Table14[[#This Row],[USD_Spend]]&lt;($B$6-1.5*$B$8)),"Outlier","Normal")</f>
        <v>Normal</v>
      </c>
      <c r="D571" s="1">
        <v>609083</v>
      </c>
      <c r="E571" s="1">
        <v>12951</v>
      </c>
      <c r="F571" s="15">
        <v>142486.06</v>
      </c>
      <c r="G571" s="15" t="str">
        <f>IF(OR(Table14[[#This Row],[Sales]]&gt;($B$5+1.5*$B$9),Table14[[#This Row],[Sales]]&lt;($B$7-1.5*$B$9)),"Outlier","Normal")</f>
        <v>Normal</v>
      </c>
      <c r="H571" s="22"/>
      <c r="I571" s="22">
        <f>Table1[[#This Row],[Sales]]/Table1[[#This Row],[USD_Spend]]</f>
        <v>30.293790964469611</v>
      </c>
    </row>
    <row r="572" spans="1:9" x14ac:dyDescent="0.35">
      <c r="A572" s="3" t="s">
        <v>57</v>
      </c>
      <c r="B572" s="15">
        <v>29309.040000000001</v>
      </c>
      <c r="C572" s="1" t="str">
        <f>IF(OR(Table14[[#This Row],[USD_Spend]]&gt;($B$4+1.5*$B$8),Table14[[#This Row],[USD_Spend]]&lt;($B$6-1.5*$B$8)),"Outlier","Normal")</f>
        <v>Normal</v>
      </c>
      <c r="D572" s="1">
        <v>266496</v>
      </c>
      <c r="E572" s="1">
        <v>25161</v>
      </c>
      <c r="F572" s="15">
        <v>9217.07</v>
      </c>
      <c r="G572" s="15" t="str">
        <f>IF(OR(Table14[[#This Row],[Sales]]&gt;($B$5+1.5*$B$9),Table14[[#This Row],[Sales]]&lt;($B$7-1.5*$B$9)),"Outlier","Normal")</f>
        <v>Normal</v>
      </c>
      <c r="H572" s="22"/>
      <c r="I572" s="22">
        <f>Table1[[#This Row],[Sales]]/Table1[[#This Row],[USD_Spend]]</f>
        <v>6.9593070155590073</v>
      </c>
    </row>
    <row r="573" spans="1:9" x14ac:dyDescent="0.35">
      <c r="A573" s="3" t="s">
        <v>110</v>
      </c>
      <c r="B573" s="15">
        <v>8093.21</v>
      </c>
      <c r="C573" s="1" t="str">
        <f>IF(OR(Table14[[#This Row],[USD_Spend]]&gt;($B$4+1.5*$B$8),Table14[[#This Row],[USD_Spend]]&lt;($B$6-1.5*$B$8)),"Outlier","Normal")</f>
        <v>Normal</v>
      </c>
      <c r="D573" s="1">
        <v>740897</v>
      </c>
      <c r="E573" s="1">
        <v>32218</v>
      </c>
      <c r="F573" s="15">
        <v>51495.08</v>
      </c>
      <c r="G573" s="15" t="str">
        <f>IF(OR(Table14[[#This Row],[Sales]]&gt;($B$5+1.5*$B$9),Table14[[#This Row],[Sales]]&lt;($B$7-1.5*$B$9)),"Outlier","Normal")</f>
        <v>Normal</v>
      </c>
      <c r="H573" s="22"/>
      <c r="I573" s="22">
        <f>Table1[[#This Row],[Sales]]/Table1[[#This Row],[USD_Spend]]</f>
        <v>78.226807204368271</v>
      </c>
    </row>
    <row r="574" spans="1:9" x14ac:dyDescent="0.35">
      <c r="A574" s="3" t="s">
        <v>57</v>
      </c>
      <c r="B574" s="15">
        <v>13549.58</v>
      </c>
      <c r="C574" s="1" t="str">
        <f>IF(OR(Table14[[#This Row],[USD_Spend]]&gt;($B$4+1.5*$B$8),Table14[[#This Row],[USD_Spend]]&lt;($B$6-1.5*$B$8)),"Outlier","Normal")</f>
        <v>Normal</v>
      </c>
      <c r="D574" s="1">
        <v>123284</v>
      </c>
      <c r="E574" s="1">
        <v>8107</v>
      </c>
      <c r="F574" s="15">
        <v>66419.02</v>
      </c>
      <c r="G574" s="15" t="str">
        <f>IF(OR(Table14[[#This Row],[Sales]]&gt;($B$5+1.5*$B$9),Table14[[#This Row],[Sales]]&lt;($B$7-1.5*$B$9)),"Outlier","Normal")</f>
        <v>Normal</v>
      </c>
      <c r="H574" s="22"/>
      <c r="I574" s="22">
        <f>Table1[[#This Row],[Sales]]/Table1[[#This Row],[USD_Spend]]</f>
        <v>5.3146930302987769</v>
      </c>
    </row>
    <row r="575" spans="1:9" x14ac:dyDescent="0.35">
      <c r="A575" s="3" t="s">
        <v>50</v>
      </c>
      <c r="B575" s="15">
        <v>41607.29</v>
      </c>
      <c r="C575" s="1" t="str">
        <f>IF(OR(Table14[[#This Row],[USD_Spend]]&gt;($B$4+1.5*$B$8),Table14[[#This Row],[USD_Spend]]&lt;($B$6-1.5*$B$8)),"Outlier","Normal")</f>
        <v>Normal</v>
      </c>
      <c r="D575" s="1">
        <v>369502</v>
      </c>
      <c r="E575" s="1">
        <v>5631</v>
      </c>
      <c r="F575" s="15">
        <v>241999.68</v>
      </c>
      <c r="G575" s="15" t="str">
        <f>IF(OR(Table14[[#This Row],[Sales]]&gt;($B$5+1.5*$B$9),Table14[[#This Row],[Sales]]&lt;($B$7-1.5*$B$9)),"Outlier","Normal")</f>
        <v>Normal</v>
      </c>
      <c r="H575" s="22"/>
      <c r="I575" s="22">
        <f>Table1[[#This Row],[Sales]]/Table1[[#This Row],[USD_Spend]]</f>
        <v>3.9470053946604238</v>
      </c>
    </row>
    <row r="576" spans="1:9" x14ac:dyDescent="0.35">
      <c r="A576" s="3" t="s">
        <v>85</v>
      </c>
      <c r="B576" s="15">
        <v>25391.47</v>
      </c>
      <c r="C576" s="1" t="str">
        <f>IF(OR(Table14[[#This Row],[USD_Spend]]&gt;($B$4+1.5*$B$8),Table14[[#This Row],[USD_Spend]]&lt;($B$6-1.5*$B$8)),"Outlier","Normal")</f>
        <v>Normal</v>
      </c>
      <c r="D576" s="1">
        <v>959648</v>
      </c>
      <c r="E576" s="1">
        <v>2525</v>
      </c>
      <c r="F576" s="15">
        <v>54487.67</v>
      </c>
      <c r="G576" s="15" t="str">
        <f>IF(OR(Table14[[#This Row],[Sales]]&gt;($B$5+1.5*$B$9),Table14[[#This Row],[Sales]]&lt;($B$7-1.5*$B$9)),"Outlier","Normal")</f>
        <v>Normal</v>
      </c>
      <c r="H576" s="22"/>
      <c r="I576" s="22">
        <f>Table1[[#This Row],[Sales]]/Table1[[#This Row],[USD_Spend]]</f>
        <v>22.228288724870644</v>
      </c>
    </row>
    <row r="577" spans="1:9" x14ac:dyDescent="0.35">
      <c r="A577" s="3" t="s">
        <v>102</v>
      </c>
      <c r="B577" s="15">
        <v>27774.26</v>
      </c>
      <c r="C577" s="1" t="str">
        <f>IF(OR(Table14[[#This Row],[USD_Spend]]&gt;($B$4+1.5*$B$8),Table14[[#This Row],[USD_Spend]]&lt;($B$6-1.5*$B$8)),"Outlier","Normal")</f>
        <v>Normal</v>
      </c>
      <c r="D577" s="1">
        <v>362898</v>
      </c>
      <c r="E577" s="1">
        <v>24399</v>
      </c>
      <c r="F577" s="15">
        <v>172055.7</v>
      </c>
      <c r="G577" s="15" t="str">
        <f>IF(OR(Table14[[#This Row],[Sales]]&gt;($B$5+1.5*$B$9),Table14[[#This Row],[Sales]]&lt;($B$7-1.5*$B$9)),"Outlier","Normal")</f>
        <v>Normal</v>
      </c>
      <c r="H577" s="22"/>
      <c r="I577" s="22">
        <f>Table1[[#This Row],[Sales]]/Table1[[#This Row],[USD_Spend]]</f>
        <v>77.0144044970137</v>
      </c>
    </row>
    <row r="578" spans="1:9" x14ac:dyDescent="0.35">
      <c r="A578" s="3" t="s">
        <v>100</v>
      </c>
      <c r="B578" s="15">
        <v>1502.75</v>
      </c>
      <c r="C578" s="1" t="str">
        <f>IF(OR(Table14[[#This Row],[USD_Spend]]&gt;($B$4+1.5*$B$8),Table14[[#This Row],[USD_Spend]]&lt;($B$6-1.5*$B$8)),"Outlier","Normal")</f>
        <v>Normal</v>
      </c>
      <c r="D578" s="1">
        <v>485904</v>
      </c>
      <c r="E578" s="1">
        <v>2783</v>
      </c>
      <c r="F578" s="15">
        <v>58244.7</v>
      </c>
      <c r="G578" s="15" t="str">
        <f>IF(OR(Table14[[#This Row],[Sales]]&gt;($B$5+1.5*$B$9),Table14[[#This Row],[Sales]]&lt;($B$7-1.5*$B$9)),"Outlier","Normal")</f>
        <v>Normal</v>
      </c>
      <c r="H578" s="22"/>
      <c r="I578" s="22">
        <f>Table1[[#This Row],[Sales]]/Table1[[#This Row],[USD_Spend]]</f>
        <v>34.663981906562242</v>
      </c>
    </row>
    <row r="579" spans="1:9" x14ac:dyDescent="0.35">
      <c r="A579" s="3" t="s">
        <v>92</v>
      </c>
      <c r="B579" s="15">
        <v>3618.68</v>
      </c>
      <c r="C579" s="1" t="str">
        <f>IF(OR(Table14[[#This Row],[USD_Spend]]&gt;($B$4+1.5*$B$8),Table14[[#This Row],[USD_Spend]]&lt;($B$6-1.5*$B$8)),"Outlier","Normal")</f>
        <v>Normal</v>
      </c>
      <c r="D579" s="1">
        <v>604639</v>
      </c>
      <c r="E579" s="1">
        <v>14031</v>
      </c>
      <c r="F579" s="15">
        <v>50481.32</v>
      </c>
      <c r="G579" s="15" t="str">
        <f>IF(OR(Table14[[#This Row],[Sales]]&gt;($B$5+1.5*$B$9),Table14[[#This Row],[Sales]]&lt;($B$7-1.5*$B$9)),"Outlier","Normal")</f>
        <v>Normal</v>
      </c>
      <c r="H579" s="22"/>
      <c r="I579" s="22">
        <f>Table1[[#This Row],[Sales]]/Table1[[#This Row],[USD_Spend]]</f>
        <v>11.027592813324928</v>
      </c>
    </row>
    <row r="580" spans="1:9" x14ac:dyDescent="0.35">
      <c r="A580" s="3" t="s">
        <v>86</v>
      </c>
      <c r="B580" s="15">
        <v>23572.26</v>
      </c>
      <c r="C580" s="1" t="str">
        <f>IF(OR(Table14[[#This Row],[USD_Spend]]&gt;($B$4+1.5*$B$8),Table14[[#This Row],[USD_Spend]]&lt;($B$6-1.5*$B$8)),"Outlier","Normal")</f>
        <v>Normal</v>
      </c>
      <c r="D580" s="1">
        <v>208667</v>
      </c>
      <c r="E580" s="1">
        <v>9271</v>
      </c>
      <c r="F580" s="15">
        <v>13746.08</v>
      </c>
      <c r="G580" s="15" t="str">
        <f>IF(OR(Table14[[#This Row],[Sales]]&gt;($B$5+1.5*$B$9),Table14[[#This Row],[Sales]]&lt;($B$7-1.5*$B$9)),"Outlier","Normal")</f>
        <v>Normal</v>
      </c>
      <c r="H580" s="22"/>
      <c r="I580" s="22">
        <f>Table1[[#This Row],[Sales]]/Table1[[#This Row],[USD_Spend]]</f>
        <v>1.1198829287882599</v>
      </c>
    </row>
    <row r="581" spans="1:9" x14ac:dyDescent="0.35">
      <c r="A581" s="3" t="s">
        <v>85</v>
      </c>
      <c r="B581" s="15">
        <v>5835.85</v>
      </c>
      <c r="C581" s="1" t="str">
        <f>IF(OR(Table14[[#This Row],[USD_Spend]]&gt;($B$4+1.5*$B$8),Table14[[#This Row],[USD_Spend]]&lt;($B$6-1.5*$B$8)),"Outlier","Normal")</f>
        <v>Normal</v>
      </c>
      <c r="D581" s="1">
        <v>303243</v>
      </c>
      <c r="E581" s="1">
        <v>39169</v>
      </c>
      <c r="F581" s="15">
        <v>176790.02</v>
      </c>
      <c r="G581" s="15" t="str">
        <f>IF(OR(Table14[[#This Row],[Sales]]&gt;($B$5+1.5*$B$9),Table14[[#This Row],[Sales]]&lt;($B$7-1.5*$B$9)),"Outlier","Normal")</f>
        <v>Normal</v>
      </c>
      <c r="H581" s="22"/>
      <c r="I581" s="22">
        <f>Table1[[#This Row],[Sales]]/Table1[[#This Row],[USD_Spend]]</f>
        <v>176.37460964356418</v>
      </c>
    </row>
    <row r="582" spans="1:9" x14ac:dyDescent="0.35">
      <c r="A582" s="3" t="s">
        <v>120</v>
      </c>
      <c r="B582" s="15">
        <v>23776.58</v>
      </c>
      <c r="C582" s="1" t="str">
        <f>IF(OR(Table14[[#This Row],[USD_Spend]]&gt;($B$4+1.5*$B$8),Table14[[#This Row],[USD_Spend]]&lt;($B$6-1.5*$B$8)),"Outlier","Normal")</f>
        <v>Normal</v>
      </c>
      <c r="D582" s="1">
        <v>76412</v>
      </c>
      <c r="E582" s="1">
        <v>17245</v>
      </c>
      <c r="F582" s="15">
        <v>165468.51999999999</v>
      </c>
      <c r="G582" s="15" t="str">
        <f>IF(OR(Table14[[#This Row],[Sales]]&gt;($B$5+1.5*$B$9),Table14[[#This Row],[Sales]]&lt;($B$7-1.5*$B$9)),"Outlier","Normal")</f>
        <v>Normal</v>
      </c>
      <c r="H582" s="22"/>
      <c r="I582" s="22">
        <f>Table1[[#This Row],[Sales]]/Table1[[#This Row],[USD_Spend]]</f>
        <v>15.763696091690168</v>
      </c>
    </row>
    <row r="583" spans="1:9" x14ac:dyDescent="0.35">
      <c r="A583" s="3" t="s">
        <v>97</v>
      </c>
      <c r="B583" s="15">
        <v>1840.55</v>
      </c>
      <c r="C583" s="1" t="str">
        <f>IF(OR(Table14[[#This Row],[USD_Spend]]&gt;($B$4+1.5*$B$8),Table14[[#This Row],[USD_Spend]]&lt;($B$6-1.5*$B$8)),"Outlier","Normal")</f>
        <v>Normal</v>
      </c>
      <c r="D583" s="1">
        <v>868706</v>
      </c>
      <c r="E583" s="1">
        <v>1239</v>
      </c>
      <c r="F583" s="15">
        <v>143980.35</v>
      </c>
      <c r="G583" s="15" t="str">
        <f>IF(OR(Table14[[#This Row],[Sales]]&gt;($B$5+1.5*$B$9),Table14[[#This Row],[Sales]]&lt;($B$7-1.5*$B$9)),"Outlier","Normal")</f>
        <v>Normal</v>
      </c>
      <c r="H583" s="22"/>
      <c r="I583" s="22">
        <f>Table1[[#This Row],[Sales]]/Table1[[#This Row],[USD_Spend]]</f>
        <v>3.9127238921172607</v>
      </c>
    </row>
    <row r="584" spans="1:9" x14ac:dyDescent="0.35">
      <c r="A584" s="3" t="s">
        <v>112</v>
      </c>
      <c r="B584" s="15">
        <v>26356.51</v>
      </c>
      <c r="C584" s="1" t="str">
        <f>IF(OR(Table14[[#This Row],[USD_Spend]]&gt;($B$4+1.5*$B$8),Table14[[#This Row],[USD_Spend]]&lt;($B$6-1.5*$B$8)),"Outlier","Normal")</f>
        <v>Normal</v>
      </c>
      <c r="D584" s="1">
        <v>507635</v>
      </c>
      <c r="E584" s="1">
        <v>38561</v>
      </c>
      <c r="F584" s="15">
        <v>140076.76</v>
      </c>
      <c r="G584" s="15" t="str">
        <f>IF(OR(Table14[[#This Row],[Sales]]&gt;($B$5+1.5*$B$9),Table14[[#This Row],[Sales]]&lt;($B$7-1.5*$B$9)),"Outlier","Normal")</f>
        <v>Normal</v>
      </c>
      <c r="H584" s="22"/>
      <c r="I584" s="22">
        <f>Table1[[#This Row],[Sales]]/Table1[[#This Row],[USD_Spend]]</f>
        <v>2.6066085795745431</v>
      </c>
    </row>
    <row r="585" spans="1:9" x14ac:dyDescent="0.35">
      <c r="A585" s="3" t="s">
        <v>71</v>
      </c>
      <c r="B585" s="15">
        <v>31733.23</v>
      </c>
      <c r="C585" s="1" t="str">
        <f>IF(OR(Table14[[#This Row],[USD_Spend]]&gt;($B$4+1.5*$B$8),Table14[[#This Row],[USD_Spend]]&lt;($B$6-1.5*$B$8)),"Outlier","Normal")</f>
        <v>Normal</v>
      </c>
      <c r="D585" s="1">
        <v>687278</v>
      </c>
      <c r="E585" s="1">
        <v>46751</v>
      </c>
      <c r="F585" s="15">
        <v>125251.23</v>
      </c>
      <c r="G585" s="15" t="str">
        <f>IF(OR(Table14[[#This Row],[Sales]]&gt;($B$5+1.5*$B$9),Table14[[#This Row],[Sales]]&lt;($B$7-1.5*$B$9)),"Outlier","Normal")</f>
        <v>Normal</v>
      </c>
      <c r="H585" s="22"/>
      <c r="I585" s="22">
        <f>Table1[[#This Row],[Sales]]/Table1[[#This Row],[USD_Spend]]</f>
        <v>75.182986293034972</v>
      </c>
    </row>
    <row r="586" spans="1:9" x14ac:dyDescent="0.35">
      <c r="A586" s="3" t="s">
        <v>67</v>
      </c>
      <c r="B586" s="15">
        <v>2864.18</v>
      </c>
      <c r="C586" s="1" t="str">
        <f>IF(OR(Table14[[#This Row],[USD_Spend]]&gt;($B$4+1.5*$B$8),Table14[[#This Row],[USD_Spend]]&lt;($B$6-1.5*$B$8)),"Outlier","Normal")</f>
        <v>Normal</v>
      </c>
      <c r="D586" s="1">
        <v>882064</v>
      </c>
      <c r="E586" s="1">
        <v>20253</v>
      </c>
      <c r="F586" s="15">
        <v>63665.82</v>
      </c>
      <c r="G586" s="15" t="str">
        <f>IF(OR(Table14[[#This Row],[Sales]]&gt;($B$5+1.5*$B$9),Table14[[#This Row],[Sales]]&lt;($B$7-1.5*$B$9)),"Outlier","Normal")</f>
        <v>Normal</v>
      </c>
      <c r="H586" s="22"/>
      <c r="I586" s="22">
        <f>Table1[[#This Row],[Sales]]/Table1[[#This Row],[USD_Spend]]</f>
        <v>43.500251328997273</v>
      </c>
    </row>
    <row r="587" spans="1:9" x14ac:dyDescent="0.35">
      <c r="A587" s="3" t="s">
        <v>79</v>
      </c>
      <c r="B587" s="15">
        <v>1195.46</v>
      </c>
      <c r="C587" s="1" t="str">
        <f>IF(OR(Table14[[#This Row],[USD_Spend]]&gt;($B$4+1.5*$B$8),Table14[[#This Row],[USD_Spend]]&lt;($B$6-1.5*$B$8)),"Outlier","Normal")</f>
        <v>Normal</v>
      </c>
      <c r="D587" s="1">
        <v>727552</v>
      </c>
      <c r="E587" s="1">
        <v>23162</v>
      </c>
      <c r="F587" s="15">
        <v>92067.64</v>
      </c>
      <c r="G587" s="15" t="str">
        <f>IF(OR(Table14[[#This Row],[Sales]]&gt;($B$5+1.5*$B$9),Table14[[#This Row],[Sales]]&lt;($B$7-1.5*$B$9)),"Outlier","Normal")</f>
        <v>Normal</v>
      </c>
      <c r="H587" s="22"/>
      <c r="I587" s="22">
        <f>Table1[[#This Row],[Sales]]/Table1[[#This Row],[USD_Spend]]</f>
        <v>16.963865111895437</v>
      </c>
    </row>
    <row r="588" spans="1:9" x14ac:dyDescent="0.35">
      <c r="A588" s="3" t="s">
        <v>98</v>
      </c>
      <c r="B588" s="15">
        <v>4443.6000000000004</v>
      </c>
      <c r="C588" s="1" t="str">
        <f>IF(OR(Table14[[#This Row],[USD_Spend]]&gt;($B$4+1.5*$B$8),Table14[[#This Row],[USD_Spend]]&lt;($B$6-1.5*$B$8)),"Outlier","Normal")</f>
        <v>Normal</v>
      </c>
      <c r="D588" s="1">
        <v>94714</v>
      </c>
      <c r="E588" s="1">
        <v>21209</v>
      </c>
      <c r="F588" s="15">
        <v>154032.87</v>
      </c>
      <c r="G588" s="15" t="str">
        <f>IF(OR(Table14[[#This Row],[Sales]]&gt;($B$5+1.5*$B$9),Table14[[#This Row],[Sales]]&lt;($B$7-1.5*$B$9)),"Outlier","Normal")</f>
        <v>Normal</v>
      </c>
      <c r="H588" s="22"/>
      <c r="I588" s="22">
        <f>Table1[[#This Row],[Sales]]/Table1[[#This Row],[USD_Spend]]</f>
        <v>165.08416744258227</v>
      </c>
    </row>
    <row r="589" spans="1:9" x14ac:dyDescent="0.35">
      <c r="A589" s="3" t="s">
        <v>57</v>
      </c>
      <c r="B589" s="15">
        <v>3204.82</v>
      </c>
      <c r="C589" s="1" t="str">
        <f>IF(OR(Table14[[#This Row],[USD_Spend]]&gt;($B$4+1.5*$B$8),Table14[[#This Row],[USD_Spend]]&lt;($B$6-1.5*$B$8)),"Outlier","Normal")</f>
        <v>Normal</v>
      </c>
      <c r="D589" s="1">
        <v>171177</v>
      </c>
      <c r="E589" s="1">
        <v>27016</v>
      </c>
      <c r="F589" s="15">
        <v>35341.449999999997</v>
      </c>
      <c r="G589" s="15" t="str">
        <f>IF(OR(Table14[[#This Row],[Sales]]&gt;($B$5+1.5*$B$9),Table14[[#This Row],[Sales]]&lt;($B$7-1.5*$B$9)),"Outlier","Normal")</f>
        <v>Normal</v>
      </c>
      <c r="H589" s="22"/>
      <c r="I589" s="22">
        <f>Table1[[#This Row],[Sales]]/Table1[[#This Row],[USD_Spend]]</f>
        <v>39.354804102909029</v>
      </c>
    </row>
    <row r="590" spans="1:9" x14ac:dyDescent="0.35">
      <c r="A590" s="3" t="s">
        <v>91</v>
      </c>
      <c r="B590" s="15">
        <v>17729.38</v>
      </c>
      <c r="C590" s="1" t="str">
        <f>IF(OR(Table14[[#This Row],[USD_Spend]]&gt;($B$4+1.5*$B$8),Table14[[#This Row],[USD_Spend]]&lt;($B$6-1.5*$B$8)),"Outlier","Normal")</f>
        <v>Normal</v>
      </c>
      <c r="D590" s="1">
        <v>130671</v>
      </c>
      <c r="E590" s="1">
        <v>17748</v>
      </c>
      <c r="F590" s="15">
        <v>19854.830000000002</v>
      </c>
      <c r="G590" s="15" t="str">
        <f>IF(OR(Table14[[#This Row],[Sales]]&gt;($B$5+1.5*$B$9),Table14[[#This Row],[Sales]]&lt;($B$7-1.5*$B$9)),"Outlier","Normal")</f>
        <v>Normal</v>
      </c>
      <c r="H590" s="22"/>
      <c r="I590" s="22">
        <f>Table1[[#This Row],[Sales]]/Table1[[#This Row],[USD_Spend]]</f>
        <v>4.3957115799495599</v>
      </c>
    </row>
    <row r="591" spans="1:9" x14ac:dyDescent="0.35">
      <c r="A591" s="3" t="s">
        <v>103</v>
      </c>
      <c r="B591" s="15">
        <v>1207.23</v>
      </c>
      <c r="C591" s="1" t="str">
        <f>IF(OR(Table14[[#This Row],[USD_Spend]]&gt;($B$4+1.5*$B$8),Table14[[#This Row],[USD_Spend]]&lt;($B$6-1.5*$B$8)),"Outlier","Normal")</f>
        <v>Normal</v>
      </c>
      <c r="D591" s="1">
        <v>486663</v>
      </c>
      <c r="E591" s="1">
        <v>32431</v>
      </c>
      <c r="F591" s="15">
        <v>212924.72</v>
      </c>
      <c r="G591" s="15" t="str">
        <f>IF(OR(Table14[[#This Row],[Sales]]&gt;($B$5+1.5*$B$9),Table14[[#This Row],[Sales]]&lt;($B$7-1.5*$B$9)),"Outlier","Normal")</f>
        <v>Normal</v>
      </c>
      <c r="H591" s="22"/>
      <c r="I591" s="22">
        <f>Table1[[#This Row],[Sales]]/Table1[[#This Row],[USD_Spend]]</f>
        <v>115.04659030047328</v>
      </c>
    </row>
    <row r="592" spans="1:9" x14ac:dyDescent="0.35">
      <c r="A592" s="3" t="s">
        <v>55</v>
      </c>
      <c r="B592" s="15">
        <v>10995.29</v>
      </c>
      <c r="C592" s="1" t="str">
        <f>IF(OR(Table14[[#This Row],[USD_Spend]]&gt;($B$4+1.5*$B$8),Table14[[#This Row],[USD_Spend]]&lt;($B$6-1.5*$B$8)),"Outlier","Normal")</f>
        <v>Normal</v>
      </c>
      <c r="D592" s="1">
        <v>781934</v>
      </c>
      <c r="E592" s="1">
        <v>20547</v>
      </c>
      <c r="F592" s="15">
        <v>173326.41</v>
      </c>
      <c r="G592" s="15" t="str">
        <f>IF(OR(Table14[[#This Row],[Sales]]&gt;($B$5+1.5*$B$9),Table14[[#This Row],[Sales]]&lt;($B$7-1.5*$B$9)),"Outlier","Normal")</f>
        <v>Normal</v>
      </c>
      <c r="H592" s="22"/>
      <c r="I592" s="22">
        <f>Table1[[#This Row],[Sales]]/Table1[[#This Row],[USD_Spend]]</f>
        <v>1.8700650094060454</v>
      </c>
    </row>
    <row r="593" spans="1:9" x14ac:dyDescent="0.35">
      <c r="A593" s="3" t="s">
        <v>47</v>
      </c>
      <c r="B593" s="15">
        <v>34883.43</v>
      </c>
      <c r="C593" s="1" t="str">
        <f>IF(OR(Table14[[#This Row],[USD_Spend]]&gt;($B$4+1.5*$B$8),Table14[[#This Row],[USD_Spend]]&lt;($B$6-1.5*$B$8)),"Outlier","Normal")</f>
        <v>Normal</v>
      </c>
      <c r="D593" s="1">
        <v>503446</v>
      </c>
      <c r="E593" s="1">
        <v>18826</v>
      </c>
      <c r="F593" s="15">
        <v>136489.23000000001</v>
      </c>
      <c r="G593" s="15" t="str">
        <f>IF(OR(Table14[[#This Row],[Sales]]&gt;($B$5+1.5*$B$9),Table14[[#This Row],[Sales]]&lt;($B$7-1.5*$B$9)),"Outlier","Normal")</f>
        <v>Normal</v>
      </c>
      <c r="H593" s="22"/>
      <c r="I593" s="22">
        <f>Table1[[#This Row],[Sales]]/Table1[[#This Row],[USD_Spend]]</f>
        <v>3.1456061181900625</v>
      </c>
    </row>
    <row r="594" spans="1:9" x14ac:dyDescent="0.35">
      <c r="A594" s="3" t="s">
        <v>109</v>
      </c>
      <c r="B594" s="15">
        <v>16270.97</v>
      </c>
      <c r="C594" s="1" t="str">
        <f>IF(OR(Table14[[#This Row],[USD_Spend]]&gt;($B$4+1.5*$B$8),Table14[[#This Row],[USD_Spend]]&lt;($B$6-1.5*$B$8)),"Outlier","Normal")</f>
        <v>Normal</v>
      </c>
      <c r="D594" s="1">
        <v>859566</v>
      </c>
      <c r="E594" s="1">
        <v>21932</v>
      </c>
      <c r="F594" s="15">
        <v>42412.05</v>
      </c>
      <c r="G594" s="15" t="str">
        <f>IF(OR(Table14[[#This Row],[Sales]]&gt;($B$5+1.5*$B$9),Table14[[#This Row],[Sales]]&lt;($B$7-1.5*$B$9)),"Outlier","Normal")</f>
        <v>Normal</v>
      </c>
      <c r="H594" s="22"/>
      <c r="I594" s="22">
        <f>Table1[[#This Row],[Sales]]/Table1[[#This Row],[USD_Spend]]</f>
        <v>5.3006179251786962</v>
      </c>
    </row>
    <row r="595" spans="1:9" x14ac:dyDescent="0.35">
      <c r="A595" s="3" t="s">
        <v>97</v>
      </c>
      <c r="B595" s="15">
        <v>2366.6799999999998</v>
      </c>
      <c r="C595" s="1" t="str">
        <f>IF(OR(Table14[[#This Row],[USD_Spend]]&gt;($B$4+1.5*$B$8),Table14[[#This Row],[USD_Spend]]&lt;($B$6-1.5*$B$8)),"Outlier","Normal")</f>
        <v>Normal</v>
      </c>
      <c r="D595" s="1">
        <v>677837</v>
      </c>
      <c r="E595" s="1">
        <v>18973</v>
      </c>
      <c r="F595" s="15">
        <v>177934.07</v>
      </c>
      <c r="G595" s="15" t="str">
        <f>IF(OR(Table14[[#This Row],[Sales]]&gt;($B$5+1.5*$B$9),Table14[[#This Row],[Sales]]&lt;($B$7-1.5*$B$9)),"Outlier","Normal")</f>
        <v>Normal</v>
      </c>
      <c r="H595" s="22"/>
      <c r="I595" s="22">
        <f>Table1[[#This Row],[Sales]]/Table1[[#This Row],[USD_Spend]]</f>
        <v>8.4875730959200162</v>
      </c>
    </row>
    <row r="596" spans="1:9" x14ac:dyDescent="0.35">
      <c r="A596" s="3" t="s">
        <v>90</v>
      </c>
      <c r="B596" s="15">
        <v>1969.53</v>
      </c>
      <c r="C596" s="1" t="str">
        <f>IF(OR(Table14[[#This Row],[USD_Spend]]&gt;($B$4+1.5*$B$8),Table14[[#This Row],[USD_Spend]]&lt;($B$6-1.5*$B$8)),"Outlier","Normal")</f>
        <v>Normal</v>
      </c>
      <c r="D596" s="1">
        <v>855872</v>
      </c>
      <c r="E596" s="1">
        <v>20639</v>
      </c>
      <c r="F596" s="15">
        <v>85675.05</v>
      </c>
      <c r="G596" s="15" t="str">
        <f>IF(OR(Table14[[#This Row],[Sales]]&gt;($B$5+1.5*$B$9),Table14[[#This Row],[Sales]]&lt;($B$7-1.5*$B$9)),"Outlier","Normal")</f>
        <v>Normal</v>
      </c>
      <c r="H596" s="22"/>
      <c r="I596" s="22">
        <f>Table1[[#This Row],[Sales]]/Table1[[#This Row],[USD_Spend]]</f>
        <v>16.888931903887908</v>
      </c>
    </row>
    <row r="597" spans="1:9" x14ac:dyDescent="0.35">
      <c r="A597" s="3" t="s">
        <v>84</v>
      </c>
      <c r="B597" s="15">
        <v>3618.11</v>
      </c>
      <c r="C597" s="1" t="str">
        <f>IF(OR(Table14[[#This Row],[USD_Spend]]&gt;($B$4+1.5*$B$8),Table14[[#This Row],[USD_Spend]]&lt;($B$6-1.5*$B$8)),"Outlier","Normal")</f>
        <v>Normal</v>
      </c>
      <c r="D597" s="1">
        <v>568453</v>
      </c>
      <c r="E597" s="1">
        <v>46215</v>
      </c>
      <c r="F597" s="15">
        <v>61377.13</v>
      </c>
      <c r="G597" s="15" t="str">
        <f>IF(OR(Table14[[#This Row],[Sales]]&gt;($B$5+1.5*$B$9),Table14[[#This Row],[Sales]]&lt;($B$7-1.5*$B$9)),"Outlier","Normal")</f>
        <v>Normal</v>
      </c>
      <c r="H597" s="22"/>
      <c r="I597" s="22">
        <f>Table1[[#This Row],[Sales]]/Table1[[#This Row],[USD_Spend]]</f>
        <v>0.29102962068160942</v>
      </c>
    </row>
    <row r="598" spans="1:9" x14ac:dyDescent="0.35">
      <c r="A598" s="3" t="s">
        <v>79</v>
      </c>
      <c r="B598" s="15">
        <v>515.52</v>
      </c>
      <c r="C598" s="1" t="str">
        <f>IF(OR(Table14[[#This Row],[USD_Spend]]&gt;($B$4+1.5*$B$8),Table14[[#This Row],[USD_Spend]]&lt;($B$6-1.5*$B$8)),"Outlier","Normal")</f>
        <v>Normal</v>
      </c>
      <c r="D598" s="1">
        <v>643952</v>
      </c>
      <c r="E598" s="1">
        <v>44612</v>
      </c>
      <c r="F598" s="15">
        <v>85104.19</v>
      </c>
      <c r="G598" s="15" t="str">
        <f>IF(OR(Table14[[#This Row],[Sales]]&gt;($B$5+1.5*$B$9),Table14[[#This Row],[Sales]]&lt;($B$7-1.5*$B$9)),"Outlier","Normal")</f>
        <v>Normal</v>
      </c>
      <c r="H598" s="22"/>
      <c r="I598" s="22">
        <f>Table1[[#This Row],[Sales]]/Table1[[#This Row],[USD_Spend]]</f>
        <v>0.40563547775450171</v>
      </c>
    </row>
    <row r="599" spans="1:9" x14ac:dyDescent="0.35">
      <c r="A599" s="3" t="s">
        <v>67</v>
      </c>
      <c r="B599" s="15">
        <v>2973.5</v>
      </c>
      <c r="C599" s="1" t="str">
        <f>IF(OR(Table14[[#This Row],[USD_Spend]]&gt;($B$4+1.5*$B$8),Table14[[#This Row],[USD_Spend]]&lt;($B$6-1.5*$B$8)),"Outlier","Normal")</f>
        <v>Normal</v>
      </c>
      <c r="D599" s="1">
        <v>422344</v>
      </c>
      <c r="E599" s="1">
        <v>33224</v>
      </c>
      <c r="F599" s="15">
        <v>117021.51</v>
      </c>
      <c r="G599" s="15" t="str">
        <f>IF(OR(Table14[[#This Row],[Sales]]&gt;($B$5+1.5*$B$9),Table14[[#This Row],[Sales]]&lt;($B$7-1.5*$B$9)),"Outlier","Normal")</f>
        <v>Normal</v>
      </c>
      <c r="H599" s="22"/>
      <c r="I599" s="22">
        <f>Table1[[#This Row],[Sales]]/Table1[[#This Row],[USD_Spend]]</f>
        <v>17.684189184174251</v>
      </c>
    </row>
    <row r="600" spans="1:9" x14ac:dyDescent="0.35">
      <c r="A600" s="3" t="s">
        <v>101</v>
      </c>
      <c r="B600" s="15">
        <v>4936.55</v>
      </c>
      <c r="C600" s="1" t="str">
        <f>IF(OR(Table14[[#This Row],[USD_Spend]]&gt;($B$4+1.5*$B$8),Table14[[#This Row],[USD_Spend]]&lt;($B$6-1.5*$B$8)),"Outlier","Normal")</f>
        <v>Normal</v>
      </c>
      <c r="D600" s="1">
        <v>319967</v>
      </c>
      <c r="E600" s="1">
        <v>10682</v>
      </c>
      <c r="F600" s="15">
        <v>21699.65</v>
      </c>
      <c r="G600" s="15" t="str">
        <f>IF(OR(Table14[[#This Row],[Sales]]&gt;($B$5+1.5*$B$9),Table14[[#This Row],[Sales]]&lt;($B$7-1.5*$B$9)),"Outlier","Normal")</f>
        <v>Normal</v>
      </c>
      <c r="H600" s="22"/>
      <c r="I600" s="22">
        <f>Table1[[#This Row],[Sales]]/Table1[[#This Row],[USD_Spend]]</f>
        <v>9.6744881448108018</v>
      </c>
    </row>
    <row r="601" spans="1:9" x14ac:dyDescent="0.35">
      <c r="A601" s="3" t="s">
        <v>117</v>
      </c>
      <c r="B601" s="15">
        <v>1829.78</v>
      </c>
      <c r="C601" s="1" t="str">
        <f>IF(OR(Table14[[#This Row],[USD_Spend]]&gt;($B$4+1.5*$B$8),Table14[[#This Row],[USD_Spend]]&lt;($B$6-1.5*$B$8)),"Outlier","Normal")</f>
        <v>Normal</v>
      </c>
      <c r="D601" s="1">
        <v>990741</v>
      </c>
      <c r="E601" s="1">
        <v>28464</v>
      </c>
      <c r="F601" s="15">
        <v>210509.95</v>
      </c>
      <c r="G601" s="15" t="str">
        <f>IF(OR(Table14[[#This Row],[Sales]]&gt;($B$5+1.5*$B$9),Table14[[#This Row],[Sales]]&lt;($B$7-1.5*$B$9)),"Outlier","Normal")</f>
        <v>Normal</v>
      </c>
      <c r="H601" s="22"/>
      <c r="I601" s="22">
        <f>Table1[[#This Row],[Sales]]/Table1[[#This Row],[USD_Spend]]</f>
        <v>2.3018875679179098</v>
      </c>
    </row>
    <row r="602" spans="1:9" x14ac:dyDescent="0.35">
      <c r="A602" s="3" t="s">
        <v>102</v>
      </c>
      <c r="B602" s="15">
        <v>47123.95</v>
      </c>
      <c r="C602" s="1" t="str">
        <f>IF(OR(Table14[[#This Row],[USD_Spend]]&gt;($B$4+1.5*$B$8),Table14[[#This Row],[USD_Spend]]&lt;($B$6-1.5*$B$8)),"Outlier","Normal")</f>
        <v>Normal</v>
      </c>
      <c r="D602" s="1">
        <v>27215</v>
      </c>
      <c r="E602" s="1">
        <v>2527</v>
      </c>
      <c r="F602" s="15">
        <v>88124.85</v>
      </c>
      <c r="G602" s="15" t="str">
        <f>IF(OR(Table14[[#This Row],[Sales]]&gt;($B$5+1.5*$B$9),Table14[[#This Row],[Sales]]&lt;($B$7-1.5*$B$9)),"Outlier","Normal")</f>
        <v>Normal</v>
      </c>
      <c r="H602" s="22"/>
      <c r="I602" s="22">
        <f>Table1[[#This Row],[Sales]]/Table1[[#This Row],[USD_Spend]]</f>
        <v>135.98056263014243</v>
      </c>
    </row>
    <row r="603" spans="1:9" x14ac:dyDescent="0.35">
      <c r="A603" s="3" t="s">
        <v>106</v>
      </c>
      <c r="B603" s="15">
        <v>36442.15</v>
      </c>
      <c r="C603" s="1" t="str">
        <f>IF(OR(Table14[[#This Row],[USD_Spend]]&gt;($B$4+1.5*$B$8),Table14[[#This Row],[USD_Spend]]&lt;($B$6-1.5*$B$8)),"Outlier","Normal")</f>
        <v>Normal</v>
      </c>
      <c r="D603" s="1">
        <v>558706</v>
      </c>
      <c r="E603" s="1">
        <v>22474</v>
      </c>
      <c r="F603" s="15">
        <v>114632.65</v>
      </c>
      <c r="G603" s="15" t="str">
        <f>IF(OR(Table14[[#This Row],[Sales]]&gt;($B$5+1.5*$B$9),Table14[[#This Row],[Sales]]&lt;($B$7-1.5*$B$9)),"Outlier","Normal")</f>
        <v>Normal</v>
      </c>
      <c r="H603" s="22"/>
      <c r="I603" s="22">
        <f>Table1[[#This Row],[Sales]]/Table1[[#This Row],[USD_Spend]]</f>
        <v>9.7918625514546065</v>
      </c>
    </row>
    <row r="604" spans="1:9" x14ac:dyDescent="0.35">
      <c r="A604" s="3" t="s">
        <v>96</v>
      </c>
      <c r="B604" s="15">
        <v>20379.490000000002</v>
      </c>
      <c r="C604" s="1" t="str">
        <f>IF(OR(Table14[[#This Row],[USD_Spend]]&gt;($B$4+1.5*$B$8),Table14[[#This Row],[USD_Spend]]&lt;($B$6-1.5*$B$8)),"Outlier","Normal")</f>
        <v>Normal</v>
      </c>
      <c r="D604" s="1">
        <v>458443</v>
      </c>
      <c r="E604" s="1">
        <v>30675</v>
      </c>
      <c r="F604" s="15">
        <v>108023.89</v>
      </c>
      <c r="G604" s="15" t="str">
        <f>IF(OR(Table14[[#This Row],[Sales]]&gt;($B$5+1.5*$B$9),Table14[[#This Row],[Sales]]&lt;($B$7-1.5*$B$9)),"Outlier","Normal")</f>
        <v>Normal</v>
      </c>
      <c r="H604" s="22"/>
      <c r="I604" s="22">
        <f>Table1[[#This Row],[Sales]]/Table1[[#This Row],[USD_Spend]]</f>
        <v>4.5319773573361228</v>
      </c>
    </row>
    <row r="605" spans="1:9" x14ac:dyDescent="0.35">
      <c r="A605" s="3" t="s">
        <v>83</v>
      </c>
      <c r="B605" s="15">
        <v>12548.58</v>
      </c>
      <c r="C605" s="1" t="str">
        <f>IF(OR(Table14[[#This Row],[USD_Spend]]&gt;($B$4+1.5*$B$8),Table14[[#This Row],[USD_Spend]]&lt;($B$6-1.5*$B$8)),"Outlier","Normal")</f>
        <v>Normal</v>
      </c>
      <c r="D605" s="1">
        <v>338574</v>
      </c>
      <c r="E605" s="1">
        <v>13212</v>
      </c>
      <c r="F605" s="15">
        <v>106506.99</v>
      </c>
      <c r="G605" s="15" t="str">
        <f>IF(OR(Table14[[#This Row],[Sales]]&gt;($B$5+1.5*$B$9),Table14[[#This Row],[Sales]]&lt;($B$7-1.5*$B$9)),"Outlier","Normal")</f>
        <v>Normal</v>
      </c>
      <c r="H605" s="22"/>
      <c r="I605" s="22">
        <f>Table1[[#This Row],[Sales]]/Table1[[#This Row],[USD_Spend]]</f>
        <v>113.37844569014041</v>
      </c>
    </row>
    <row r="606" spans="1:9" x14ac:dyDescent="0.35">
      <c r="A606" s="3" t="s">
        <v>88</v>
      </c>
      <c r="B606" s="15">
        <v>12863.73</v>
      </c>
      <c r="C606" s="1" t="str">
        <f>IF(OR(Table14[[#This Row],[USD_Spend]]&gt;($B$4+1.5*$B$8),Table14[[#This Row],[USD_Spend]]&lt;($B$6-1.5*$B$8)),"Outlier","Normal")</f>
        <v>Normal</v>
      </c>
      <c r="D606" s="1">
        <v>480888</v>
      </c>
      <c r="E606" s="1">
        <v>9863</v>
      </c>
      <c r="F606" s="15">
        <v>217254.66</v>
      </c>
      <c r="G606" s="15" t="str">
        <f>IF(OR(Table14[[#This Row],[Sales]]&gt;($B$5+1.5*$B$9),Table14[[#This Row],[Sales]]&lt;($B$7-1.5*$B$9)),"Outlier","Normal")</f>
        <v>Normal</v>
      </c>
      <c r="H606" s="22"/>
      <c r="I606" s="22">
        <f>Table1[[#This Row],[Sales]]/Table1[[#This Row],[USD_Spend]]</f>
        <v>21.991686828541209</v>
      </c>
    </row>
    <row r="607" spans="1:9" x14ac:dyDescent="0.35">
      <c r="A607" s="3" t="s">
        <v>105</v>
      </c>
      <c r="B607" s="15">
        <v>33858.1</v>
      </c>
      <c r="C607" s="1" t="str">
        <f>IF(OR(Table14[[#This Row],[USD_Spend]]&gt;($B$4+1.5*$B$8),Table14[[#This Row],[USD_Spend]]&lt;($B$6-1.5*$B$8)),"Outlier","Normal")</f>
        <v>Normal</v>
      </c>
      <c r="D607" s="1">
        <v>869416</v>
      </c>
      <c r="E607" s="1">
        <v>31688</v>
      </c>
      <c r="F607" s="15">
        <v>9853.7099999999991</v>
      </c>
      <c r="G607" s="15" t="str">
        <f>IF(OR(Table14[[#This Row],[Sales]]&gt;($B$5+1.5*$B$9),Table14[[#This Row],[Sales]]&lt;($B$7-1.5*$B$9)),"Outlier","Normal")</f>
        <v>Normal</v>
      </c>
      <c r="H607" s="22"/>
      <c r="I607" s="22">
        <f>Table1[[#This Row],[Sales]]/Table1[[#This Row],[USD_Spend]]</f>
        <v>1.3892693696585641</v>
      </c>
    </row>
    <row r="608" spans="1:9" x14ac:dyDescent="0.35">
      <c r="A608" s="3" t="s">
        <v>79</v>
      </c>
      <c r="B608" s="15">
        <v>12378.01</v>
      </c>
      <c r="C608" s="1" t="str">
        <f>IF(OR(Table14[[#This Row],[USD_Spend]]&gt;($B$4+1.5*$B$8),Table14[[#This Row],[USD_Spend]]&lt;($B$6-1.5*$B$8)),"Outlier","Normal")</f>
        <v>Normal</v>
      </c>
      <c r="D608" s="1">
        <v>453601</v>
      </c>
      <c r="E608" s="1">
        <v>43233</v>
      </c>
      <c r="F608" s="15">
        <v>5020.96</v>
      </c>
      <c r="G608" s="15" t="str">
        <f>IF(OR(Table14[[#This Row],[Sales]]&gt;($B$5+1.5*$B$9),Table14[[#This Row],[Sales]]&lt;($B$7-1.5*$B$9)),"Outlier","Normal")</f>
        <v>Normal</v>
      </c>
      <c r="H608" s="22"/>
      <c r="I608" s="22">
        <f>Table1[[#This Row],[Sales]]/Table1[[#This Row],[USD_Spend]]</f>
        <v>5.5215725060611529</v>
      </c>
    </row>
    <row r="609" spans="1:9" x14ac:dyDescent="0.35">
      <c r="A609" s="3" t="s">
        <v>109</v>
      </c>
      <c r="B609" s="15">
        <v>11048.07</v>
      </c>
      <c r="C609" s="1" t="str">
        <f>IF(OR(Table14[[#This Row],[USD_Spend]]&gt;($B$4+1.5*$B$8),Table14[[#This Row],[USD_Spend]]&lt;($B$6-1.5*$B$8)),"Outlier","Normal")</f>
        <v>Normal</v>
      </c>
      <c r="D609" s="1">
        <v>547756</v>
      </c>
      <c r="E609" s="1">
        <v>44145</v>
      </c>
      <c r="F609" s="15">
        <v>195376.16</v>
      </c>
      <c r="G609" s="15" t="str">
        <f>IF(OR(Table14[[#This Row],[Sales]]&gt;($B$5+1.5*$B$9),Table14[[#This Row],[Sales]]&lt;($B$7-1.5*$B$9)),"Outlier","Normal")</f>
        <v>Normal</v>
      </c>
      <c r="H609" s="22"/>
      <c r="I609" s="22">
        <f>Table1[[#This Row],[Sales]]/Table1[[#This Row],[USD_Spend]]</f>
        <v>0.18619327521280149</v>
      </c>
    </row>
    <row r="610" spans="1:9" x14ac:dyDescent="0.35">
      <c r="A610" s="3" t="s">
        <v>66</v>
      </c>
      <c r="B610" s="15">
        <v>15938.59</v>
      </c>
      <c r="C610" s="1" t="str">
        <f>IF(OR(Table14[[#This Row],[USD_Spend]]&gt;($B$4+1.5*$B$8),Table14[[#This Row],[USD_Spend]]&lt;($B$6-1.5*$B$8)),"Outlier","Normal")</f>
        <v>Normal</v>
      </c>
      <c r="D610" s="1">
        <v>679987</v>
      </c>
      <c r="E610" s="1">
        <v>33370</v>
      </c>
      <c r="F610" s="15">
        <v>154197.70000000001</v>
      </c>
      <c r="G610" s="15" t="str">
        <f>IF(OR(Table14[[#This Row],[Sales]]&gt;($B$5+1.5*$B$9),Table14[[#This Row],[Sales]]&lt;($B$7-1.5*$B$9)),"Outlier","Normal")</f>
        <v>Normal</v>
      </c>
      <c r="H610" s="22"/>
      <c r="I610" s="22">
        <f>Table1[[#This Row],[Sales]]/Table1[[#This Row],[USD_Spend]]</f>
        <v>21.334783146730718</v>
      </c>
    </row>
    <row r="611" spans="1:9" x14ac:dyDescent="0.35">
      <c r="A611" s="3" t="s">
        <v>102</v>
      </c>
      <c r="B611" s="15">
        <v>33820.239999999998</v>
      </c>
      <c r="C611" s="1" t="str">
        <f>IF(OR(Table14[[#This Row],[USD_Spend]]&gt;($B$4+1.5*$B$8),Table14[[#This Row],[USD_Spend]]&lt;($B$6-1.5*$B$8)),"Outlier","Normal")</f>
        <v>Normal</v>
      </c>
      <c r="D611" s="1">
        <v>111605</v>
      </c>
      <c r="E611" s="1">
        <v>15321</v>
      </c>
      <c r="F611" s="15">
        <v>77850.39</v>
      </c>
      <c r="G611" s="15" t="str">
        <f>IF(OR(Table14[[#This Row],[Sales]]&gt;($B$5+1.5*$B$9),Table14[[#This Row],[Sales]]&lt;($B$7-1.5*$B$9)),"Outlier","Normal")</f>
        <v>Normal</v>
      </c>
      <c r="H611" s="22"/>
      <c r="I611" s="22">
        <f>Table1[[#This Row],[Sales]]/Table1[[#This Row],[USD_Spend]]</f>
        <v>50.810764817852473</v>
      </c>
    </row>
    <row r="612" spans="1:9" x14ac:dyDescent="0.35">
      <c r="A612" s="3" t="s">
        <v>115</v>
      </c>
      <c r="B612" s="15">
        <v>1205.4100000000001</v>
      </c>
      <c r="C612" s="1" t="str">
        <f>IF(OR(Table14[[#This Row],[USD_Spend]]&gt;($B$4+1.5*$B$8),Table14[[#This Row],[USD_Spend]]&lt;($B$6-1.5*$B$8)),"Outlier","Normal")</f>
        <v>Normal</v>
      </c>
      <c r="D612" s="1">
        <v>112564</v>
      </c>
      <c r="E612" s="1">
        <v>3320</v>
      </c>
      <c r="F612" s="15">
        <v>163912.32999999999</v>
      </c>
      <c r="G612" s="15" t="str">
        <f>IF(OR(Table14[[#This Row],[Sales]]&gt;($B$5+1.5*$B$9),Table14[[#This Row],[Sales]]&lt;($B$7-1.5*$B$9)),"Outlier","Normal")</f>
        <v>Normal</v>
      </c>
      <c r="H612" s="22"/>
      <c r="I612" s="22">
        <f>Table1[[#This Row],[Sales]]/Table1[[#This Row],[USD_Spend]]</f>
        <v>19.669593374105517</v>
      </c>
    </row>
    <row r="613" spans="1:9" x14ac:dyDescent="0.35">
      <c r="A613" s="3" t="s">
        <v>42</v>
      </c>
      <c r="B613" s="15">
        <v>16140.44</v>
      </c>
      <c r="C613" s="1" t="str">
        <f>IF(OR(Table14[[#This Row],[USD_Spend]]&gt;($B$4+1.5*$B$8),Table14[[#This Row],[USD_Spend]]&lt;($B$6-1.5*$B$8)),"Outlier","Normal")</f>
        <v>Normal</v>
      </c>
      <c r="D613" s="1">
        <v>667233</v>
      </c>
      <c r="E613" s="1">
        <v>12522</v>
      </c>
      <c r="F613" s="15">
        <v>158044.97</v>
      </c>
      <c r="G613" s="15" t="str">
        <f>IF(OR(Table14[[#This Row],[Sales]]&gt;($B$5+1.5*$B$9),Table14[[#This Row],[Sales]]&lt;($B$7-1.5*$B$9)),"Outlier","Normal")</f>
        <v>Normal</v>
      </c>
      <c r="H613" s="22"/>
      <c r="I613" s="22">
        <f>Table1[[#This Row],[Sales]]/Table1[[#This Row],[USD_Spend]]</f>
        <v>5.7445978912171451</v>
      </c>
    </row>
    <row r="614" spans="1:9" x14ac:dyDescent="0.35">
      <c r="A614" s="3" t="s">
        <v>42</v>
      </c>
      <c r="B614" s="15">
        <v>39682.61</v>
      </c>
      <c r="C614" s="1" t="str">
        <f>IF(OR(Table14[[#This Row],[USD_Spend]]&gt;($B$4+1.5*$B$8),Table14[[#This Row],[USD_Spend]]&lt;($B$6-1.5*$B$8)),"Outlier","Normal")</f>
        <v>Normal</v>
      </c>
      <c r="D614" s="1">
        <v>689068</v>
      </c>
      <c r="E614" s="1">
        <v>45073</v>
      </c>
      <c r="F614" s="15">
        <v>179840.69</v>
      </c>
      <c r="G614" s="15" t="str">
        <f>IF(OR(Table14[[#This Row],[Sales]]&gt;($B$5+1.5*$B$9),Table14[[#This Row],[Sales]]&lt;($B$7-1.5*$B$9)),"Outlier","Normal")</f>
        <v>Normal</v>
      </c>
      <c r="H614" s="22"/>
      <c r="I614" s="22">
        <f>Table1[[#This Row],[Sales]]/Table1[[#This Row],[USD_Spend]]</f>
        <v>11.334991201585066</v>
      </c>
    </row>
    <row r="615" spans="1:9" x14ac:dyDescent="0.35">
      <c r="A615" s="3" t="s">
        <v>96</v>
      </c>
      <c r="B615" s="15">
        <v>1296.9100000000001</v>
      </c>
      <c r="C615" s="1" t="str">
        <f>IF(OR(Table14[[#This Row],[USD_Spend]]&gt;($B$4+1.5*$B$8),Table14[[#This Row],[USD_Spend]]&lt;($B$6-1.5*$B$8)),"Outlier","Normal")</f>
        <v>Normal</v>
      </c>
      <c r="D615" s="1">
        <v>476428</v>
      </c>
      <c r="E615" s="1">
        <v>38943</v>
      </c>
      <c r="F615" s="15">
        <v>147041.64000000001</v>
      </c>
      <c r="G615" s="15" t="str">
        <f>IF(OR(Table14[[#This Row],[Sales]]&gt;($B$5+1.5*$B$9),Table14[[#This Row],[Sales]]&lt;($B$7-1.5*$B$9)),"Outlier","Normal")</f>
        <v>Normal</v>
      </c>
      <c r="H615" s="22"/>
      <c r="I615" s="22">
        <f>Table1[[#This Row],[Sales]]/Table1[[#This Row],[USD_Spend]]</f>
        <v>11.21112609900233</v>
      </c>
    </row>
    <row r="616" spans="1:9" x14ac:dyDescent="0.35">
      <c r="A616" s="3" t="s">
        <v>86</v>
      </c>
      <c r="B616" s="15">
        <v>10237.969999999999</v>
      </c>
      <c r="C616" s="1" t="str">
        <f>IF(OR(Table14[[#This Row],[USD_Spend]]&gt;($B$4+1.5*$B$8),Table14[[#This Row],[USD_Spend]]&lt;($B$6-1.5*$B$8)),"Outlier","Normal")</f>
        <v>Normal</v>
      </c>
      <c r="D616" s="1">
        <v>392615</v>
      </c>
      <c r="E616" s="1">
        <v>7622</v>
      </c>
      <c r="F616" s="15">
        <v>225150.23</v>
      </c>
      <c r="G616" s="15" t="str">
        <f>IF(OR(Table14[[#This Row],[Sales]]&gt;($B$5+1.5*$B$9),Table14[[#This Row],[Sales]]&lt;($B$7-1.5*$B$9)),"Outlier","Normal")</f>
        <v>Normal</v>
      </c>
      <c r="H616" s="22"/>
      <c r="I616" s="22">
        <f>Table1[[#This Row],[Sales]]/Table1[[#This Row],[USD_Spend]]</f>
        <v>1.4199107100570036</v>
      </c>
    </row>
    <row r="617" spans="1:9" x14ac:dyDescent="0.35">
      <c r="A617" s="3" t="s">
        <v>34</v>
      </c>
      <c r="B617" s="15">
        <v>25482.38</v>
      </c>
      <c r="C617" s="1" t="str">
        <f>IF(OR(Table14[[#This Row],[USD_Spend]]&gt;($B$4+1.5*$B$8),Table14[[#This Row],[USD_Spend]]&lt;($B$6-1.5*$B$8)),"Outlier","Normal")</f>
        <v>Normal</v>
      </c>
      <c r="D617" s="1">
        <v>838446</v>
      </c>
      <c r="E617" s="1">
        <v>42809</v>
      </c>
      <c r="F617" s="15">
        <v>35401.89</v>
      </c>
      <c r="G617" s="15" t="str">
        <f>IF(OR(Table14[[#This Row],[Sales]]&gt;($B$5+1.5*$B$9),Table14[[#This Row],[Sales]]&lt;($B$7-1.5*$B$9)),"Outlier","Normal")</f>
        <v>Normal</v>
      </c>
      <c r="H617" s="22"/>
      <c r="I617" s="22">
        <f>Table1[[#This Row],[Sales]]/Table1[[#This Row],[USD_Spend]]</f>
        <v>3.2712470259156943</v>
      </c>
    </row>
    <row r="618" spans="1:9" x14ac:dyDescent="0.35">
      <c r="A618" s="3" t="s">
        <v>99</v>
      </c>
      <c r="B618" s="15">
        <v>13083.32</v>
      </c>
      <c r="C618" s="1" t="str">
        <f>IF(OR(Table14[[#This Row],[USD_Spend]]&gt;($B$4+1.5*$B$8),Table14[[#This Row],[USD_Spend]]&lt;($B$6-1.5*$B$8)),"Outlier","Normal")</f>
        <v>Normal</v>
      </c>
      <c r="D618" s="1">
        <v>675905</v>
      </c>
      <c r="E618" s="1">
        <v>36199</v>
      </c>
      <c r="F618" s="15">
        <v>72240.5</v>
      </c>
      <c r="G618" s="15" t="str">
        <f>IF(OR(Table14[[#This Row],[Sales]]&gt;($B$5+1.5*$B$9),Table14[[#This Row],[Sales]]&lt;($B$7-1.5*$B$9)),"Outlier","Normal")</f>
        <v>Normal</v>
      </c>
      <c r="H618" s="22"/>
      <c r="I618" s="22">
        <f>Table1[[#This Row],[Sales]]/Table1[[#This Row],[USD_Spend]]</f>
        <v>1.0483264222856741</v>
      </c>
    </row>
    <row r="619" spans="1:9" x14ac:dyDescent="0.35">
      <c r="A619" s="3" t="s">
        <v>120</v>
      </c>
      <c r="B619" s="15">
        <v>40772.74</v>
      </c>
      <c r="C619" s="1" t="str">
        <f>IF(OR(Table14[[#This Row],[USD_Spend]]&gt;($B$4+1.5*$B$8),Table14[[#This Row],[USD_Spend]]&lt;($B$6-1.5*$B$8)),"Outlier","Normal")</f>
        <v>Normal</v>
      </c>
      <c r="D619" s="1">
        <v>338487</v>
      </c>
      <c r="E619" s="1">
        <v>35988</v>
      </c>
      <c r="F619" s="15">
        <v>7591.61</v>
      </c>
      <c r="G619" s="15" t="str">
        <f>IF(OR(Table14[[#This Row],[Sales]]&gt;($B$5+1.5*$B$9),Table14[[#This Row],[Sales]]&lt;($B$7-1.5*$B$9)),"Outlier","Normal")</f>
        <v>Normal</v>
      </c>
      <c r="H619" s="22"/>
      <c r="I619" s="22">
        <f>Table1[[#This Row],[Sales]]/Table1[[#This Row],[USD_Spend]]</f>
        <v>164.12878992839495</v>
      </c>
    </row>
    <row r="620" spans="1:9" x14ac:dyDescent="0.35">
      <c r="A620" s="3" t="s">
        <v>94</v>
      </c>
      <c r="B620" s="15">
        <v>4929.37</v>
      </c>
      <c r="C620" s="1" t="str">
        <f>IF(OR(Table14[[#This Row],[USD_Spend]]&gt;($B$4+1.5*$B$8),Table14[[#This Row],[USD_Spend]]&lt;($B$6-1.5*$B$8)),"Outlier","Normal")</f>
        <v>Normal</v>
      </c>
      <c r="D620" s="1">
        <v>853356</v>
      </c>
      <c r="E620" s="1">
        <v>20802</v>
      </c>
      <c r="F620" s="15">
        <v>105167.03999999999</v>
      </c>
      <c r="G620" s="15" t="str">
        <f>IF(OR(Table14[[#This Row],[Sales]]&gt;($B$5+1.5*$B$9),Table14[[#This Row],[Sales]]&lt;($B$7-1.5*$B$9)),"Outlier","Normal")</f>
        <v>Normal</v>
      </c>
      <c r="H620" s="22"/>
      <c r="I620" s="22">
        <f>Table1[[#This Row],[Sales]]/Table1[[#This Row],[USD_Spend]]</f>
        <v>9.7998757751615706</v>
      </c>
    </row>
    <row r="621" spans="1:9" x14ac:dyDescent="0.35">
      <c r="A621" s="3" t="s">
        <v>98</v>
      </c>
      <c r="B621" s="15">
        <v>2280.02</v>
      </c>
      <c r="C621" s="1" t="str">
        <f>IF(OR(Table14[[#This Row],[USD_Spend]]&gt;($B$4+1.5*$B$8),Table14[[#This Row],[USD_Spend]]&lt;($B$6-1.5*$B$8)),"Outlier","Normal")</f>
        <v>Normal</v>
      </c>
      <c r="D621" s="1">
        <v>767065</v>
      </c>
      <c r="E621" s="1">
        <v>45763</v>
      </c>
      <c r="F621" s="15">
        <v>115849.56</v>
      </c>
      <c r="G621" s="15" t="str">
        <f>IF(OR(Table14[[#This Row],[Sales]]&gt;($B$5+1.5*$B$9),Table14[[#This Row],[Sales]]&lt;($B$7-1.5*$B$9)),"Outlier","Normal")</f>
        <v>Normal</v>
      </c>
      <c r="H621" s="22"/>
      <c r="I621" s="22">
        <f>Table1[[#This Row],[Sales]]/Table1[[#This Row],[USD_Spend]]</f>
        <v>13.439205928991466</v>
      </c>
    </row>
    <row r="622" spans="1:9" x14ac:dyDescent="0.35">
      <c r="A622" s="3" t="s">
        <v>67</v>
      </c>
      <c r="B622" s="15">
        <v>7634.29</v>
      </c>
      <c r="C622" s="1" t="str">
        <f>IF(OR(Table14[[#This Row],[USD_Spend]]&gt;($B$4+1.5*$B$8),Table14[[#This Row],[USD_Spend]]&lt;($B$6-1.5*$B$8)),"Outlier","Normal")</f>
        <v>Normal</v>
      </c>
      <c r="D622" s="1">
        <v>39246</v>
      </c>
      <c r="E622" s="1">
        <v>35485</v>
      </c>
      <c r="F622" s="15">
        <v>150163.38</v>
      </c>
      <c r="G622" s="15" t="str">
        <f>IF(OR(Table14[[#This Row],[Sales]]&gt;($B$5+1.5*$B$9),Table14[[#This Row],[Sales]]&lt;($B$7-1.5*$B$9)),"Outlier","Normal")</f>
        <v>Normal</v>
      </c>
      <c r="H622" s="22"/>
      <c r="I622" s="22">
        <f>Table1[[#This Row],[Sales]]/Table1[[#This Row],[USD_Spend]]</f>
        <v>2.6319521166668833</v>
      </c>
    </row>
    <row r="623" spans="1:9" x14ac:dyDescent="0.35">
      <c r="A623" s="3" t="s">
        <v>75</v>
      </c>
      <c r="B623" s="15">
        <v>22992.41</v>
      </c>
      <c r="C623" s="1" t="str">
        <f>IF(OR(Table14[[#This Row],[USD_Spend]]&gt;($B$4+1.5*$B$8),Table14[[#This Row],[USD_Spend]]&lt;($B$6-1.5*$B$8)),"Outlier","Normal")</f>
        <v>Normal</v>
      </c>
      <c r="D623" s="1">
        <v>54476</v>
      </c>
      <c r="E623" s="1">
        <v>16203</v>
      </c>
      <c r="F623" s="15">
        <v>132082.15</v>
      </c>
      <c r="G623" s="15" t="str">
        <f>IF(OR(Table14[[#This Row],[Sales]]&gt;($B$5+1.5*$B$9),Table14[[#This Row],[Sales]]&lt;($B$7-1.5*$B$9)),"Outlier","Normal")</f>
        <v>Normal</v>
      </c>
      <c r="H623" s="22"/>
      <c r="I623" s="22">
        <f>Table1[[#This Row],[Sales]]/Table1[[#This Row],[USD_Spend]]</f>
        <v>34.402663755329144</v>
      </c>
    </row>
    <row r="624" spans="1:9" x14ac:dyDescent="0.35">
      <c r="A624" s="3" t="s">
        <v>115</v>
      </c>
      <c r="B624" s="15">
        <v>7399.06</v>
      </c>
      <c r="C624" s="1" t="str">
        <f>IF(OR(Table14[[#This Row],[USD_Spend]]&gt;($B$4+1.5*$B$8),Table14[[#This Row],[USD_Spend]]&lt;($B$6-1.5*$B$8)),"Outlier","Normal")</f>
        <v>Normal</v>
      </c>
      <c r="D624" s="1">
        <v>523911</v>
      </c>
      <c r="E624" s="1">
        <v>18485</v>
      </c>
      <c r="F624" s="15">
        <v>83868.28</v>
      </c>
      <c r="G624" s="15" t="str">
        <f>IF(OR(Table14[[#This Row],[Sales]]&gt;($B$5+1.5*$B$9),Table14[[#This Row],[Sales]]&lt;($B$7-1.5*$B$9)),"Outlier","Normal")</f>
        <v>Normal</v>
      </c>
      <c r="H624" s="22"/>
      <c r="I624" s="22">
        <f>Table1[[#This Row],[Sales]]/Table1[[#This Row],[USD_Spend]]</f>
        <v>0.28984188659279503</v>
      </c>
    </row>
    <row r="625" spans="1:9" x14ac:dyDescent="0.35">
      <c r="A625" s="3" t="s">
        <v>118</v>
      </c>
      <c r="B625" s="15">
        <v>12239.51</v>
      </c>
      <c r="C625" s="1" t="str">
        <f>IF(OR(Table14[[#This Row],[USD_Spend]]&gt;($B$4+1.5*$B$8),Table14[[#This Row],[USD_Spend]]&lt;($B$6-1.5*$B$8)),"Outlier","Normal")</f>
        <v>Normal</v>
      </c>
      <c r="D625" s="1">
        <v>374032</v>
      </c>
      <c r="E625" s="1">
        <v>31665</v>
      </c>
      <c r="F625" s="15">
        <v>137218.69</v>
      </c>
      <c r="G625" s="15" t="str">
        <f>IF(OR(Table14[[#This Row],[Sales]]&gt;($B$5+1.5*$B$9),Table14[[#This Row],[Sales]]&lt;($B$7-1.5*$B$9)),"Outlier","Normal")</f>
        <v>Normal</v>
      </c>
      <c r="H625" s="22"/>
      <c r="I625" s="22">
        <f>Table1[[#This Row],[Sales]]/Table1[[#This Row],[USD_Spend]]</f>
        <v>6.1388186924048869</v>
      </c>
    </row>
    <row r="626" spans="1:9" x14ac:dyDescent="0.35">
      <c r="A626" s="3" t="s">
        <v>115</v>
      </c>
      <c r="B626" s="15">
        <v>22381.02</v>
      </c>
      <c r="C626" s="1" t="str">
        <f>IF(OR(Table14[[#This Row],[USD_Spend]]&gt;($B$4+1.5*$B$8),Table14[[#This Row],[USD_Spend]]&lt;($B$6-1.5*$B$8)),"Outlier","Normal")</f>
        <v>Normal</v>
      </c>
      <c r="D626" s="1">
        <v>651784</v>
      </c>
      <c r="E626" s="1">
        <v>3913</v>
      </c>
      <c r="F626" s="15">
        <v>31779.05</v>
      </c>
      <c r="G626" s="15" t="str">
        <f>IF(OR(Table14[[#This Row],[Sales]]&gt;($B$5+1.5*$B$9),Table14[[#This Row],[Sales]]&lt;($B$7-1.5*$B$9)),"Outlier","Normal")</f>
        <v>Normal</v>
      </c>
      <c r="H626" s="22"/>
      <c r="I626" s="22">
        <f>Table1[[#This Row],[Sales]]/Table1[[#This Row],[USD_Spend]]</f>
        <v>4.86742102117862</v>
      </c>
    </row>
    <row r="627" spans="1:9" x14ac:dyDescent="0.35">
      <c r="A627" s="3" t="s">
        <v>115</v>
      </c>
      <c r="B627" s="15">
        <v>41756.550000000003</v>
      </c>
      <c r="C627" s="1" t="str">
        <f>IF(OR(Table14[[#This Row],[USD_Spend]]&gt;($B$4+1.5*$B$8),Table14[[#This Row],[USD_Spend]]&lt;($B$6-1.5*$B$8)),"Outlier","Normal")</f>
        <v>Normal</v>
      </c>
      <c r="D627" s="1">
        <v>190117</v>
      </c>
      <c r="E627" s="1">
        <v>49515</v>
      </c>
      <c r="F627" s="15">
        <v>136595.99</v>
      </c>
      <c r="G627" s="15" t="str">
        <f>IF(OR(Table14[[#This Row],[Sales]]&gt;($B$5+1.5*$B$9),Table14[[#This Row],[Sales]]&lt;($B$7-1.5*$B$9)),"Outlier","Normal")</f>
        <v>Normal</v>
      </c>
      <c r="H627" s="22"/>
      <c r="I627" s="22">
        <f>Table1[[#This Row],[Sales]]/Table1[[#This Row],[USD_Spend]]</f>
        <v>20.987248477898817</v>
      </c>
    </row>
    <row r="628" spans="1:9" x14ac:dyDescent="0.35">
      <c r="A628" s="3" t="s">
        <v>79</v>
      </c>
      <c r="B628" s="15">
        <v>10082.89</v>
      </c>
      <c r="C628" s="1" t="str">
        <f>IF(OR(Table14[[#This Row],[USD_Spend]]&gt;($B$4+1.5*$B$8),Table14[[#This Row],[USD_Spend]]&lt;($B$6-1.5*$B$8)),"Outlier","Normal")</f>
        <v>Normal</v>
      </c>
      <c r="D628" s="1">
        <v>13642</v>
      </c>
      <c r="E628" s="1">
        <v>49656</v>
      </c>
      <c r="F628" s="15">
        <v>10570.16</v>
      </c>
      <c r="G628" s="15" t="str">
        <f>IF(OR(Table14[[#This Row],[Sales]]&gt;($B$5+1.5*$B$9),Table14[[#This Row],[Sales]]&lt;($B$7-1.5*$B$9)),"Outlier","Normal")</f>
        <v>Normal</v>
      </c>
      <c r="H628" s="22"/>
      <c r="I628" s="22">
        <f>Table1[[#This Row],[Sales]]/Table1[[#This Row],[USD_Spend]]</f>
        <v>111.93166140158597</v>
      </c>
    </row>
    <row r="629" spans="1:9" x14ac:dyDescent="0.35">
      <c r="A629" s="3" t="s">
        <v>99</v>
      </c>
      <c r="B629" s="15">
        <v>1108.8599999999999</v>
      </c>
      <c r="C629" s="1" t="str">
        <f>IF(OR(Table14[[#This Row],[USD_Spend]]&gt;($B$4+1.5*$B$8),Table14[[#This Row],[USD_Spend]]&lt;($B$6-1.5*$B$8)),"Outlier","Normal")</f>
        <v>Normal</v>
      </c>
      <c r="D629" s="1">
        <v>471477</v>
      </c>
      <c r="E629" s="1">
        <v>23115</v>
      </c>
      <c r="F629" s="15">
        <v>181995.85</v>
      </c>
      <c r="G629" s="15" t="str">
        <f>IF(OR(Table14[[#This Row],[Sales]]&gt;($B$5+1.5*$B$9),Table14[[#This Row],[Sales]]&lt;($B$7-1.5*$B$9)),"Outlier","Normal")</f>
        <v>Normal</v>
      </c>
      <c r="H629" s="22"/>
      <c r="I629" s="22">
        <f>Table1[[#This Row],[Sales]]/Table1[[#This Row],[USD_Spend]]</f>
        <v>0.19947887252107982</v>
      </c>
    </row>
    <row r="630" spans="1:9" x14ac:dyDescent="0.35">
      <c r="A630" s="3" t="s">
        <v>71</v>
      </c>
      <c r="B630" s="15">
        <v>14071.26</v>
      </c>
      <c r="C630" s="1" t="str">
        <f>IF(OR(Table14[[#This Row],[USD_Spend]]&gt;($B$4+1.5*$B$8),Table14[[#This Row],[USD_Spend]]&lt;($B$6-1.5*$B$8)),"Outlier","Normal")</f>
        <v>Normal</v>
      </c>
      <c r="D630" s="1">
        <v>741963</v>
      </c>
      <c r="E630" s="1">
        <v>40240</v>
      </c>
      <c r="F630" s="15">
        <v>137896.6</v>
      </c>
      <c r="G630" s="15" t="str">
        <f>IF(OR(Table14[[#This Row],[Sales]]&gt;($B$5+1.5*$B$9),Table14[[#This Row],[Sales]]&lt;($B$7-1.5*$B$9)),"Outlier","Normal")</f>
        <v>Normal</v>
      </c>
      <c r="H630" s="22"/>
      <c r="I630" s="22">
        <f>Table1[[#This Row],[Sales]]/Table1[[#This Row],[USD_Spend]]</f>
        <v>12.558324723507173</v>
      </c>
    </row>
    <row r="631" spans="1:9" x14ac:dyDescent="0.35">
      <c r="A631" s="3" t="s">
        <v>117</v>
      </c>
      <c r="B631" s="15">
        <v>10361.290000000001</v>
      </c>
      <c r="C631" s="1" t="str">
        <f>IF(OR(Table14[[#This Row],[USD_Spend]]&gt;($B$4+1.5*$B$8),Table14[[#This Row],[USD_Spend]]&lt;($B$6-1.5*$B$8)),"Outlier","Normal")</f>
        <v>Normal</v>
      </c>
      <c r="D631" s="1">
        <v>661034</v>
      </c>
      <c r="E631" s="1">
        <v>16070</v>
      </c>
      <c r="F631" s="15">
        <v>139247.51</v>
      </c>
      <c r="G631" s="15" t="str">
        <f>IF(OR(Table14[[#This Row],[Sales]]&gt;($B$5+1.5*$B$9),Table14[[#This Row],[Sales]]&lt;($B$7-1.5*$B$9)),"Outlier","Normal")</f>
        <v>Normal</v>
      </c>
      <c r="H631" s="22"/>
      <c r="I631" s="22">
        <f>Table1[[#This Row],[Sales]]/Table1[[#This Row],[USD_Spend]]</f>
        <v>41.414245808524903</v>
      </c>
    </row>
    <row r="632" spans="1:9" x14ac:dyDescent="0.35">
      <c r="A632" s="3" t="s">
        <v>96</v>
      </c>
      <c r="B632" s="15">
        <v>3077.48</v>
      </c>
      <c r="C632" s="1" t="str">
        <f>IF(OR(Table14[[#This Row],[USD_Spend]]&gt;($B$4+1.5*$B$8),Table14[[#This Row],[USD_Spend]]&lt;($B$6-1.5*$B$8)),"Outlier","Normal")</f>
        <v>Normal</v>
      </c>
      <c r="D632" s="1">
        <v>688998</v>
      </c>
      <c r="E632" s="1">
        <v>22462</v>
      </c>
      <c r="F632" s="15">
        <v>8099.78</v>
      </c>
      <c r="G632" s="15" t="str">
        <f>IF(OR(Table14[[#This Row],[Sales]]&gt;($B$5+1.5*$B$9),Table14[[#This Row],[Sales]]&lt;($B$7-1.5*$B$9)),"Outlier","Normal")</f>
        <v>Normal</v>
      </c>
      <c r="H632" s="22"/>
      <c r="I632" s="22">
        <f>Table1[[#This Row],[Sales]]/Table1[[#This Row],[USD_Spend]]</f>
        <v>2.6532988862923261</v>
      </c>
    </row>
    <row r="633" spans="1:9" x14ac:dyDescent="0.35">
      <c r="A633" s="3" t="s">
        <v>103</v>
      </c>
      <c r="B633" s="15">
        <v>6750.62</v>
      </c>
      <c r="C633" s="1" t="str">
        <f>IF(OR(Table14[[#This Row],[USD_Spend]]&gt;($B$4+1.5*$B$8),Table14[[#This Row],[USD_Spend]]&lt;($B$6-1.5*$B$8)),"Outlier","Normal")</f>
        <v>Normal</v>
      </c>
      <c r="D633" s="1">
        <v>18248</v>
      </c>
      <c r="E633" s="1">
        <v>25854</v>
      </c>
      <c r="F633" s="15">
        <v>232239.31</v>
      </c>
      <c r="G633" s="15" t="str">
        <f>IF(OR(Table14[[#This Row],[Sales]]&gt;($B$5+1.5*$B$9),Table14[[#This Row],[Sales]]&lt;($B$7-1.5*$B$9)),"Outlier","Normal")</f>
        <v>Normal</v>
      </c>
      <c r="H633" s="22"/>
      <c r="I633" s="22">
        <f>Table1[[#This Row],[Sales]]/Table1[[#This Row],[USD_Spend]]</f>
        <v>45.905260492438089</v>
      </c>
    </row>
    <row r="634" spans="1:9" x14ac:dyDescent="0.35">
      <c r="A634" s="3" t="s">
        <v>111</v>
      </c>
      <c r="B634" s="15">
        <v>48327.97</v>
      </c>
      <c r="C634" s="1" t="str">
        <f>IF(OR(Table14[[#This Row],[USD_Spend]]&gt;($B$4+1.5*$B$8),Table14[[#This Row],[USD_Spend]]&lt;($B$6-1.5*$B$8)),"Outlier","Normal")</f>
        <v>Normal</v>
      </c>
      <c r="D634" s="1">
        <v>448620</v>
      </c>
      <c r="E634" s="1">
        <v>35728</v>
      </c>
      <c r="F634" s="15">
        <v>14007.47</v>
      </c>
      <c r="G634" s="15" t="str">
        <f>IF(OR(Table14[[#This Row],[Sales]]&gt;($B$5+1.5*$B$9),Table14[[#This Row],[Sales]]&lt;($B$7-1.5*$B$9)),"Outlier","Normal")</f>
        <v>Normal</v>
      </c>
      <c r="H634" s="22"/>
      <c r="I634" s="22">
        <f>Table1[[#This Row],[Sales]]/Table1[[#This Row],[USD_Spend]]</f>
        <v>13.91546020325751</v>
      </c>
    </row>
    <row r="635" spans="1:9" x14ac:dyDescent="0.35">
      <c r="A635" s="3" t="s">
        <v>89</v>
      </c>
      <c r="B635" s="15">
        <v>24186.080000000002</v>
      </c>
      <c r="C635" s="1" t="str">
        <f>IF(OR(Table14[[#This Row],[USD_Spend]]&gt;($B$4+1.5*$B$8),Table14[[#This Row],[USD_Spend]]&lt;($B$6-1.5*$B$8)),"Outlier","Normal")</f>
        <v>Normal</v>
      </c>
      <c r="D635" s="1">
        <v>802682</v>
      </c>
      <c r="E635" s="1">
        <v>48986</v>
      </c>
      <c r="F635" s="15">
        <v>148473.96</v>
      </c>
      <c r="G635" s="15" t="str">
        <f>IF(OR(Table14[[#This Row],[Sales]]&gt;($B$5+1.5*$B$9),Table14[[#This Row],[Sales]]&lt;($B$7-1.5*$B$9)),"Outlier","Normal")</f>
        <v>Normal</v>
      </c>
      <c r="H635" s="22"/>
      <c r="I635" s="22">
        <f>Table1[[#This Row],[Sales]]/Table1[[#This Row],[USD_Spend]]</f>
        <v>1.2295761672846655</v>
      </c>
    </row>
    <row r="636" spans="1:9" x14ac:dyDescent="0.35">
      <c r="A636" s="3" t="s">
        <v>78</v>
      </c>
      <c r="B636" s="15">
        <v>24999.74</v>
      </c>
      <c r="C636" s="1" t="str">
        <f>IF(OR(Table14[[#This Row],[USD_Spend]]&gt;($B$4+1.5*$B$8),Table14[[#This Row],[USD_Spend]]&lt;($B$6-1.5*$B$8)),"Outlier","Normal")</f>
        <v>Normal</v>
      </c>
      <c r="D636" s="1">
        <v>934481</v>
      </c>
      <c r="E636" s="1">
        <v>15543</v>
      </c>
      <c r="F636" s="15">
        <v>121684.26</v>
      </c>
      <c r="G636" s="15" t="str">
        <f>IF(OR(Table14[[#This Row],[Sales]]&gt;($B$5+1.5*$B$9),Table14[[#This Row],[Sales]]&lt;($B$7-1.5*$B$9)),"Outlier","Normal")</f>
        <v>Normal</v>
      </c>
      <c r="H636" s="22"/>
      <c r="I636" s="22">
        <f>Table1[[#This Row],[Sales]]/Table1[[#This Row],[USD_Spend]]</f>
        <v>1.5292384259180249</v>
      </c>
    </row>
    <row r="637" spans="1:9" x14ac:dyDescent="0.35">
      <c r="A637" s="3" t="s">
        <v>82</v>
      </c>
      <c r="B637" s="15">
        <v>7325.4</v>
      </c>
      <c r="C637" s="1" t="str">
        <f>IF(OR(Table14[[#This Row],[USD_Spend]]&gt;($B$4+1.5*$B$8),Table14[[#This Row],[USD_Spend]]&lt;($B$6-1.5*$B$8)),"Outlier","Normal")</f>
        <v>Normal</v>
      </c>
      <c r="D637" s="1">
        <v>846979</v>
      </c>
      <c r="E637" s="1">
        <v>3470</v>
      </c>
      <c r="F637" s="15">
        <v>153739.99</v>
      </c>
      <c r="G637" s="15" t="str">
        <f>IF(OR(Table14[[#This Row],[Sales]]&gt;($B$5+1.5*$B$9),Table14[[#This Row],[Sales]]&lt;($B$7-1.5*$B$9)),"Outlier","Normal")</f>
        <v>Normal</v>
      </c>
      <c r="H637" s="22"/>
      <c r="I637" s="22">
        <f>Table1[[#This Row],[Sales]]/Table1[[#This Row],[USD_Spend]]</f>
        <v>29.561733639767485</v>
      </c>
    </row>
    <row r="638" spans="1:9" x14ac:dyDescent="0.35">
      <c r="A638" s="3" t="s">
        <v>105</v>
      </c>
      <c r="B638" s="15">
        <v>155.11000000000001</v>
      </c>
      <c r="C638" s="1" t="str">
        <f>IF(OR(Table14[[#This Row],[USD_Spend]]&gt;($B$4+1.5*$B$8),Table14[[#This Row],[USD_Spend]]&lt;($B$6-1.5*$B$8)),"Outlier","Normal")</f>
        <v>Normal</v>
      </c>
      <c r="D638" s="1">
        <v>957170</v>
      </c>
      <c r="E638" s="1">
        <v>44369</v>
      </c>
      <c r="F638" s="15">
        <v>17361.72</v>
      </c>
      <c r="G638" s="15" t="str">
        <f>IF(OR(Table14[[#This Row],[Sales]]&gt;($B$5+1.5*$B$9),Table14[[#This Row],[Sales]]&lt;($B$7-1.5*$B$9)),"Outlier","Normal")</f>
        <v>Normal</v>
      </c>
      <c r="H638" s="22"/>
      <c r="I638" s="22">
        <f>Table1[[#This Row],[Sales]]/Table1[[#This Row],[USD_Spend]]</f>
        <v>8.553358183797112</v>
      </c>
    </row>
    <row r="639" spans="1:9" x14ac:dyDescent="0.35">
      <c r="A639" s="3" t="s">
        <v>82</v>
      </c>
      <c r="B639" s="15">
        <v>26860.99</v>
      </c>
      <c r="C639" s="1" t="str">
        <f>IF(OR(Table14[[#This Row],[USD_Spend]]&gt;($B$4+1.5*$B$8),Table14[[#This Row],[USD_Spend]]&lt;($B$6-1.5*$B$8)),"Outlier","Normal")</f>
        <v>Normal</v>
      </c>
      <c r="D639" s="1">
        <v>20060</v>
      </c>
      <c r="E639" s="1">
        <v>22055</v>
      </c>
      <c r="F639" s="15">
        <v>5358.2</v>
      </c>
      <c r="G639" s="15" t="str">
        <f>IF(OR(Table14[[#This Row],[Sales]]&gt;($B$5+1.5*$B$9),Table14[[#This Row],[Sales]]&lt;($B$7-1.5*$B$9)),"Outlier","Normal")</f>
        <v>Normal</v>
      </c>
      <c r="H639" s="22"/>
      <c r="I639" s="22">
        <f>Table1[[#This Row],[Sales]]/Table1[[#This Row],[USD_Spend]]</f>
        <v>13.13752765571172</v>
      </c>
    </row>
    <row r="640" spans="1:9" x14ac:dyDescent="0.35">
      <c r="A640" s="3" t="s">
        <v>96</v>
      </c>
      <c r="B640" s="15">
        <v>3406.96</v>
      </c>
      <c r="C640" s="1" t="str">
        <f>IF(OR(Table14[[#This Row],[USD_Spend]]&gt;($B$4+1.5*$B$8),Table14[[#This Row],[USD_Spend]]&lt;($B$6-1.5*$B$8)),"Outlier","Normal")</f>
        <v>Normal</v>
      </c>
      <c r="D640" s="1">
        <v>815625</v>
      </c>
      <c r="E640" s="1">
        <v>5973</v>
      </c>
      <c r="F640" s="15">
        <v>42785.71</v>
      </c>
      <c r="G640" s="15" t="str">
        <f>IF(OR(Table14[[#This Row],[Sales]]&gt;($B$5+1.5*$B$9),Table14[[#This Row],[Sales]]&lt;($B$7-1.5*$B$9)),"Outlier","Normal")</f>
        <v>Normal</v>
      </c>
      <c r="H640" s="22"/>
      <c r="I640" s="22">
        <f>Table1[[#This Row],[Sales]]/Table1[[#This Row],[USD_Spend]]</f>
        <v>12.435118123437539</v>
      </c>
    </row>
    <row r="641" spans="1:9" x14ac:dyDescent="0.35">
      <c r="A641" s="3" t="s">
        <v>90</v>
      </c>
      <c r="B641" s="15">
        <v>5473.61</v>
      </c>
      <c r="C641" s="1" t="str">
        <f>IF(OR(Table14[[#This Row],[USD_Spend]]&gt;($B$4+1.5*$B$8),Table14[[#This Row],[USD_Spend]]&lt;($B$6-1.5*$B$8)),"Outlier","Normal")</f>
        <v>Normal</v>
      </c>
      <c r="D641" s="1">
        <v>450552</v>
      </c>
      <c r="E641" s="1">
        <v>25624</v>
      </c>
      <c r="F641" s="15">
        <v>226685.43</v>
      </c>
      <c r="G641" s="15" t="str">
        <f>IF(OR(Table14[[#This Row],[Sales]]&gt;($B$5+1.5*$B$9),Table14[[#This Row],[Sales]]&lt;($B$7-1.5*$B$9)),"Outlier","Normal")</f>
        <v>Normal</v>
      </c>
      <c r="H641" s="22"/>
      <c r="I641" s="22">
        <f>Table1[[#This Row],[Sales]]/Table1[[#This Row],[USD_Spend]]</f>
        <v>5.1887383750460492</v>
      </c>
    </row>
    <row r="642" spans="1:9" x14ac:dyDescent="0.35">
      <c r="A642" s="3" t="s">
        <v>95</v>
      </c>
      <c r="B642" s="15">
        <v>22504.11</v>
      </c>
      <c r="C642" s="1" t="str">
        <f>IF(OR(Table14[[#This Row],[USD_Spend]]&gt;($B$4+1.5*$B$8),Table14[[#This Row],[USD_Spend]]&lt;($B$6-1.5*$B$8)),"Outlier","Normal")</f>
        <v>Normal</v>
      </c>
      <c r="D642" s="1">
        <v>393588</v>
      </c>
      <c r="E642" s="1">
        <v>25822</v>
      </c>
      <c r="F642" s="15">
        <v>59710.13</v>
      </c>
      <c r="G642" s="15" t="str">
        <f>IF(OR(Table14[[#This Row],[Sales]]&gt;($B$5+1.5*$B$9),Table14[[#This Row],[Sales]]&lt;($B$7-1.5*$B$9)),"Outlier","Normal")</f>
        <v>Normal</v>
      </c>
      <c r="H642" s="22"/>
      <c r="I642" s="22">
        <f>Table1[[#This Row],[Sales]]/Table1[[#This Row],[USD_Spend]]</f>
        <v>0.87253792310587952</v>
      </c>
    </row>
    <row r="643" spans="1:9" x14ac:dyDescent="0.35">
      <c r="A643" s="3" t="s">
        <v>96</v>
      </c>
      <c r="B643" s="15">
        <v>4186.1099999999997</v>
      </c>
      <c r="C643" s="1" t="str">
        <f>IF(OR(Table14[[#This Row],[USD_Spend]]&gt;($B$4+1.5*$B$8),Table14[[#This Row],[USD_Spend]]&lt;($B$6-1.5*$B$8)),"Outlier","Normal")</f>
        <v>Normal</v>
      </c>
      <c r="D643" s="1">
        <v>933685</v>
      </c>
      <c r="E643" s="1">
        <v>49577</v>
      </c>
      <c r="F643" s="15">
        <v>192164.47</v>
      </c>
      <c r="G643" s="15" t="str">
        <f>IF(OR(Table14[[#This Row],[Sales]]&gt;($B$5+1.5*$B$9),Table14[[#This Row],[Sales]]&lt;($B$7-1.5*$B$9)),"Outlier","Normal")</f>
        <v>Normal</v>
      </c>
      <c r="H643" s="22"/>
      <c r="I643" s="22">
        <f>Table1[[#This Row],[Sales]]/Table1[[#This Row],[USD_Spend]]</f>
        <v>3.7215712153890257</v>
      </c>
    </row>
    <row r="644" spans="1:9" x14ac:dyDescent="0.35">
      <c r="A644" s="3" t="s">
        <v>77</v>
      </c>
      <c r="B644" s="15">
        <v>12839.87</v>
      </c>
      <c r="C644" s="1" t="str">
        <f>IF(OR(Table14[[#This Row],[USD_Spend]]&gt;($B$4+1.5*$B$8),Table14[[#This Row],[USD_Spend]]&lt;($B$6-1.5*$B$8)),"Outlier","Normal")</f>
        <v>Normal</v>
      </c>
      <c r="D644" s="1">
        <v>347471</v>
      </c>
      <c r="E644" s="1">
        <v>30336</v>
      </c>
      <c r="F644" s="15">
        <v>178672.7</v>
      </c>
      <c r="G644" s="15" t="str">
        <f>IF(OR(Table14[[#This Row],[Sales]]&gt;($B$5+1.5*$B$9),Table14[[#This Row],[Sales]]&lt;($B$7-1.5*$B$9)),"Outlier","Normal")</f>
        <v>Normal</v>
      </c>
      <c r="H644" s="22"/>
      <c r="I644" s="22">
        <f>Table1[[#This Row],[Sales]]/Table1[[#This Row],[USD_Spend]]</f>
        <v>16.086759317494241</v>
      </c>
    </row>
    <row r="645" spans="1:9" x14ac:dyDescent="0.35">
      <c r="A645" s="3" t="s">
        <v>79</v>
      </c>
      <c r="B645" s="15">
        <v>29460.68</v>
      </c>
      <c r="C645" s="1" t="str">
        <f>IF(OR(Table14[[#This Row],[USD_Spend]]&gt;($B$4+1.5*$B$8),Table14[[#This Row],[USD_Spend]]&lt;($B$6-1.5*$B$8)),"Outlier","Normal")</f>
        <v>Normal</v>
      </c>
      <c r="D645" s="1">
        <v>165287</v>
      </c>
      <c r="E645" s="1">
        <v>28266</v>
      </c>
      <c r="F645" s="15">
        <v>36224.15</v>
      </c>
      <c r="G645" s="15" t="str">
        <f>IF(OR(Table14[[#This Row],[Sales]]&gt;($B$5+1.5*$B$9),Table14[[#This Row],[Sales]]&lt;($B$7-1.5*$B$9)),"Outlier","Normal")</f>
        <v>Normal</v>
      </c>
      <c r="H645" s="22"/>
      <c r="I645" s="22">
        <f>Table1[[#This Row],[Sales]]/Table1[[#This Row],[USD_Spend]]</f>
        <v>1603.5389357151844</v>
      </c>
    </row>
    <row r="646" spans="1:9" x14ac:dyDescent="0.35">
      <c r="A646" s="3" t="s">
        <v>98</v>
      </c>
      <c r="B646" s="15">
        <v>41017.94</v>
      </c>
      <c r="C646" s="1" t="str">
        <f>IF(OR(Table14[[#This Row],[USD_Spend]]&gt;($B$4+1.5*$B$8),Table14[[#This Row],[USD_Spend]]&lt;($B$6-1.5*$B$8)),"Outlier","Normal")</f>
        <v>Normal</v>
      </c>
      <c r="D646" s="1">
        <v>705558</v>
      </c>
      <c r="E646" s="1">
        <v>4184</v>
      </c>
      <c r="F646" s="15">
        <v>62726.21</v>
      </c>
      <c r="G646" s="15" t="str">
        <f>IF(OR(Table14[[#This Row],[Sales]]&gt;($B$5+1.5*$B$9),Table14[[#This Row],[Sales]]&lt;($B$7-1.5*$B$9)),"Outlier","Normal")</f>
        <v>Normal</v>
      </c>
      <c r="H646" s="22"/>
      <c r="I646" s="22">
        <f>Table1[[#This Row],[Sales]]/Table1[[#This Row],[USD_Spend]]</f>
        <v>16.731173291409988</v>
      </c>
    </row>
    <row r="647" spans="1:9" x14ac:dyDescent="0.35">
      <c r="A647" s="3" t="s">
        <v>34</v>
      </c>
      <c r="B647" s="15">
        <v>7579.66</v>
      </c>
      <c r="C647" s="1" t="str">
        <f>IF(OR(Table14[[#This Row],[USD_Spend]]&gt;($B$4+1.5*$B$8),Table14[[#This Row],[USD_Spend]]&lt;($B$6-1.5*$B$8)),"Outlier","Normal")</f>
        <v>Normal</v>
      </c>
      <c r="D647" s="1">
        <v>836596</v>
      </c>
      <c r="E647" s="1">
        <v>22627</v>
      </c>
      <c r="F647" s="15">
        <v>224067.89</v>
      </c>
      <c r="G647" s="15" t="str">
        <f>IF(OR(Table14[[#This Row],[Sales]]&gt;($B$5+1.5*$B$9),Table14[[#This Row],[Sales]]&lt;($B$7-1.5*$B$9)),"Outlier","Normal")</f>
        <v>Normal</v>
      </c>
      <c r="H647" s="22"/>
      <c r="I647" s="22">
        <f>Table1[[#This Row],[Sales]]/Table1[[#This Row],[USD_Spend]]</f>
        <v>0.51930734368808473</v>
      </c>
    </row>
    <row r="648" spans="1:9" x14ac:dyDescent="0.35">
      <c r="A648" s="3" t="s">
        <v>68</v>
      </c>
      <c r="B648" s="15">
        <v>20764.2</v>
      </c>
      <c r="C648" s="1" t="str">
        <f>IF(OR(Table14[[#This Row],[USD_Spend]]&gt;($B$4+1.5*$B$8),Table14[[#This Row],[USD_Spend]]&lt;($B$6-1.5*$B$8)),"Outlier","Normal")</f>
        <v>Normal</v>
      </c>
      <c r="D648" s="1">
        <v>946615</v>
      </c>
      <c r="E648" s="1">
        <v>31736</v>
      </c>
      <c r="F648" s="15">
        <v>177603.64</v>
      </c>
      <c r="G648" s="15" t="str">
        <f>IF(OR(Table14[[#This Row],[Sales]]&gt;($B$5+1.5*$B$9),Table14[[#This Row],[Sales]]&lt;($B$7-1.5*$B$9)),"Outlier","Normal")</f>
        <v>Normal</v>
      </c>
      <c r="H648" s="22"/>
      <c r="I648" s="22">
        <f>Table1[[#This Row],[Sales]]/Table1[[#This Row],[USD_Spend]]</f>
        <v>140.62092382460781</v>
      </c>
    </row>
    <row r="649" spans="1:9" x14ac:dyDescent="0.35">
      <c r="A649" s="3" t="s">
        <v>57</v>
      </c>
      <c r="B649" s="15">
        <v>7204.66</v>
      </c>
      <c r="C649" s="1" t="str">
        <f>IF(OR(Table14[[#This Row],[USD_Spend]]&gt;($B$4+1.5*$B$8),Table14[[#This Row],[USD_Spend]]&lt;($B$6-1.5*$B$8)),"Outlier","Normal")</f>
        <v>Normal</v>
      </c>
      <c r="D649" s="1">
        <v>652865</v>
      </c>
      <c r="E649" s="1">
        <v>22585</v>
      </c>
      <c r="F649" s="15">
        <v>94651.42</v>
      </c>
      <c r="G649" s="15" t="str">
        <f>IF(OR(Table14[[#This Row],[Sales]]&gt;($B$5+1.5*$B$9),Table14[[#This Row],[Sales]]&lt;($B$7-1.5*$B$9)),"Outlier","Normal")</f>
        <v>Normal</v>
      </c>
      <c r="H649" s="22"/>
      <c r="I649" s="22">
        <f>Table1[[#This Row],[Sales]]/Table1[[#This Row],[USD_Spend]]</f>
        <v>6.7623089853519289</v>
      </c>
    </row>
    <row r="650" spans="1:9" x14ac:dyDescent="0.35">
      <c r="A650" s="3" t="s">
        <v>72</v>
      </c>
      <c r="B650" s="15">
        <v>19444.490000000002</v>
      </c>
      <c r="C650" s="1" t="str">
        <f>IF(OR(Table14[[#This Row],[USD_Spend]]&gt;($B$4+1.5*$B$8),Table14[[#This Row],[USD_Spend]]&lt;($B$6-1.5*$B$8)),"Outlier","Normal")</f>
        <v>Normal</v>
      </c>
      <c r="D650" s="1">
        <v>810441</v>
      </c>
      <c r="E650" s="1">
        <v>32122</v>
      </c>
      <c r="F650" s="15">
        <v>241794.53</v>
      </c>
      <c r="G650" s="15" t="str">
        <f>IF(OR(Table14[[#This Row],[Sales]]&gt;($B$5+1.5*$B$9),Table14[[#This Row],[Sales]]&lt;($B$7-1.5*$B$9)),"Outlier","Normal")</f>
        <v>Normal</v>
      </c>
      <c r="H650" s="22"/>
      <c r="I650" s="22">
        <f>Table1[[#This Row],[Sales]]/Table1[[#This Row],[USD_Spend]]</f>
        <v>8.826017570546842</v>
      </c>
    </row>
    <row r="651" spans="1:9" x14ac:dyDescent="0.35">
      <c r="A651" s="3" t="s">
        <v>114</v>
      </c>
      <c r="B651" s="15">
        <v>23507.62</v>
      </c>
      <c r="C651" s="1" t="str">
        <f>IF(OR(Table14[[#This Row],[USD_Spend]]&gt;($B$4+1.5*$B$8),Table14[[#This Row],[USD_Spend]]&lt;($B$6-1.5*$B$8)),"Outlier","Normal")</f>
        <v>Normal</v>
      </c>
      <c r="D651" s="1">
        <v>931068</v>
      </c>
      <c r="E651" s="1">
        <v>31275</v>
      </c>
      <c r="F651" s="15">
        <v>121974.89</v>
      </c>
      <c r="G651" s="15" t="str">
        <f>IF(OR(Table14[[#This Row],[Sales]]&gt;($B$5+1.5*$B$9),Table14[[#This Row],[Sales]]&lt;($B$7-1.5*$B$9)),"Outlier","Normal")</f>
        <v>Normal</v>
      </c>
      <c r="H651" s="22"/>
      <c r="I651" s="22">
        <f>Table1[[#This Row],[Sales]]/Table1[[#This Row],[USD_Spend]]</f>
        <v>35.435608894876879</v>
      </c>
    </row>
    <row r="652" spans="1:9" x14ac:dyDescent="0.35">
      <c r="A652" s="3" t="s">
        <v>77</v>
      </c>
      <c r="B652" s="15">
        <v>15726.56</v>
      </c>
      <c r="C652" s="1" t="str">
        <f>IF(OR(Table14[[#This Row],[USD_Spend]]&gt;($B$4+1.5*$B$8),Table14[[#This Row],[USD_Spend]]&lt;($B$6-1.5*$B$8)),"Outlier","Normal")</f>
        <v>Normal</v>
      </c>
      <c r="D652" s="1">
        <v>53768</v>
      </c>
      <c r="E652" s="1">
        <v>6919</v>
      </c>
      <c r="F652" s="15">
        <v>13722.02</v>
      </c>
      <c r="G652" s="15" t="str">
        <f>IF(OR(Table14[[#This Row],[Sales]]&gt;($B$5+1.5*$B$9),Table14[[#This Row],[Sales]]&lt;($B$7-1.5*$B$9)),"Outlier","Normal")</f>
        <v>Normal</v>
      </c>
      <c r="H652" s="22"/>
      <c r="I652" s="22">
        <f>Table1[[#This Row],[Sales]]/Table1[[#This Row],[USD_Spend]]</f>
        <v>1.7625181067367719</v>
      </c>
    </row>
    <row r="653" spans="1:9" x14ac:dyDescent="0.35">
      <c r="A653" s="3" t="s">
        <v>91</v>
      </c>
      <c r="B653" s="15">
        <v>28533.58</v>
      </c>
      <c r="C653" s="1" t="str">
        <f>IF(OR(Table14[[#This Row],[USD_Spend]]&gt;($B$4+1.5*$B$8),Table14[[#This Row],[USD_Spend]]&lt;($B$6-1.5*$B$8)),"Outlier","Normal")</f>
        <v>Normal</v>
      </c>
      <c r="D653" s="1">
        <v>545456</v>
      </c>
      <c r="E653" s="1">
        <v>27947</v>
      </c>
      <c r="F653" s="15">
        <v>106189.75</v>
      </c>
      <c r="G653" s="15" t="str">
        <f>IF(OR(Table14[[#This Row],[Sales]]&gt;($B$5+1.5*$B$9),Table14[[#This Row],[Sales]]&lt;($B$7-1.5*$B$9)),"Outlier","Normal")</f>
        <v>Normal</v>
      </c>
      <c r="H653" s="22"/>
      <c r="I653" s="22">
        <f>Table1[[#This Row],[Sales]]/Table1[[#This Row],[USD_Spend]]</f>
        <v>29.356962156940813</v>
      </c>
    </row>
    <row r="654" spans="1:9" x14ac:dyDescent="0.35">
      <c r="A654" s="3" t="s">
        <v>67</v>
      </c>
      <c r="B654" s="15">
        <v>15247.93</v>
      </c>
      <c r="C654" s="1" t="str">
        <f>IF(OR(Table14[[#This Row],[USD_Spend]]&gt;($B$4+1.5*$B$8),Table14[[#This Row],[USD_Spend]]&lt;($B$6-1.5*$B$8)),"Outlier","Normal")</f>
        <v>Normal</v>
      </c>
      <c r="D654" s="1">
        <v>347408</v>
      </c>
      <c r="E654" s="1">
        <v>12463</v>
      </c>
      <c r="F654" s="15">
        <v>245289.78</v>
      </c>
      <c r="G654" s="15" t="str">
        <f>IF(OR(Table14[[#This Row],[Sales]]&gt;($B$5+1.5*$B$9),Table14[[#This Row],[Sales]]&lt;($B$7-1.5*$B$9)),"Outlier","Normal")</f>
        <v>Normal</v>
      </c>
      <c r="H654" s="22"/>
      <c r="I654" s="22">
        <f>Table1[[#This Row],[Sales]]/Table1[[#This Row],[USD_Spend]]</f>
        <v>12.211246482499751</v>
      </c>
    </row>
    <row r="655" spans="1:9" x14ac:dyDescent="0.35">
      <c r="A655" s="3" t="s">
        <v>68</v>
      </c>
      <c r="B655" s="15">
        <v>79.489999999999995</v>
      </c>
      <c r="C655" s="1" t="str">
        <f>IF(OR(Table14[[#This Row],[USD_Spend]]&gt;($B$4+1.5*$B$8),Table14[[#This Row],[USD_Spend]]&lt;($B$6-1.5*$B$8)),"Outlier","Normal")</f>
        <v>Normal</v>
      </c>
      <c r="D655" s="1">
        <v>189708</v>
      </c>
      <c r="E655" s="1">
        <v>5518</v>
      </c>
      <c r="F655" s="15">
        <v>127465.31</v>
      </c>
      <c r="G655" s="15" t="str">
        <f>IF(OR(Table14[[#This Row],[Sales]]&gt;($B$5+1.5*$B$9),Table14[[#This Row],[Sales]]&lt;($B$7-1.5*$B$9)),"Outlier","Normal")</f>
        <v>Normal</v>
      </c>
      <c r="H655" s="22"/>
      <c r="I655" s="22">
        <f>Table1[[#This Row],[Sales]]/Table1[[#This Row],[USD_Spend]]</f>
        <v>6.6427807340654761</v>
      </c>
    </row>
    <row r="656" spans="1:9" x14ac:dyDescent="0.35">
      <c r="A656" s="3" t="s">
        <v>84</v>
      </c>
      <c r="B656" s="15">
        <v>4446.21</v>
      </c>
      <c r="C656" s="1" t="str">
        <f>IF(OR(Table14[[#This Row],[USD_Spend]]&gt;($B$4+1.5*$B$8),Table14[[#This Row],[USD_Spend]]&lt;($B$6-1.5*$B$8)),"Outlier","Normal")</f>
        <v>Normal</v>
      </c>
      <c r="D656" s="1">
        <v>330704</v>
      </c>
      <c r="E656" s="1">
        <v>29827</v>
      </c>
      <c r="F656" s="15">
        <v>74390.31</v>
      </c>
      <c r="G656" s="15" t="str">
        <f>IF(OR(Table14[[#This Row],[Sales]]&gt;($B$5+1.5*$B$9),Table14[[#This Row],[Sales]]&lt;($B$7-1.5*$B$9)),"Outlier","Normal")</f>
        <v>Normal</v>
      </c>
      <c r="H656" s="22"/>
      <c r="I656" s="22">
        <f>Table1[[#This Row],[Sales]]/Table1[[#This Row],[USD_Spend]]</f>
        <v>22.506439039249088</v>
      </c>
    </row>
    <row r="657" spans="1:9" x14ac:dyDescent="0.35">
      <c r="A657" s="3" t="s">
        <v>47</v>
      </c>
      <c r="B657" s="15">
        <v>22283.49</v>
      </c>
      <c r="C657" s="1" t="str">
        <f>IF(OR(Table14[[#This Row],[USD_Spend]]&gt;($B$4+1.5*$B$8),Table14[[#This Row],[USD_Spend]]&lt;($B$6-1.5*$B$8)),"Outlier","Normal")</f>
        <v>Normal</v>
      </c>
      <c r="D657" s="1">
        <v>826808</v>
      </c>
      <c r="E657" s="1">
        <v>45351</v>
      </c>
      <c r="F657" s="15">
        <v>11571.98</v>
      </c>
      <c r="G657" s="15" t="str">
        <f>IF(OR(Table14[[#This Row],[Sales]]&gt;($B$5+1.5*$B$9),Table14[[#This Row],[Sales]]&lt;($B$7-1.5*$B$9)),"Outlier","Normal")</f>
        <v>Normal</v>
      </c>
      <c r="H657" s="22"/>
      <c r="I657" s="22">
        <f>Table1[[#This Row],[Sales]]/Table1[[#This Row],[USD_Spend]]</f>
        <v>11.801205004191903</v>
      </c>
    </row>
    <row r="658" spans="1:9" x14ac:dyDescent="0.35">
      <c r="A658" s="3" t="s">
        <v>115</v>
      </c>
      <c r="B658" s="15">
        <v>921.82</v>
      </c>
      <c r="C658" s="1" t="str">
        <f>IF(OR(Table14[[#This Row],[USD_Spend]]&gt;($B$4+1.5*$B$8),Table14[[#This Row],[USD_Spend]]&lt;($B$6-1.5*$B$8)),"Outlier","Normal")</f>
        <v>Normal</v>
      </c>
      <c r="D658" s="1">
        <v>454579</v>
      </c>
      <c r="E658" s="1">
        <v>44470</v>
      </c>
      <c r="F658" s="15">
        <v>129627.18</v>
      </c>
      <c r="G658" s="15" t="str">
        <f>IF(OR(Table14[[#This Row],[Sales]]&gt;($B$5+1.5*$B$9),Table14[[#This Row],[Sales]]&lt;($B$7-1.5*$B$9)),"Outlier","Normal")</f>
        <v>Normal</v>
      </c>
      <c r="H658" s="22"/>
      <c r="I658" s="22">
        <f>Table1[[#This Row],[Sales]]/Table1[[#This Row],[USD_Spend]]</f>
        <v>28.858197229601203</v>
      </c>
    </row>
    <row r="659" spans="1:9" x14ac:dyDescent="0.35">
      <c r="A659" s="3" t="s">
        <v>87</v>
      </c>
      <c r="B659" s="15">
        <v>10488.07</v>
      </c>
      <c r="C659" s="1" t="str">
        <f>IF(OR(Table14[[#This Row],[USD_Spend]]&gt;($B$4+1.5*$B$8),Table14[[#This Row],[USD_Spend]]&lt;($B$6-1.5*$B$8)),"Outlier","Normal")</f>
        <v>Normal</v>
      </c>
      <c r="D659" s="1">
        <v>947758</v>
      </c>
      <c r="E659" s="1">
        <v>37698</v>
      </c>
      <c r="F659" s="15">
        <v>70923.570000000007</v>
      </c>
      <c r="G659" s="15" t="str">
        <f>IF(OR(Table14[[#This Row],[Sales]]&gt;($B$5+1.5*$B$9),Table14[[#This Row],[Sales]]&lt;($B$7-1.5*$B$9)),"Outlier","Normal")</f>
        <v>Normal</v>
      </c>
      <c r="H659" s="22"/>
      <c r="I659" s="22">
        <f>Table1[[#This Row],[Sales]]/Table1[[#This Row],[USD_Spend]]</f>
        <v>8.2799622436852598</v>
      </c>
    </row>
    <row r="660" spans="1:9" x14ac:dyDescent="0.35">
      <c r="A660" s="3" t="s">
        <v>64</v>
      </c>
      <c r="B660" s="15">
        <v>6291.21</v>
      </c>
      <c r="C660" s="1" t="str">
        <f>IF(OR(Table14[[#This Row],[USD_Spend]]&gt;($B$4+1.5*$B$8),Table14[[#This Row],[USD_Spend]]&lt;($B$6-1.5*$B$8)),"Outlier","Normal")</f>
        <v>Normal</v>
      </c>
      <c r="D660" s="1">
        <v>145073</v>
      </c>
      <c r="E660" s="1">
        <v>37788</v>
      </c>
      <c r="F660" s="15">
        <v>55526.33</v>
      </c>
      <c r="G660" s="15" t="str">
        <f>IF(OR(Table14[[#This Row],[Sales]]&gt;($B$5+1.5*$B$9),Table14[[#This Row],[Sales]]&lt;($B$7-1.5*$B$9)),"Outlier","Normal")</f>
        <v>Normal</v>
      </c>
      <c r="H660" s="22"/>
      <c r="I660" s="22">
        <f>Table1[[#This Row],[Sales]]/Table1[[#This Row],[USD_Spend]]</f>
        <v>2.0213160634221512</v>
      </c>
    </row>
    <row r="661" spans="1:9" x14ac:dyDescent="0.35">
      <c r="A661" s="3" t="s">
        <v>113</v>
      </c>
      <c r="B661" s="15">
        <v>4423.67</v>
      </c>
      <c r="C661" s="1" t="str">
        <f>IF(OR(Table14[[#This Row],[USD_Spend]]&gt;($B$4+1.5*$B$8),Table14[[#This Row],[USD_Spend]]&lt;($B$6-1.5*$B$8)),"Outlier","Normal")</f>
        <v>Normal</v>
      </c>
      <c r="D661" s="1">
        <v>339861</v>
      </c>
      <c r="E661" s="1">
        <v>29656</v>
      </c>
      <c r="F661" s="15">
        <v>156755.44</v>
      </c>
      <c r="G661" s="15" t="str">
        <f>IF(OR(Table14[[#This Row],[Sales]]&gt;($B$5+1.5*$B$9),Table14[[#This Row],[Sales]]&lt;($B$7-1.5*$B$9)),"Outlier","Normal")</f>
        <v>Normal</v>
      </c>
      <c r="H661" s="22"/>
      <c r="I661" s="22">
        <f>Table1[[#This Row],[Sales]]/Table1[[#This Row],[USD_Spend]]</f>
        <v>10.915103205225545</v>
      </c>
    </row>
    <row r="662" spans="1:9" x14ac:dyDescent="0.35">
      <c r="A662" s="3" t="s">
        <v>47</v>
      </c>
      <c r="B662" s="15">
        <v>52998.23</v>
      </c>
      <c r="C662" s="1" t="str">
        <f>IF(OR(Table14[[#This Row],[USD_Spend]]&gt;($B$4+1.5*$B$8),Table14[[#This Row],[USD_Spend]]&lt;($B$6-1.5*$B$8)),"Outlier","Normal")</f>
        <v>Normal</v>
      </c>
      <c r="D662" s="1">
        <v>72471</v>
      </c>
      <c r="E662" s="1">
        <v>22994</v>
      </c>
      <c r="F662" s="15">
        <v>93410.34</v>
      </c>
      <c r="G662" s="15" t="str">
        <f>IF(OR(Table14[[#This Row],[Sales]]&gt;($B$5+1.5*$B$9),Table14[[#This Row],[Sales]]&lt;($B$7-1.5*$B$9)),"Outlier","Normal")</f>
        <v>Normal</v>
      </c>
      <c r="H662" s="22"/>
      <c r="I662" s="22">
        <f>Table1[[#This Row],[Sales]]/Table1[[#This Row],[USD_Spend]]</f>
        <v>4.2627086997373933</v>
      </c>
    </row>
    <row r="663" spans="1:9" x14ac:dyDescent="0.35">
      <c r="A663" s="3" t="s">
        <v>95</v>
      </c>
      <c r="B663" s="15">
        <v>7308.87</v>
      </c>
      <c r="C663" s="1" t="str">
        <f>IF(OR(Table14[[#This Row],[USD_Spend]]&gt;($B$4+1.5*$B$8),Table14[[#This Row],[USD_Spend]]&lt;($B$6-1.5*$B$8)),"Outlier","Normal")</f>
        <v>Normal</v>
      </c>
      <c r="D663" s="1">
        <v>918211</v>
      </c>
      <c r="E663" s="1">
        <v>24065</v>
      </c>
      <c r="F663" s="15">
        <v>214566.22</v>
      </c>
      <c r="G663" s="15" t="str">
        <f>IF(OR(Table14[[#This Row],[Sales]]&gt;($B$5+1.5*$B$9),Table14[[#This Row],[Sales]]&lt;($B$7-1.5*$B$9)),"Outlier","Normal")</f>
        <v>Normal</v>
      </c>
      <c r="H663" s="22"/>
      <c r="I663" s="22">
        <f>Table1[[#This Row],[Sales]]/Table1[[#This Row],[USD_Spend]]</f>
        <v>6.3792503132732481</v>
      </c>
    </row>
    <row r="664" spans="1:9" x14ac:dyDescent="0.35">
      <c r="A664" s="3" t="s">
        <v>99</v>
      </c>
      <c r="B664" s="15">
        <v>8194.74</v>
      </c>
      <c r="C664" s="1" t="str">
        <f>IF(OR(Table14[[#This Row],[USD_Spend]]&gt;($B$4+1.5*$B$8),Table14[[#This Row],[USD_Spend]]&lt;($B$6-1.5*$B$8)),"Outlier","Normal")</f>
        <v>Normal</v>
      </c>
      <c r="D664" s="1">
        <v>281212</v>
      </c>
      <c r="E664" s="1">
        <v>26814</v>
      </c>
      <c r="F664" s="15">
        <v>100067.99</v>
      </c>
      <c r="G664" s="15" t="str">
        <f>IF(OR(Table14[[#This Row],[Sales]]&gt;($B$5+1.5*$B$9),Table14[[#This Row],[Sales]]&lt;($B$7-1.5*$B$9)),"Outlier","Normal")</f>
        <v>Normal</v>
      </c>
      <c r="H664" s="22"/>
      <c r="I664" s="22">
        <f>Table1[[#This Row],[Sales]]/Table1[[#This Row],[USD_Spend]]</f>
        <v>2.8487188543724398</v>
      </c>
    </row>
    <row r="665" spans="1:9" x14ac:dyDescent="0.35">
      <c r="A665" s="3" t="s">
        <v>75</v>
      </c>
      <c r="B665" s="15">
        <v>29306.65</v>
      </c>
      <c r="C665" s="1" t="str">
        <f>IF(OR(Table14[[#This Row],[USD_Spend]]&gt;($B$4+1.5*$B$8),Table14[[#This Row],[USD_Spend]]&lt;($B$6-1.5*$B$8)),"Outlier","Normal")</f>
        <v>Normal</v>
      </c>
      <c r="D665" s="1">
        <v>615711</v>
      </c>
      <c r="E665" s="1">
        <v>22667</v>
      </c>
      <c r="F665" s="15">
        <v>194677.65</v>
      </c>
      <c r="G665" s="15" t="str">
        <f>IF(OR(Table14[[#This Row],[Sales]]&gt;($B$5+1.5*$B$9),Table14[[#This Row],[Sales]]&lt;($B$7-1.5*$B$9)),"Outlier","Normal")</f>
        <v>Normal</v>
      </c>
      <c r="H665" s="22"/>
      <c r="I665" s="22">
        <f>Table1[[#This Row],[Sales]]/Table1[[#This Row],[USD_Spend]]</f>
        <v>5.5626214841362085</v>
      </c>
    </row>
    <row r="666" spans="1:9" x14ac:dyDescent="0.35">
      <c r="A666" s="3" t="s">
        <v>81</v>
      </c>
      <c r="B666" s="15">
        <v>10636.68</v>
      </c>
      <c r="C666" s="1" t="str">
        <f>IF(OR(Table14[[#This Row],[USD_Spend]]&gt;($B$4+1.5*$B$8),Table14[[#This Row],[USD_Spend]]&lt;($B$6-1.5*$B$8)),"Outlier","Normal")</f>
        <v>Normal</v>
      </c>
      <c r="D666" s="1">
        <v>132692</v>
      </c>
      <c r="E666" s="1">
        <v>33738</v>
      </c>
      <c r="F666" s="15">
        <v>239393.79</v>
      </c>
      <c r="G666" s="15" t="str">
        <f>IF(OR(Table14[[#This Row],[Sales]]&gt;($B$5+1.5*$B$9),Table14[[#This Row],[Sales]]&lt;($B$7-1.5*$B$9)),"Outlier","Normal")</f>
        <v>Normal</v>
      </c>
      <c r="H666" s="22"/>
      <c r="I666" s="22">
        <f>Table1[[#This Row],[Sales]]/Table1[[#This Row],[USD_Spend]]</f>
        <v>1.4702743630331521</v>
      </c>
    </row>
    <row r="667" spans="1:9" x14ac:dyDescent="0.35">
      <c r="A667" s="3" t="s">
        <v>102</v>
      </c>
      <c r="B667" s="15">
        <v>10424.86</v>
      </c>
      <c r="C667" s="1" t="str">
        <f>IF(OR(Table14[[#This Row],[USD_Spend]]&gt;($B$4+1.5*$B$8),Table14[[#This Row],[USD_Spend]]&lt;($B$6-1.5*$B$8)),"Outlier","Normal")</f>
        <v>Normal</v>
      </c>
      <c r="D667" s="1">
        <v>727659</v>
      </c>
      <c r="E667" s="1">
        <v>7184</v>
      </c>
      <c r="F667" s="15">
        <v>123025.91</v>
      </c>
      <c r="G667" s="15" t="str">
        <f>IF(OR(Table14[[#This Row],[Sales]]&gt;($B$5+1.5*$B$9),Table14[[#This Row],[Sales]]&lt;($B$7-1.5*$B$9)),"Outlier","Normal")</f>
        <v>Normal</v>
      </c>
      <c r="H667" s="22"/>
      <c r="I667" s="22">
        <f>Table1[[#This Row],[Sales]]/Table1[[#This Row],[USD_Spend]]</f>
        <v>14.320167527302443</v>
      </c>
    </row>
    <row r="668" spans="1:9" x14ac:dyDescent="0.35">
      <c r="A668" s="3" t="s">
        <v>34</v>
      </c>
      <c r="B668" s="15">
        <v>4773.32</v>
      </c>
      <c r="C668" s="1" t="str">
        <f>IF(OR(Table14[[#This Row],[USD_Spend]]&gt;($B$4+1.5*$B$8),Table14[[#This Row],[USD_Spend]]&lt;($B$6-1.5*$B$8)),"Outlier","Normal")</f>
        <v>Normal</v>
      </c>
      <c r="D668" s="1">
        <v>211774</v>
      </c>
      <c r="E668" s="1">
        <v>40647</v>
      </c>
      <c r="F668" s="15">
        <v>137749.41</v>
      </c>
      <c r="G668" s="15" t="str">
        <f>IF(OR(Table14[[#This Row],[Sales]]&gt;($B$5+1.5*$B$9),Table14[[#This Row],[Sales]]&lt;($B$7-1.5*$B$9)),"Outlier","Normal")</f>
        <v>Normal</v>
      </c>
      <c r="H668" s="22"/>
      <c r="I668" s="22">
        <f>Table1[[#This Row],[Sales]]/Table1[[#This Row],[USD_Spend]]</f>
        <v>10.019755901929798</v>
      </c>
    </row>
    <row r="669" spans="1:9" x14ac:dyDescent="0.35">
      <c r="A669" s="3" t="s">
        <v>91</v>
      </c>
      <c r="B669" s="15">
        <v>28911.72</v>
      </c>
      <c r="C669" s="1" t="str">
        <f>IF(OR(Table14[[#This Row],[USD_Spend]]&gt;($B$4+1.5*$B$8),Table14[[#This Row],[USD_Spend]]&lt;($B$6-1.5*$B$8)),"Outlier","Normal")</f>
        <v>Normal</v>
      </c>
      <c r="D669" s="1">
        <v>405129</v>
      </c>
      <c r="E669" s="1">
        <v>20662</v>
      </c>
      <c r="F669" s="15">
        <v>239387.95</v>
      </c>
      <c r="G669" s="15" t="str">
        <f>IF(OR(Table14[[#This Row],[Sales]]&gt;($B$5+1.5*$B$9),Table14[[#This Row],[Sales]]&lt;($B$7-1.5*$B$9)),"Outlier","Normal")</f>
        <v>Normal</v>
      </c>
      <c r="H669" s="22"/>
      <c r="I669" s="22">
        <f>Table1[[#This Row],[Sales]]/Table1[[#This Row],[USD_Spend]]</f>
        <v>6.048415378988933</v>
      </c>
    </row>
    <row r="670" spans="1:9" x14ac:dyDescent="0.35">
      <c r="A670" s="3" t="s">
        <v>75</v>
      </c>
      <c r="B670" s="15">
        <v>12641.64</v>
      </c>
      <c r="C670" s="1" t="str">
        <f>IF(OR(Table14[[#This Row],[USD_Spend]]&gt;($B$4+1.5*$B$8),Table14[[#This Row],[USD_Spend]]&lt;($B$6-1.5*$B$8)),"Outlier","Normal")</f>
        <v>Normal</v>
      </c>
      <c r="D670" s="1">
        <v>632234</v>
      </c>
      <c r="E670" s="1">
        <v>16481</v>
      </c>
      <c r="F670" s="15">
        <v>25552.75</v>
      </c>
      <c r="G670" s="15" t="str">
        <f>IF(OR(Table14[[#This Row],[Sales]]&gt;($B$5+1.5*$B$9),Table14[[#This Row],[Sales]]&lt;($B$7-1.5*$B$9)),"Outlier","Normal")</f>
        <v>Normal</v>
      </c>
      <c r="H670" s="22"/>
      <c r="I670" s="22">
        <f>Table1[[#This Row],[Sales]]/Table1[[#This Row],[USD_Spend]]</f>
        <v>0.98677881875584139</v>
      </c>
    </row>
    <row r="671" spans="1:9" x14ac:dyDescent="0.35">
      <c r="A671" s="3" t="s">
        <v>119</v>
      </c>
      <c r="B671" s="15">
        <v>16397.91</v>
      </c>
      <c r="C671" s="1" t="str">
        <f>IF(OR(Table14[[#This Row],[USD_Spend]]&gt;($B$4+1.5*$B$8),Table14[[#This Row],[USD_Spend]]&lt;($B$6-1.5*$B$8)),"Outlier","Normal")</f>
        <v>Normal</v>
      </c>
      <c r="D671" s="1">
        <v>525611</v>
      </c>
      <c r="E671" s="1">
        <v>27338</v>
      </c>
      <c r="F671" s="15">
        <v>178984.88</v>
      </c>
      <c r="G671" s="15" t="str">
        <f>IF(OR(Table14[[#This Row],[Sales]]&gt;($B$5+1.5*$B$9),Table14[[#This Row],[Sales]]&lt;($B$7-1.5*$B$9)),"Outlier","Normal")</f>
        <v>Normal</v>
      </c>
      <c r="H671" s="22"/>
      <c r="I671" s="22">
        <f>Table1[[#This Row],[Sales]]/Table1[[#This Row],[USD_Spend]]</f>
        <v>3.7746884807228991</v>
      </c>
    </row>
    <row r="672" spans="1:9" x14ac:dyDescent="0.35">
      <c r="A672" s="3" t="s">
        <v>112</v>
      </c>
      <c r="B672" s="15">
        <v>1660.28</v>
      </c>
      <c r="C672" s="1" t="str">
        <f>IF(OR(Table14[[#This Row],[USD_Spend]]&gt;($B$4+1.5*$B$8),Table14[[#This Row],[USD_Spend]]&lt;($B$6-1.5*$B$8)),"Outlier","Normal")</f>
        <v>Normal</v>
      </c>
      <c r="D672" s="1">
        <v>107738</v>
      </c>
      <c r="E672" s="1">
        <v>20324</v>
      </c>
      <c r="F672" s="15">
        <v>7077.29</v>
      </c>
      <c r="G672" s="15" t="str">
        <f>IF(OR(Table14[[#This Row],[Sales]]&gt;($B$5+1.5*$B$9),Table14[[#This Row],[Sales]]&lt;($B$7-1.5*$B$9)),"Outlier","Normal")</f>
        <v>Normal</v>
      </c>
      <c r="H672" s="22"/>
      <c r="I672" s="22">
        <f>Table1[[#This Row],[Sales]]/Table1[[#This Row],[USD_Spend]]</f>
        <v>6.9927824479376044</v>
      </c>
    </row>
    <row r="673" spans="1:9" x14ac:dyDescent="0.35">
      <c r="A673" s="3" t="s">
        <v>102</v>
      </c>
      <c r="B673" s="15">
        <v>22959.19</v>
      </c>
      <c r="C673" s="1" t="str">
        <f>IF(OR(Table14[[#This Row],[USD_Spend]]&gt;($B$4+1.5*$B$8),Table14[[#This Row],[USD_Spend]]&lt;($B$6-1.5*$B$8)),"Outlier","Normal")</f>
        <v>Normal</v>
      </c>
      <c r="D673" s="1">
        <v>29627</v>
      </c>
      <c r="E673" s="1">
        <v>13748</v>
      </c>
      <c r="F673" s="15">
        <v>146462.42000000001</v>
      </c>
      <c r="G673" s="15" t="str">
        <f>IF(OR(Table14[[#This Row],[Sales]]&gt;($B$5+1.5*$B$9),Table14[[#This Row],[Sales]]&lt;($B$7-1.5*$B$9)),"Outlier","Normal")</f>
        <v>Normal</v>
      </c>
      <c r="H673" s="22"/>
      <c r="I673" s="22">
        <f>Table1[[#This Row],[Sales]]/Table1[[#This Row],[USD_Spend]]</f>
        <v>7.3880740046819504</v>
      </c>
    </row>
    <row r="674" spans="1:9" x14ac:dyDescent="0.35">
      <c r="A674" s="3" t="s">
        <v>87</v>
      </c>
      <c r="B674" s="15">
        <v>34767.32</v>
      </c>
      <c r="C674" s="1" t="str">
        <f>IF(OR(Table14[[#This Row],[USD_Spend]]&gt;($B$4+1.5*$B$8),Table14[[#This Row],[USD_Spend]]&lt;($B$6-1.5*$B$8)),"Outlier","Normal")</f>
        <v>Normal</v>
      </c>
      <c r="D674" s="1">
        <v>576820</v>
      </c>
      <c r="E674" s="1">
        <v>21840</v>
      </c>
      <c r="F674" s="15">
        <v>99042.32</v>
      </c>
      <c r="G674" s="15" t="str">
        <f>IF(OR(Table14[[#This Row],[Sales]]&gt;($B$5+1.5*$B$9),Table14[[#This Row],[Sales]]&lt;($B$7-1.5*$B$9)),"Outlier","Normal")</f>
        <v>Normal</v>
      </c>
      <c r="H674" s="22"/>
      <c r="I674" s="22">
        <f>Table1[[#This Row],[Sales]]/Table1[[#This Row],[USD_Spend]]</f>
        <v>27.084571236891527</v>
      </c>
    </row>
    <row r="675" spans="1:9" x14ac:dyDescent="0.35">
      <c r="A675" s="3" t="s">
        <v>116</v>
      </c>
      <c r="B675" s="15">
        <v>44069.54</v>
      </c>
      <c r="C675" s="1" t="str">
        <f>IF(OR(Table14[[#This Row],[USD_Spend]]&gt;($B$4+1.5*$B$8),Table14[[#This Row],[USD_Spend]]&lt;($B$6-1.5*$B$8)),"Outlier","Normal")</f>
        <v>Normal</v>
      </c>
      <c r="D675" s="1">
        <v>611755</v>
      </c>
      <c r="E675" s="1">
        <v>25717</v>
      </c>
      <c r="F675" s="15">
        <v>245142.17</v>
      </c>
      <c r="G675" s="15" t="str">
        <f>IF(OR(Table14[[#This Row],[Sales]]&gt;($B$5+1.5*$B$9),Table14[[#This Row],[Sales]]&lt;($B$7-1.5*$B$9)),"Outlier","Normal")</f>
        <v>Normal</v>
      </c>
      <c r="H675" s="22"/>
      <c r="I675" s="22">
        <f>Table1[[#This Row],[Sales]]/Table1[[#This Row],[USD_Spend]]</f>
        <v>97.242342429046843</v>
      </c>
    </row>
    <row r="676" spans="1:9" x14ac:dyDescent="0.35">
      <c r="A676" s="3" t="s">
        <v>100</v>
      </c>
      <c r="B676" s="15">
        <v>32212.43</v>
      </c>
      <c r="C676" s="1" t="str">
        <f>IF(OR(Table14[[#This Row],[USD_Spend]]&gt;($B$4+1.5*$B$8),Table14[[#This Row],[USD_Spend]]&lt;($B$6-1.5*$B$8)),"Outlier","Normal")</f>
        <v>Normal</v>
      </c>
      <c r="D676" s="1">
        <v>841420</v>
      </c>
      <c r="E676" s="1">
        <v>31723</v>
      </c>
      <c r="F676" s="15">
        <v>47361.11</v>
      </c>
      <c r="G676" s="15" t="str">
        <f>IF(OR(Table14[[#This Row],[Sales]]&gt;($B$5+1.5*$B$9),Table14[[#This Row],[Sales]]&lt;($B$7-1.5*$B$9)),"Outlier","Normal")</f>
        <v>Normal</v>
      </c>
      <c r="H676" s="22"/>
      <c r="I676" s="22">
        <f>Table1[[#This Row],[Sales]]/Table1[[#This Row],[USD_Spend]]</f>
        <v>5.3494425227473741</v>
      </c>
    </row>
    <row r="677" spans="1:9" x14ac:dyDescent="0.35">
      <c r="A677" s="3" t="s">
        <v>112</v>
      </c>
      <c r="B677" s="15">
        <v>11797.48</v>
      </c>
      <c r="C677" s="1" t="str">
        <f>IF(OR(Table14[[#This Row],[USD_Spend]]&gt;($B$4+1.5*$B$8),Table14[[#This Row],[USD_Spend]]&lt;($B$6-1.5*$B$8)),"Outlier","Normal")</f>
        <v>Normal</v>
      </c>
      <c r="D677" s="1">
        <v>926622</v>
      </c>
      <c r="E677" s="1">
        <v>30395</v>
      </c>
      <c r="F677" s="15">
        <v>168941.89</v>
      </c>
      <c r="G677" s="15" t="str">
        <f>IF(OR(Table14[[#This Row],[Sales]]&gt;($B$5+1.5*$B$9),Table14[[#This Row],[Sales]]&lt;($B$7-1.5*$B$9)),"Outlier","Normal")</f>
        <v>Normal</v>
      </c>
      <c r="H677" s="22"/>
      <c r="I677" s="22">
        <f>Table1[[#This Row],[Sales]]/Table1[[#This Row],[USD_Spend]]</f>
        <v>2.0350443461639305</v>
      </c>
    </row>
    <row r="678" spans="1:9" x14ac:dyDescent="0.35">
      <c r="A678" s="3" t="s">
        <v>116</v>
      </c>
      <c r="B678" s="15">
        <v>3341.28</v>
      </c>
      <c r="C678" s="1" t="str">
        <f>IF(OR(Table14[[#This Row],[USD_Spend]]&gt;($B$4+1.5*$B$8),Table14[[#This Row],[USD_Spend]]&lt;($B$6-1.5*$B$8)),"Outlier","Normal")</f>
        <v>Normal</v>
      </c>
      <c r="D678" s="1">
        <v>555617</v>
      </c>
      <c r="E678" s="1">
        <v>29056</v>
      </c>
      <c r="F678" s="15">
        <v>33478.81</v>
      </c>
      <c r="G678" s="15" t="str">
        <f>IF(OR(Table14[[#This Row],[Sales]]&gt;($B$5+1.5*$B$9),Table14[[#This Row],[Sales]]&lt;($B$7-1.5*$B$9)),"Outlier","Normal")</f>
        <v>Normal</v>
      </c>
      <c r="H678" s="22"/>
      <c r="I678" s="22">
        <f>Table1[[#This Row],[Sales]]/Table1[[#This Row],[USD_Spend]]</f>
        <v>21.271208447560927</v>
      </c>
    </row>
    <row r="679" spans="1:9" x14ac:dyDescent="0.35">
      <c r="A679" s="3" t="s">
        <v>106</v>
      </c>
      <c r="B679" s="15">
        <v>25566.05</v>
      </c>
      <c r="C679" s="1" t="str">
        <f>IF(OR(Table14[[#This Row],[USD_Spend]]&gt;($B$4+1.5*$B$8),Table14[[#This Row],[USD_Spend]]&lt;($B$6-1.5*$B$8)),"Outlier","Normal")</f>
        <v>Normal</v>
      </c>
      <c r="D679" s="1">
        <v>125674</v>
      </c>
      <c r="E679" s="1">
        <v>40293</v>
      </c>
      <c r="F679" s="15">
        <v>154634.09</v>
      </c>
      <c r="G679" s="15" t="str">
        <f>IF(OR(Table14[[#This Row],[Sales]]&gt;($B$5+1.5*$B$9),Table14[[#This Row],[Sales]]&lt;($B$7-1.5*$B$9)),"Outlier","Normal")</f>
        <v>Normal</v>
      </c>
      <c r="H679" s="22"/>
      <c r="I679" s="22">
        <f>Table1[[#This Row],[Sales]]/Table1[[#This Row],[USD_Spend]]</f>
        <v>25.781670786124756</v>
      </c>
    </row>
    <row r="680" spans="1:9" x14ac:dyDescent="0.35">
      <c r="A680" s="3" t="s">
        <v>57</v>
      </c>
      <c r="B680" s="15">
        <v>11844.63</v>
      </c>
      <c r="C680" s="1" t="str">
        <f>IF(OR(Table14[[#This Row],[USD_Spend]]&gt;($B$4+1.5*$B$8),Table14[[#This Row],[USD_Spend]]&lt;($B$6-1.5*$B$8)),"Outlier","Normal")</f>
        <v>Normal</v>
      </c>
      <c r="D680" s="1">
        <v>783199</v>
      </c>
      <c r="E680" s="1">
        <v>41015</v>
      </c>
      <c r="F680" s="15">
        <v>11688.03</v>
      </c>
      <c r="G680" s="15" t="str">
        <f>IF(OR(Table14[[#This Row],[Sales]]&gt;($B$5+1.5*$B$9),Table14[[#This Row],[Sales]]&lt;($B$7-1.5*$B$9)),"Outlier","Normal")</f>
        <v>Normal</v>
      </c>
      <c r="H680" s="22"/>
      <c r="I680" s="22">
        <f>Table1[[#This Row],[Sales]]/Table1[[#This Row],[USD_Spend]]</f>
        <v>107.52815868720812</v>
      </c>
    </row>
    <row r="681" spans="1:9" x14ac:dyDescent="0.35">
      <c r="A681" s="3" t="s">
        <v>47</v>
      </c>
      <c r="B681" s="15">
        <v>29627.38</v>
      </c>
      <c r="C681" s="1" t="str">
        <f>IF(OR(Table14[[#This Row],[USD_Spend]]&gt;($B$4+1.5*$B$8),Table14[[#This Row],[USD_Spend]]&lt;($B$6-1.5*$B$8)),"Outlier","Normal")</f>
        <v>Normal</v>
      </c>
      <c r="D681" s="1">
        <v>524514</v>
      </c>
      <c r="E681" s="1">
        <v>31435</v>
      </c>
      <c r="F681" s="15">
        <v>111834.13</v>
      </c>
      <c r="G681" s="15" t="str">
        <f>IF(OR(Table14[[#This Row],[Sales]]&gt;($B$5+1.5*$B$9),Table14[[#This Row],[Sales]]&lt;($B$7-1.5*$B$9)),"Outlier","Normal")</f>
        <v>Normal</v>
      </c>
      <c r="H681" s="22"/>
      <c r="I681" s="22">
        <f>Table1[[#This Row],[Sales]]/Table1[[#This Row],[USD_Spend]]</f>
        <v>3.8848908348931501</v>
      </c>
    </row>
    <row r="682" spans="1:9" x14ac:dyDescent="0.35">
      <c r="A682" s="3" t="s">
        <v>82</v>
      </c>
      <c r="B682" s="15">
        <v>31243.279999999999</v>
      </c>
      <c r="C682" s="1" t="str">
        <f>IF(OR(Table14[[#This Row],[USD_Spend]]&gt;($B$4+1.5*$B$8),Table14[[#This Row],[USD_Spend]]&lt;($B$6-1.5*$B$8)),"Outlier","Normal")</f>
        <v>Normal</v>
      </c>
      <c r="D682" s="1">
        <v>856514</v>
      </c>
      <c r="E682" s="1">
        <v>48417</v>
      </c>
      <c r="F682" s="15">
        <v>218477.46</v>
      </c>
      <c r="G682" s="15" t="str">
        <f>IF(OR(Table14[[#This Row],[Sales]]&gt;($B$5+1.5*$B$9),Table14[[#This Row],[Sales]]&lt;($B$7-1.5*$B$9)),"Outlier","Normal")</f>
        <v>Normal</v>
      </c>
      <c r="H682" s="22"/>
      <c r="I682" s="22">
        <f>Table1[[#This Row],[Sales]]/Table1[[#This Row],[USD_Spend]]</f>
        <v>0.23276700793105631</v>
      </c>
    </row>
    <row r="683" spans="1:9" x14ac:dyDescent="0.35">
      <c r="A683" s="3" t="s">
        <v>120</v>
      </c>
      <c r="B683" s="15">
        <v>29739.74</v>
      </c>
      <c r="C683" s="1" t="str">
        <f>IF(OR(Table14[[#This Row],[USD_Spend]]&gt;($B$4+1.5*$B$8),Table14[[#This Row],[USD_Spend]]&lt;($B$6-1.5*$B$8)),"Outlier","Normal")</f>
        <v>Normal</v>
      </c>
      <c r="D683" s="1">
        <v>953584</v>
      </c>
      <c r="E683" s="1">
        <v>11890</v>
      </c>
      <c r="F683" s="15">
        <v>219719.4</v>
      </c>
      <c r="G683" s="15" t="str">
        <f>IF(OR(Table14[[#This Row],[Sales]]&gt;($B$5+1.5*$B$9),Table14[[#This Row],[Sales]]&lt;($B$7-1.5*$B$9)),"Outlier","Normal")</f>
        <v>Normal</v>
      </c>
      <c r="H683" s="22"/>
      <c r="I683" s="22">
        <f>Table1[[#This Row],[Sales]]/Table1[[#This Row],[USD_Spend]]</f>
        <v>0.78824746267695356</v>
      </c>
    </row>
    <row r="684" spans="1:9" x14ac:dyDescent="0.35">
      <c r="A684" s="3" t="s">
        <v>89</v>
      </c>
      <c r="B684" s="15">
        <v>8168.38</v>
      </c>
      <c r="C684" s="1" t="str">
        <f>IF(OR(Table14[[#This Row],[USD_Spend]]&gt;($B$4+1.5*$B$8),Table14[[#This Row],[USD_Spend]]&lt;($B$6-1.5*$B$8)),"Outlier","Normal")</f>
        <v>Normal</v>
      </c>
      <c r="D684" s="1">
        <v>298840</v>
      </c>
      <c r="E684" s="1">
        <v>14941</v>
      </c>
      <c r="F684" s="15">
        <v>221237.07</v>
      </c>
      <c r="G684" s="15" t="str">
        <f>IF(OR(Table14[[#This Row],[Sales]]&gt;($B$5+1.5*$B$9),Table14[[#This Row],[Sales]]&lt;($B$7-1.5*$B$9)),"Outlier","Normal")</f>
        <v>Normal</v>
      </c>
      <c r="H684" s="22"/>
      <c r="I684" s="22">
        <f>Table1[[#This Row],[Sales]]/Table1[[#This Row],[USD_Spend]]</f>
        <v>11.681796700349929</v>
      </c>
    </row>
    <row r="685" spans="1:9" x14ac:dyDescent="0.35">
      <c r="A685" s="3" t="s">
        <v>47</v>
      </c>
      <c r="B685" s="15">
        <v>1974.19</v>
      </c>
      <c r="C685" s="1" t="str">
        <f>IF(OR(Table14[[#This Row],[USD_Spend]]&gt;($B$4+1.5*$B$8),Table14[[#This Row],[USD_Spend]]&lt;($B$6-1.5*$B$8)),"Outlier","Normal")</f>
        <v>Normal</v>
      </c>
      <c r="D685" s="1">
        <v>758226</v>
      </c>
      <c r="E685" s="1">
        <v>42644</v>
      </c>
      <c r="F685" s="15">
        <v>191974.86</v>
      </c>
      <c r="G685" s="15" t="str">
        <f>IF(OR(Table14[[#This Row],[Sales]]&gt;($B$5+1.5*$B$9),Table14[[#This Row],[Sales]]&lt;($B$7-1.5*$B$9)),"Outlier","Normal")</f>
        <v>Normal</v>
      </c>
      <c r="H685" s="22"/>
      <c r="I685" s="22">
        <f>Table1[[#This Row],[Sales]]/Table1[[#This Row],[USD_Spend]]</f>
        <v>4.7876511416066103</v>
      </c>
    </row>
    <row r="686" spans="1:9" x14ac:dyDescent="0.35">
      <c r="A686" s="3" t="s">
        <v>99</v>
      </c>
      <c r="B686" s="15">
        <v>13205.92</v>
      </c>
      <c r="C686" s="1" t="str">
        <f>IF(OR(Table14[[#This Row],[USD_Spend]]&gt;($B$4+1.5*$B$8),Table14[[#This Row],[USD_Spend]]&lt;($B$6-1.5*$B$8)),"Outlier","Normal")</f>
        <v>Normal</v>
      </c>
      <c r="D686" s="1">
        <v>788261</v>
      </c>
      <c r="E686" s="1">
        <v>30724</v>
      </c>
      <c r="F686" s="15">
        <v>70644.31</v>
      </c>
      <c r="G686" s="15" t="str">
        <f>IF(OR(Table14[[#This Row],[Sales]]&gt;($B$5+1.5*$B$9),Table14[[#This Row],[Sales]]&lt;($B$7-1.5*$B$9)),"Outlier","Normal")</f>
        <v>Normal</v>
      </c>
      <c r="H686" s="22"/>
      <c r="I686" s="22">
        <f>Table1[[#This Row],[Sales]]/Table1[[#This Row],[USD_Spend]]</f>
        <v>5.3749720340918223</v>
      </c>
    </row>
    <row r="687" spans="1:9" x14ac:dyDescent="0.35">
      <c r="A687" s="3" t="s">
        <v>111</v>
      </c>
      <c r="B687" s="15">
        <v>12090.11</v>
      </c>
      <c r="C687" s="1" t="str">
        <f>IF(OR(Table14[[#This Row],[USD_Spend]]&gt;($B$4+1.5*$B$8),Table14[[#This Row],[USD_Spend]]&lt;($B$6-1.5*$B$8)),"Outlier","Normal")</f>
        <v>Normal</v>
      </c>
      <c r="D687" s="1">
        <v>914318</v>
      </c>
      <c r="E687" s="1">
        <v>31634</v>
      </c>
      <c r="F687" s="15">
        <v>24603.91</v>
      </c>
      <c r="G687" s="15" t="str">
        <f>IF(OR(Table14[[#This Row],[Sales]]&gt;($B$5+1.5*$B$9),Table14[[#This Row],[Sales]]&lt;($B$7-1.5*$B$9)),"Outlier","Normal")</f>
        <v>Normal</v>
      </c>
      <c r="H687" s="22"/>
      <c r="I687" s="22">
        <f>Table1[[#This Row],[Sales]]/Table1[[#This Row],[USD_Spend]]</f>
        <v>28.954961656977037</v>
      </c>
    </row>
    <row r="688" spans="1:9" x14ac:dyDescent="0.35">
      <c r="A688" s="3" t="s">
        <v>103</v>
      </c>
      <c r="B688" s="15">
        <v>11614.24</v>
      </c>
      <c r="C688" s="1" t="str">
        <f>IF(OR(Table14[[#This Row],[USD_Spend]]&gt;($B$4+1.5*$B$8),Table14[[#This Row],[USD_Spend]]&lt;($B$6-1.5*$B$8)),"Outlier","Normal")</f>
        <v>Normal</v>
      </c>
      <c r="D688" s="1">
        <v>907689</v>
      </c>
      <c r="E688" s="1">
        <v>37832</v>
      </c>
      <c r="F688" s="15">
        <v>247048.92</v>
      </c>
      <c r="G688" s="15" t="str">
        <f>IF(OR(Table14[[#This Row],[Sales]]&gt;($B$5+1.5*$B$9),Table14[[#This Row],[Sales]]&lt;($B$7-1.5*$B$9)),"Outlier","Normal")</f>
        <v>Normal</v>
      </c>
      <c r="H688" s="22"/>
      <c r="I688" s="22">
        <f>Table1[[#This Row],[Sales]]/Table1[[#This Row],[USD_Spend]]</f>
        <v>31.340082777377507</v>
      </c>
    </row>
    <row r="689" spans="1:9" x14ac:dyDescent="0.35">
      <c r="A689" s="3" t="s">
        <v>116</v>
      </c>
      <c r="B689" s="15">
        <v>4842.87</v>
      </c>
      <c r="C689" s="1" t="str">
        <f>IF(OR(Table14[[#This Row],[USD_Spend]]&gt;($B$4+1.5*$B$8),Table14[[#This Row],[USD_Spend]]&lt;($B$6-1.5*$B$8)),"Outlier","Normal")</f>
        <v>Normal</v>
      </c>
      <c r="D689" s="1">
        <v>908602</v>
      </c>
      <c r="E689" s="1">
        <v>34294</v>
      </c>
      <c r="F689" s="15">
        <v>124857.28</v>
      </c>
      <c r="G689" s="15" t="str">
        <f>IF(OR(Table14[[#This Row],[Sales]]&gt;($B$5+1.5*$B$9),Table14[[#This Row],[Sales]]&lt;($B$7-1.5*$B$9)),"Outlier","Normal")</f>
        <v>Normal</v>
      </c>
      <c r="H689" s="22"/>
      <c r="I689" s="22">
        <f>Table1[[#This Row],[Sales]]/Table1[[#This Row],[USD_Spend]]</f>
        <v>18.664665411544238</v>
      </c>
    </row>
    <row r="690" spans="1:9" x14ac:dyDescent="0.35">
      <c r="A690" s="3" t="s">
        <v>47</v>
      </c>
      <c r="B690" s="15">
        <v>2291.3000000000002</v>
      </c>
      <c r="C690" s="1" t="str">
        <f>IF(OR(Table14[[#This Row],[USD_Spend]]&gt;($B$4+1.5*$B$8),Table14[[#This Row],[USD_Spend]]&lt;($B$6-1.5*$B$8)),"Outlier","Normal")</f>
        <v>Normal</v>
      </c>
      <c r="D690" s="1">
        <v>248968</v>
      </c>
      <c r="E690" s="1">
        <v>19065</v>
      </c>
      <c r="F690" s="15">
        <v>246379.27</v>
      </c>
      <c r="G690" s="15" t="str">
        <f>IF(OR(Table14[[#This Row],[Sales]]&gt;($B$5+1.5*$B$9),Table14[[#This Row],[Sales]]&lt;($B$7-1.5*$B$9)),"Outlier","Normal")</f>
        <v>Normal</v>
      </c>
      <c r="H690" s="22"/>
      <c r="I690" s="22">
        <f>Table1[[#This Row],[Sales]]/Table1[[#This Row],[USD_Spend]]</f>
        <v>1.7502248027975458</v>
      </c>
    </row>
    <row r="691" spans="1:9" x14ac:dyDescent="0.35">
      <c r="A691" s="3" t="s">
        <v>78</v>
      </c>
      <c r="B691" s="15">
        <v>15119.3</v>
      </c>
      <c r="C691" s="1" t="str">
        <f>IF(OR(Table14[[#This Row],[USD_Spend]]&gt;($B$4+1.5*$B$8),Table14[[#This Row],[USD_Spend]]&lt;($B$6-1.5*$B$8)),"Outlier","Normal")</f>
        <v>Normal</v>
      </c>
      <c r="D691" s="1">
        <v>737186</v>
      </c>
      <c r="E691" s="1">
        <v>49139</v>
      </c>
      <c r="F691" s="15">
        <v>58736.83</v>
      </c>
      <c r="G691" s="15" t="str">
        <f>IF(OR(Table14[[#This Row],[Sales]]&gt;($B$5+1.5*$B$9),Table14[[#This Row],[Sales]]&lt;($B$7-1.5*$B$9)),"Outlier","Normal")</f>
        <v>Normal</v>
      </c>
      <c r="H691" s="22"/>
      <c r="I691" s="22">
        <f>Table1[[#This Row],[Sales]]/Table1[[#This Row],[USD_Spend]]</f>
        <v>12.914285882545204</v>
      </c>
    </row>
    <row r="692" spans="1:9" x14ac:dyDescent="0.35">
      <c r="A692" s="3" t="s">
        <v>96</v>
      </c>
      <c r="B692" s="15">
        <v>55451.63</v>
      </c>
      <c r="C692" s="1" t="str">
        <f>IF(OR(Table14[[#This Row],[USD_Spend]]&gt;($B$4+1.5*$B$8),Table14[[#This Row],[USD_Spend]]&lt;($B$6-1.5*$B$8)),"Outlier","Normal")</f>
        <v>Outlier</v>
      </c>
      <c r="D692" s="1">
        <v>694963</v>
      </c>
      <c r="E692" s="1">
        <v>2064</v>
      </c>
      <c r="F692" s="15">
        <v>12907.31</v>
      </c>
      <c r="G692" s="15" t="str">
        <f>IF(OR(Table14[[#This Row],[Sales]]&gt;($B$5+1.5*$B$9),Table14[[#This Row],[Sales]]&lt;($B$7-1.5*$B$9)),"Outlier","Normal")</f>
        <v>Normal</v>
      </c>
      <c r="H692" s="22"/>
      <c r="I692" s="22">
        <f>Table1[[#This Row],[Sales]]/Table1[[#This Row],[USD_Spend]]</f>
        <v>10.676655436211261</v>
      </c>
    </row>
    <row r="693" spans="1:9" x14ac:dyDescent="0.35">
      <c r="A693" s="3" t="s">
        <v>27</v>
      </c>
      <c r="B693" s="15">
        <v>13351.67</v>
      </c>
      <c r="C693" s="1" t="str">
        <f>IF(OR(Table14[[#This Row],[USD_Spend]]&gt;($B$4+1.5*$B$8),Table14[[#This Row],[USD_Spend]]&lt;($B$6-1.5*$B$8)),"Outlier","Normal")</f>
        <v>Normal</v>
      </c>
      <c r="D693" s="1">
        <v>301427</v>
      </c>
      <c r="E693" s="1">
        <v>12926</v>
      </c>
      <c r="F693" s="15">
        <v>10524.42</v>
      </c>
      <c r="G693" s="15" t="str">
        <f>IF(OR(Table14[[#This Row],[Sales]]&gt;($B$5+1.5*$B$9),Table14[[#This Row],[Sales]]&lt;($B$7-1.5*$B$9)),"Outlier","Normal")</f>
        <v>Normal</v>
      </c>
      <c r="H693" s="22"/>
      <c r="I693" s="22">
        <f>Table1[[#This Row],[Sales]]/Table1[[#This Row],[USD_Spend]]</f>
        <v>6.6060073012516156</v>
      </c>
    </row>
    <row r="694" spans="1:9" x14ac:dyDescent="0.35">
      <c r="A694" s="3" t="s">
        <v>94</v>
      </c>
      <c r="B694" s="15">
        <v>3766.46</v>
      </c>
      <c r="C694" s="1" t="str">
        <f>IF(OR(Table14[[#This Row],[USD_Spend]]&gt;($B$4+1.5*$B$8),Table14[[#This Row],[USD_Spend]]&lt;($B$6-1.5*$B$8)),"Outlier","Normal")</f>
        <v>Normal</v>
      </c>
      <c r="D694" s="1">
        <v>40955</v>
      </c>
      <c r="E694" s="1">
        <v>48129</v>
      </c>
      <c r="F694" s="15">
        <v>43999.02</v>
      </c>
      <c r="G694" s="15" t="str">
        <f>IF(OR(Table14[[#This Row],[Sales]]&gt;($B$5+1.5*$B$9),Table14[[#This Row],[Sales]]&lt;($B$7-1.5*$B$9)),"Outlier","Normal")</f>
        <v>Normal</v>
      </c>
      <c r="H694" s="22"/>
      <c r="I694" s="22">
        <f>Table1[[#This Row],[Sales]]/Table1[[#This Row],[USD_Spend]]</f>
        <v>2.5992681336895993</v>
      </c>
    </row>
    <row r="695" spans="1:9" x14ac:dyDescent="0.35">
      <c r="A695" s="3" t="s">
        <v>96</v>
      </c>
      <c r="B695" s="15">
        <v>38488.74</v>
      </c>
      <c r="C695" s="1" t="str">
        <f>IF(OR(Table14[[#This Row],[USD_Spend]]&gt;($B$4+1.5*$B$8),Table14[[#This Row],[USD_Spend]]&lt;($B$6-1.5*$B$8)),"Outlier","Normal")</f>
        <v>Normal</v>
      </c>
      <c r="D695" s="1">
        <v>732487</v>
      </c>
      <c r="E695" s="1">
        <v>32182</v>
      </c>
      <c r="F695" s="15">
        <v>184270.66</v>
      </c>
      <c r="G695" s="15" t="str">
        <f>IF(OR(Table14[[#This Row],[Sales]]&gt;($B$5+1.5*$B$9),Table14[[#This Row],[Sales]]&lt;($B$7-1.5*$B$9)),"Outlier","Normal")</f>
        <v>Normal</v>
      </c>
      <c r="H695" s="22"/>
      <c r="I695" s="22">
        <f>Table1[[#This Row],[Sales]]/Table1[[#This Row],[USD_Spend]]</f>
        <v>40.274717630950079</v>
      </c>
    </row>
    <row r="696" spans="1:9" x14ac:dyDescent="0.35">
      <c r="A696" s="3" t="s">
        <v>107</v>
      </c>
      <c r="B696" s="15">
        <v>38931.33</v>
      </c>
      <c r="C696" s="1" t="str">
        <f>IF(OR(Table14[[#This Row],[USD_Spend]]&gt;($B$4+1.5*$B$8),Table14[[#This Row],[USD_Spend]]&lt;($B$6-1.5*$B$8)),"Outlier","Normal")</f>
        <v>Normal</v>
      </c>
      <c r="D696" s="1">
        <v>696735</v>
      </c>
      <c r="E696" s="1">
        <v>6589</v>
      </c>
      <c r="F696" s="15">
        <v>209254.81</v>
      </c>
      <c r="G696" s="15" t="str">
        <f>IF(OR(Table14[[#This Row],[Sales]]&gt;($B$5+1.5*$B$9),Table14[[#This Row],[Sales]]&lt;($B$7-1.5*$B$9)),"Outlier","Normal")</f>
        <v>Normal</v>
      </c>
      <c r="H696" s="22"/>
      <c r="I696" s="22">
        <f>Table1[[#This Row],[Sales]]/Table1[[#This Row],[USD_Spend]]</f>
        <v>14.58103187635327</v>
      </c>
    </row>
    <row r="697" spans="1:9" x14ac:dyDescent="0.35">
      <c r="A697" s="3" t="s">
        <v>97</v>
      </c>
      <c r="B697" s="15">
        <v>5013.95</v>
      </c>
      <c r="C697" s="1" t="str">
        <f>IF(OR(Table14[[#This Row],[USD_Spend]]&gt;($B$4+1.5*$B$8),Table14[[#This Row],[USD_Spend]]&lt;($B$6-1.5*$B$8)),"Outlier","Normal")</f>
        <v>Normal</v>
      </c>
      <c r="D697" s="1">
        <v>375848</v>
      </c>
      <c r="E697" s="1">
        <v>46005</v>
      </c>
      <c r="F697" s="15">
        <v>145178.73000000001</v>
      </c>
      <c r="G697" s="15" t="str">
        <f>IF(OR(Table14[[#This Row],[Sales]]&gt;($B$5+1.5*$B$9),Table14[[#This Row],[Sales]]&lt;($B$7-1.5*$B$9)),"Outlier","Normal")</f>
        <v>Normal</v>
      </c>
      <c r="H697" s="22"/>
      <c r="I697" s="22">
        <f>Table1[[#This Row],[Sales]]/Table1[[#This Row],[USD_Spend]]</f>
        <v>3.5300058361241442</v>
      </c>
    </row>
    <row r="698" spans="1:9" x14ac:dyDescent="0.35">
      <c r="A698" s="3" t="s">
        <v>91</v>
      </c>
      <c r="B698" s="15">
        <v>6412.38</v>
      </c>
      <c r="C698" s="1" t="str">
        <f>IF(OR(Table14[[#This Row],[USD_Spend]]&gt;($B$4+1.5*$B$8),Table14[[#This Row],[USD_Spend]]&lt;($B$6-1.5*$B$8)),"Outlier","Normal")</f>
        <v>Normal</v>
      </c>
      <c r="D698" s="1">
        <v>414562</v>
      </c>
      <c r="E698" s="1">
        <v>45821</v>
      </c>
      <c r="F698" s="15">
        <v>200964.52</v>
      </c>
      <c r="G698" s="15" t="str">
        <f>IF(OR(Table14[[#This Row],[Sales]]&gt;($B$5+1.5*$B$9),Table14[[#This Row],[Sales]]&lt;($B$7-1.5*$B$9)),"Outlier","Normal")</f>
        <v>Normal</v>
      </c>
      <c r="H698" s="22"/>
      <c r="I698" s="22">
        <f>Table1[[#This Row],[Sales]]/Table1[[#This Row],[USD_Spend]]</f>
        <v>70.244445883101889</v>
      </c>
    </row>
    <row r="699" spans="1:9" x14ac:dyDescent="0.35">
      <c r="A699" s="3" t="s">
        <v>70</v>
      </c>
      <c r="B699" s="15">
        <v>1152.6099999999999</v>
      </c>
      <c r="C699" s="1" t="str">
        <f>IF(OR(Table14[[#This Row],[USD_Spend]]&gt;($B$4+1.5*$B$8),Table14[[#This Row],[USD_Spend]]&lt;($B$6-1.5*$B$8)),"Outlier","Normal")</f>
        <v>Normal</v>
      </c>
      <c r="D699" s="1">
        <v>71733</v>
      </c>
      <c r="E699" s="1">
        <v>15103</v>
      </c>
      <c r="F699" s="15">
        <v>21513.08</v>
      </c>
      <c r="G699" s="15" t="str">
        <f>IF(OR(Table14[[#This Row],[Sales]]&gt;($B$5+1.5*$B$9),Table14[[#This Row],[Sales]]&lt;($B$7-1.5*$B$9)),"Outlier","Normal")</f>
        <v>Normal</v>
      </c>
      <c r="H699" s="22"/>
      <c r="I699" s="22">
        <f>Table1[[#This Row],[Sales]]/Table1[[#This Row],[USD_Spend]]</f>
        <v>283.58566154754868</v>
      </c>
    </row>
    <row r="700" spans="1:9" x14ac:dyDescent="0.35">
      <c r="A700" s="3" t="s">
        <v>86</v>
      </c>
      <c r="B700" s="15">
        <v>28124.65</v>
      </c>
      <c r="C700" s="1" t="str">
        <f>IF(OR(Table14[[#This Row],[USD_Spend]]&gt;($B$4+1.5*$B$8),Table14[[#This Row],[USD_Spend]]&lt;($B$6-1.5*$B$8)),"Outlier","Normal")</f>
        <v>Normal</v>
      </c>
      <c r="D700" s="1">
        <v>366470</v>
      </c>
      <c r="E700" s="1">
        <v>28740</v>
      </c>
      <c r="F700" s="15">
        <v>49224.46</v>
      </c>
      <c r="G700" s="15" t="str">
        <f>IF(OR(Table14[[#This Row],[Sales]]&gt;($B$5+1.5*$B$9),Table14[[#This Row],[Sales]]&lt;($B$7-1.5*$B$9)),"Outlier","Normal")</f>
        <v>Normal</v>
      </c>
      <c r="H700" s="22"/>
      <c r="I700" s="22">
        <f>Table1[[#This Row],[Sales]]/Table1[[#This Row],[USD_Spend]]</f>
        <v>75.181865454453956</v>
      </c>
    </row>
    <row r="701" spans="1:9" x14ac:dyDescent="0.35">
      <c r="A701" s="3" t="s">
        <v>42</v>
      </c>
      <c r="B701" s="15">
        <v>6792.23</v>
      </c>
      <c r="C701" s="1" t="str">
        <f>IF(OR(Table14[[#This Row],[USD_Spend]]&gt;($B$4+1.5*$B$8),Table14[[#This Row],[USD_Spend]]&lt;($B$6-1.5*$B$8)),"Outlier","Normal")</f>
        <v>Normal</v>
      </c>
      <c r="D701" s="1">
        <v>765638</v>
      </c>
      <c r="E701" s="1">
        <v>39758</v>
      </c>
      <c r="F701" s="15">
        <v>87716.800000000003</v>
      </c>
      <c r="G701" s="15" t="str">
        <f>IF(OR(Table14[[#This Row],[Sales]]&gt;($B$5+1.5*$B$9),Table14[[#This Row],[Sales]]&lt;($B$7-1.5*$B$9)),"Outlier","Normal")</f>
        <v>Normal</v>
      </c>
      <c r="H701" s="22"/>
      <c r="I701" s="22">
        <f>Table1[[#This Row],[Sales]]/Table1[[#This Row],[USD_Spend]]</f>
        <v>6.9294494389743884</v>
      </c>
    </row>
    <row r="702" spans="1:9" x14ac:dyDescent="0.35">
      <c r="A702" s="3" t="s">
        <v>72</v>
      </c>
      <c r="B702" s="15">
        <v>16099.08</v>
      </c>
      <c r="C702" s="1" t="str">
        <f>IF(OR(Table14[[#This Row],[USD_Spend]]&gt;($B$4+1.5*$B$8),Table14[[#This Row],[USD_Spend]]&lt;($B$6-1.5*$B$8)),"Outlier","Normal")</f>
        <v>Normal</v>
      </c>
      <c r="D702" s="1">
        <v>464626</v>
      </c>
      <c r="E702" s="1">
        <v>7255</v>
      </c>
      <c r="F702" s="15">
        <v>171884.33</v>
      </c>
      <c r="G702" s="15" t="str">
        <f>IF(OR(Table14[[#This Row],[Sales]]&gt;($B$5+1.5*$B$9),Table14[[#This Row],[Sales]]&lt;($B$7-1.5*$B$9)),"Outlier","Normal")</f>
        <v>Normal</v>
      </c>
      <c r="H702" s="22"/>
      <c r="I702" s="22">
        <f>Table1[[#This Row],[Sales]]/Table1[[#This Row],[USD_Spend]]</f>
        <v>5.7874767554087514</v>
      </c>
    </row>
    <row r="703" spans="1:9" x14ac:dyDescent="0.35">
      <c r="A703" s="3" t="s">
        <v>96</v>
      </c>
      <c r="B703" s="15">
        <v>26337.95</v>
      </c>
      <c r="C703" s="1" t="str">
        <f>IF(OR(Table14[[#This Row],[USD_Spend]]&gt;($B$4+1.5*$B$8),Table14[[#This Row],[USD_Spend]]&lt;($B$6-1.5*$B$8)),"Outlier","Normal")</f>
        <v>Normal</v>
      </c>
      <c r="D703" s="1">
        <v>30700</v>
      </c>
      <c r="E703" s="1">
        <v>3261</v>
      </c>
      <c r="F703" s="15">
        <v>173988.69</v>
      </c>
      <c r="G703" s="15" t="str">
        <f>IF(OR(Table14[[#This Row],[Sales]]&gt;($B$5+1.5*$B$9),Table14[[#This Row],[Sales]]&lt;($B$7-1.5*$B$9)),"Outlier","Normal")</f>
        <v>Normal</v>
      </c>
      <c r="H703" s="22"/>
      <c r="I703" s="22">
        <f>Table1[[#This Row],[Sales]]/Table1[[#This Row],[USD_Spend]]</f>
        <v>15.782459225531797</v>
      </c>
    </row>
    <row r="704" spans="1:9" x14ac:dyDescent="0.35">
      <c r="A704" s="3" t="s">
        <v>95</v>
      </c>
      <c r="B704" s="15">
        <v>40928.239999999998</v>
      </c>
      <c r="C704" s="1" t="str">
        <f>IF(OR(Table14[[#This Row],[USD_Spend]]&gt;($B$4+1.5*$B$8),Table14[[#This Row],[USD_Spend]]&lt;($B$6-1.5*$B$8)),"Outlier","Normal")</f>
        <v>Normal</v>
      </c>
      <c r="D704" s="1">
        <v>22940</v>
      </c>
      <c r="E704" s="1">
        <v>19226</v>
      </c>
      <c r="F704" s="15">
        <v>106383.47</v>
      </c>
      <c r="G704" s="15" t="str">
        <f>IF(OR(Table14[[#This Row],[Sales]]&gt;($B$5+1.5*$B$9),Table14[[#This Row],[Sales]]&lt;($B$7-1.5*$B$9)),"Outlier","Normal")</f>
        <v>Normal</v>
      </c>
      <c r="H704" s="22"/>
      <c r="I704" s="22">
        <f>Table1[[#This Row],[Sales]]/Table1[[#This Row],[USD_Spend]]</f>
        <v>5.7722900295152497</v>
      </c>
    </row>
    <row r="705" spans="1:9" x14ac:dyDescent="0.35">
      <c r="A705" s="3" t="s">
        <v>106</v>
      </c>
      <c r="B705" s="15">
        <v>5017.37</v>
      </c>
      <c r="C705" s="1" t="str">
        <f>IF(OR(Table14[[#This Row],[USD_Spend]]&gt;($B$4+1.5*$B$8),Table14[[#This Row],[USD_Spend]]&lt;($B$6-1.5*$B$8)),"Outlier","Normal")</f>
        <v>Normal</v>
      </c>
      <c r="D705" s="1">
        <v>928481</v>
      </c>
      <c r="E705" s="1">
        <v>21234</v>
      </c>
      <c r="F705" s="15">
        <v>202073.16</v>
      </c>
      <c r="G705" s="15" t="str">
        <f>IF(OR(Table14[[#This Row],[Sales]]&gt;($B$5+1.5*$B$9),Table14[[#This Row],[Sales]]&lt;($B$7-1.5*$B$9)),"Outlier","Normal")</f>
        <v>Normal</v>
      </c>
      <c r="H705" s="22"/>
      <c r="I705" s="22">
        <f>Table1[[#This Row],[Sales]]/Table1[[#This Row],[USD_Spend]]</f>
        <v>12.538304030516638</v>
      </c>
    </row>
    <row r="706" spans="1:9" x14ac:dyDescent="0.35">
      <c r="A706" s="3" t="s">
        <v>117</v>
      </c>
      <c r="B706" s="15">
        <v>10894.91</v>
      </c>
      <c r="C706" s="1" t="str">
        <f>IF(OR(Table14[[#This Row],[USD_Spend]]&gt;($B$4+1.5*$B$8),Table14[[#This Row],[USD_Spend]]&lt;($B$6-1.5*$B$8)),"Outlier","Normal")</f>
        <v>Normal</v>
      </c>
      <c r="D706" s="1">
        <v>467250</v>
      </c>
      <c r="E706" s="1">
        <v>17002</v>
      </c>
      <c r="F706" s="15">
        <v>158859.03</v>
      </c>
      <c r="G706" s="15" t="str">
        <f>IF(OR(Table14[[#This Row],[Sales]]&gt;($B$5+1.5*$B$9),Table14[[#This Row],[Sales]]&lt;($B$7-1.5*$B$9)),"Outlier","Normal")</f>
        <v>Normal</v>
      </c>
      <c r="H706" s="22"/>
      <c r="I706" s="22">
        <f>Table1[[#This Row],[Sales]]/Table1[[#This Row],[USD_Spend]]</f>
        <v>12.958346468845248</v>
      </c>
    </row>
    <row r="707" spans="1:9" x14ac:dyDescent="0.35">
      <c r="A707" s="3" t="s">
        <v>109</v>
      </c>
      <c r="B707" s="15">
        <v>9561.14</v>
      </c>
      <c r="C707" s="1" t="str">
        <f>IF(OR(Table14[[#This Row],[USD_Spend]]&gt;($B$4+1.5*$B$8),Table14[[#This Row],[USD_Spend]]&lt;($B$6-1.5*$B$8)),"Outlier","Normal")</f>
        <v>Normal</v>
      </c>
      <c r="D707" s="1">
        <v>188386</v>
      </c>
      <c r="E707" s="1">
        <v>37274</v>
      </c>
      <c r="F707" s="15">
        <v>33750.879999999997</v>
      </c>
      <c r="G707" s="15" t="str">
        <f>IF(OR(Table14[[#This Row],[Sales]]&gt;($B$5+1.5*$B$9),Table14[[#This Row],[Sales]]&lt;($B$7-1.5*$B$9)),"Outlier","Normal")</f>
        <v>Normal</v>
      </c>
      <c r="H707" s="22"/>
      <c r="I707" s="22">
        <f>Table1[[#This Row],[Sales]]/Table1[[#This Row],[USD_Spend]]</f>
        <v>30.651070578905632</v>
      </c>
    </row>
    <row r="708" spans="1:9" x14ac:dyDescent="0.35">
      <c r="A708" s="3" t="s">
        <v>67</v>
      </c>
      <c r="B708" s="15">
        <v>1853.58</v>
      </c>
      <c r="C708" s="1" t="str">
        <f>IF(OR(Table14[[#This Row],[USD_Spend]]&gt;($B$4+1.5*$B$8),Table14[[#This Row],[USD_Spend]]&lt;($B$6-1.5*$B$8)),"Outlier","Normal")</f>
        <v>Normal</v>
      </c>
      <c r="D708" s="1">
        <v>475371</v>
      </c>
      <c r="E708" s="1">
        <v>7517</v>
      </c>
      <c r="F708" s="15">
        <v>130203.7</v>
      </c>
      <c r="G708" s="15" t="str">
        <f>IF(OR(Table14[[#This Row],[Sales]]&gt;($B$5+1.5*$B$9),Table14[[#This Row],[Sales]]&lt;($B$7-1.5*$B$9)),"Outlier","Normal")</f>
        <v>Normal</v>
      </c>
      <c r="H708" s="22"/>
      <c r="I708" s="22">
        <f>Table1[[#This Row],[Sales]]/Table1[[#This Row],[USD_Spend]]</f>
        <v>3.8398859161718026</v>
      </c>
    </row>
    <row r="709" spans="1:9" x14ac:dyDescent="0.35">
      <c r="A709" s="3" t="s">
        <v>72</v>
      </c>
      <c r="B709" s="15">
        <v>677.2</v>
      </c>
      <c r="C709" s="1" t="str">
        <f>IF(OR(Table14[[#This Row],[USD_Spend]]&gt;($B$4+1.5*$B$8),Table14[[#This Row],[USD_Spend]]&lt;($B$6-1.5*$B$8)),"Outlier","Normal")</f>
        <v>Normal</v>
      </c>
      <c r="D709" s="1">
        <v>876713</v>
      </c>
      <c r="E709" s="1">
        <v>988</v>
      </c>
      <c r="F709" s="15">
        <v>192044.21</v>
      </c>
      <c r="G709" s="15" t="str">
        <f>IF(OR(Table14[[#This Row],[Sales]]&gt;($B$5+1.5*$B$9),Table14[[#This Row],[Sales]]&lt;($B$7-1.5*$B$9)),"Outlier","Normal")</f>
        <v>Normal</v>
      </c>
      <c r="H709" s="22"/>
      <c r="I709" s="22">
        <f>Table1[[#This Row],[Sales]]/Table1[[#This Row],[USD_Spend]]</f>
        <v>0.11245927660956305</v>
      </c>
    </row>
    <row r="710" spans="1:9" x14ac:dyDescent="0.35">
      <c r="A710" s="3" t="s">
        <v>55</v>
      </c>
      <c r="B710" s="15">
        <v>2384.62</v>
      </c>
      <c r="C710" s="1" t="str">
        <f>IF(OR(Table14[[#This Row],[USD_Spend]]&gt;($B$4+1.5*$B$8),Table14[[#This Row],[USD_Spend]]&lt;($B$6-1.5*$B$8)),"Outlier","Normal")</f>
        <v>Normal</v>
      </c>
      <c r="D710" s="1">
        <v>674555</v>
      </c>
      <c r="E710" s="1">
        <v>18301</v>
      </c>
      <c r="F710" s="15">
        <v>179280.18</v>
      </c>
      <c r="G710" s="15" t="str">
        <f>IF(OR(Table14[[#This Row],[Sales]]&gt;($B$5+1.5*$B$9),Table14[[#This Row],[Sales]]&lt;($B$7-1.5*$B$9)),"Outlier","Normal")</f>
        <v>Normal</v>
      </c>
      <c r="H710" s="22"/>
      <c r="I710" s="22">
        <f>Table1[[#This Row],[Sales]]/Table1[[#This Row],[USD_Spend]]</f>
        <v>122.84646502657698</v>
      </c>
    </row>
    <row r="711" spans="1:9" x14ac:dyDescent="0.35">
      <c r="A711" s="3" t="s">
        <v>55</v>
      </c>
      <c r="B711" s="15">
        <v>29394.38</v>
      </c>
      <c r="C711" s="1" t="str">
        <f>IF(OR(Table14[[#This Row],[USD_Spend]]&gt;($B$4+1.5*$B$8),Table14[[#This Row],[USD_Spend]]&lt;($B$6-1.5*$B$8)),"Outlier","Normal")</f>
        <v>Normal</v>
      </c>
      <c r="D711" s="1">
        <v>482407</v>
      </c>
      <c r="E711" s="1">
        <v>6883</v>
      </c>
      <c r="F711" s="15">
        <v>203686.87</v>
      </c>
      <c r="G711" s="15" t="str">
        <f>IF(OR(Table14[[#This Row],[Sales]]&gt;($B$5+1.5*$B$9),Table14[[#This Row],[Sales]]&lt;($B$7-1.5*$B$9)),"Outlier","Normal")</f>
        <v>Normal</v>
      </c>
      <c r="H711" s="22"/>
      <c r="I711" s="22">
        <f>Table1[[#This Row],[Sales]]/Table1[[#This Row],[USD_Spend]]</f>
        <v>28.356922610772465</v>
      </c>
    </row>
    <row r="712" spans="1:9" x14ac:dyDescent="0.35">
      <c r="A712" s="3" t="s">
        <v>94</v>
      </c>
      <c r="B712" s="15">
        <v>41703.25</v>
      </c>
      <c r="C712" s="1" t="str">
        <f>IF(OR(Table14[[#This Row],[USD_Spend]]&gt;($B$4+1.5*$B$8),Table14[[#This Row],[USD_Spend]]&lt;($B$6-1.5*$B$8)),"Outlier","Normal")</f>
        <v>Normal</v>
      </c>
      <c r="D712" s="1">
        <v>825573</v>
      </c>
      <c r="E712" s="1">
        <v>10832</v>
      </c>
      <c r="F712" s="15">
        <v>241356.59</v>
      </c>
      <c r="G712" s="15" t="str">
        <f>IF(OR(Table14[[#This Row],[Sales]]&gt;($B$5+1.5*$B$9),Table14[[#This Row],[Sales]]&lt;($B$7-1.5*$B$9)),"Outlier","Normal")</f>
        <v>Normal</v>
      </c>
      <c r="H712" s="22"/>
      <c r="I712" s="22">
        <f>Table1[[#This Row],[Sales]]/Table1[[#This Row],[USD_Spend]]</f>
        <v>3.9699246374118933</v>
      </c>
    </row>
    <row r="713" spans="1:9" x14ac:dyDescent="0.35">
      <c r="A713" s="3" t="s">
        <v>93</v>
      </c>
      <c r="B713" s="15">
        <v>5675.12</v>
      </c>
      <c r="C713" s="1" t="str">
        <f>IF(OR(Table14[[#This Row],[USD_Spend]]&gt;($B$4+1.5*$B$8),Table14[[#This Row],[USD_Spend]]&lt;($B$6-1.5*$B$8)),"Outlier","Normal")</f>
        <v>Normal</v>
      </c>
      <c r="D713" s="1">
        <v>547234</v>
      </c>
      <c r="E713" s="1">
        <v>7559</v>
      </c>
      <c r="F713" s="15">
        <v>89567.35</v>
      </c>
      <c r="G713" s="15" t="str">
        <f>IF(OR(Table14[[#This Row],[Sales]]&gt;($B$5+1.5*$B$9),Table14[[#This Row],[Sales]]&lt;($B$7-1.5*$B$9)),"Outlier","Normal")</f>
        <v>Normal</v>
      </c>
      <c r="H713" s="22"/>
      <c r="I713" s="22">
        <f>Table1[[#This Row],[Sales]]/Table1[[#This Row],[USD_Spend]]</f>
        <v>10.413439253717948</v>
      </c>
    </row>
    <row r="714" spans="1:9" x14ac:dyDescent="0.35">
      <c r="A714" s="3" t="s">
        <v>110</v>
      </c>
      <c r="B714" s="15">
        <v>39227.18</v>
      </c>
      <c r="C714" s="1" t="str">
        <f>IF(OR(Table14[[#This Row],[USD_Spend]]&gt;($B$4+1.5*$B$8),Table14[[#This Row],[USD_Spend]]&lt;($B$6-1.5*$B$8)),"Outlier","Normal")</f>
        <v>Normal</v>
      </c>
      <c r="D714" s="1">
        <v>934771</v>
      </c>
      <c r="E714" s="1">
        <v>34409</v>
      </c>
      <c r="F714" s="15">
        <v>226430.66</v>
      </c>
      <c r="G714" s="15" t="str">
        <f>IF(OR(Table14[[#This Row],[Sales]]&gt;($B$5+1.5*$B$9),Table14[[#This Row],[Sales]]&lt;($B$7-1.5*$B$9)),"Outlier","Normal")</f>
        <v>Normal</v>
      </c>
      <c r="H714" s="22"/>
      <c r="I714" s="22">
        <f>Table1[[#This Row],[Sales]]/Table1[[#This Row],[USD_Spend]]</f>
        <v>9.9671379839963485</v>
      </c>
    </row>
    <row r="715" spans="1:9" x14ac:dyDescent="0.35">
      <c r="A715" s="3" t="s">
        <v>86</v>
      </c>
      <c r="B715" s="15">
        <v>16463.150000000001</v>
      </c>
      <c r="C715" s="1" t="str">
        <f>IF(OR(Table14[[#This Row],[USD_Spend]]&gt;($B$4+1.5*$B$8),Table14[[#This Row],[USD_Spend]]&lt;($B$6-1.5*$B$8)),"Outlier","Normal")</f>
        <v>Normal</v>
      </c>
      <c r="D715" s="1">
        <v>409941</v>
      </c>
      <c r="E715" s="1">
        <v>25994</v>
      </c>
      <c r="F715" s="15">
        <v>206419.98</v>
      </c>
      <c r="G715" s="15" t="str">
        <f>IF(OR(Table14[[#This Row],[Sales]]&gt;($B$5+1.5*$B$9),Table14[[#This Row],[Sales]]&lt;($B$7-1.5*$B$9)),"Outlier","Normal")</f>
        <v>Normal</v>
      </c>
      <c r="H715" s="22"/>
      <c r="I715" s="22">
        <f>Table1[[#This Row],[Sales]]/Table1[[#This Row],[USD_Spend]]</f>
        <v>1.97330763262899</v>
      </c>
    </row>
    <row r="716" spans="1:9" x14ac:dyDescent="0.35">
      <c r="A716" s="3" t="s">
        <v>79</v>
      </c>
      <c r="B716" s="15">
        <v>13671.59</v>
      </c>
      <c r="C716" s="1" t="str">
        <f>IF(OR(Table14[[#This Row],[USD_Spend]]&gt;($B$4+1.5*$B$8),Table14[[#This Row],[USD_Spend]]&lt;($B$6-1.5*$B$8)),"Outlier","Normal")</f>
        <v>Normal</v>
      </c>
      <c r="D716" s="1">
        <v>199179</v>
      </c>
      <c r="E716" s="1">
        <v>18009</v>
      </c>
      <c r="F716" s="15">
        <v>177161.2</v>
      </c>
      <c r="G716" s="15" t="str">
        <f>IF(OR(Table14[[#This Row],[Sales]]&gt;($B$5+1.5*$B$9),Table14[[#This Row],[Sales]]&lt;($B$7-1.5*$B$9)),"Outlier","Normal")</f>
        <v>Normal</v>
      </c>
      <c r="H716" s="22"/>
      <c r="I716" s="22">
        <f>Table1[[#This Row],[Sales]]/Table1[[#This Row],[USD_Spend]]</f>
        <v>13.441288414313354</v>
      </c>
    </row>
    <row r="717" spans="1:9" x14ac:dyDescent="0.35">
      <c r="A717" s="3" t="s">
        <v>83</v>
      </c>
      <c r="B717" s="15">
        <v>7566</v>
      </c>
      <c r="C717" s="1" t="str">
        <f>IF(OR(Table14[[#This Row],[USD_Spend]]&gt;($B$4+1.5*$B$8),Table14[[#This Row],[USD_Spend]]&lt;($B$6-1.5*$B$8)),"Outlier","Normal")</f>
        <v>Normal</v>
      </c>
      <c r="D717" s="1">
        <v>812903</v>
      </c>
      <c r="E717" s="1">
        <v>36160</v>
      </c>
      <c r="F717" s="15">
        <v>231906</v>
      </c>
      <c r="G717" s="15" t="str">
        <f>IF(OR(Table14[[#This Row],[Sales]]&gt;($B$5+1.5*$B$9),Table14[[#This Row],[Sales]]&lt;($B$7-1.5*$B$9)),"Outlier","Normal")</f>
        <v>Normal</v>
      </c>
      <c r="H717" s="22"/>
      <c r="I717" s="22">
        <f>Table1[[#This Row],[Sales]]/Table1[[#This Row],[USD_Spend]]</f>
        <v>4.4695635069023751</v>
      </c>
    </row>
    <row r="718" spans="1:9" x14ac:dyDescent="0.35">
      <c r="A718" s="3" t="s">
        <v>90</v>
      </c>
      <c r="B718" s="15">
        <v>17594.080000000002</v>
      </c>
      <c r="C718" s="1" t="str">
        <f>IF(OR(Table14[[#This Row],[USD_Spend]]&gt;($B$4+1.5*$B$8),Table14[[#This Row],[USD_Spend]]&lt;($B$6-1.5*$B$8)),"Outlier","Normal")</f>
        <v>Normal</v>
      </c>
      <c r="D718" s="1">
        <v>290061</v>
      </c>
      <c r="E718" s="1">
        <v>6540</v>
      </c>
      <c r="F718" s="15">
        <v>67559.259999999995</v>
      </c>
      <c r="G718" s="15" t="str">
        <f>IF(OR(Table14[[#This Row],[Sales]]&gt;($B$5+1.5*$B$9),Table14[[#This Row],[Sales]]&lt;($B$7-1.5*$B$9)),"Outlier","Normal")</f>
        <v>Normal</v>
      </c>
      <c r="H718" s="22"/>
      <c r="I718" s="22">
        <f>Table1[[#This Row],[Sales]]/Table1[[#This Row],[USD_Spend]]</f>
        <v>10.56600414122591</v>
      </c>
    </row>
    <row r="719" spans="1:9" x14ac:dyDescent="0.35">
      <c r="A719" s="3" t="s">
        <v>113</v>
      </c>
      <c r="B719" s="15">
        <v>51180.66</v>
      </c>
      <c r="C719" s="1" t="str">
        <f>IF(OR(Table14[[#This Row],[USD_Spend]]&gt;($B$4+1.5*$B$8),Table14[[#This Row],[USD_Spend]]&lt;($B$6-1.5*$B$8)),"Outlier","Normal")</f>
        <v>Normal</v>
      </c>
      <c r="D719" s="1">
        <v>855435</v>
      </c>
      <c r="E719" s="1">
        <v>6665</v>
      </c>
      <c r="F719" s="15">
        <v>5755.74</v>
      </c>
      <c r="G719" s="15" t="str">
        <f>IF(OR(Table14[[#This Row],[Sales]]&gt;($B$5+1.5*$B$9),Table14[[#This Row],[Sales]]&lt;($B$7-1.5*$B$9)),"Outlier","Normal")</f>
        <v>Normal</v>
      </c>
      <c r="H719" s="22"/>
      <c r="I719" s="22">
        <f>Table1[[#This Row],[Sales]]/Table1[[#This Row],[USD_Spend]]</f>
        <v>4.3052450506931965</v>
      </c>
    </row>
    <row r="720" spans="1:9" x14ac:dyDescent="0.35">
      <c r="A720" s="3" t="s">
        <v>82</v>
      </c>
      <c r="B720" s="15">
        <v>637.77</v>
      </c>
      <c r="C720" s="1" t="str">
        <f>IF(OR(Table14[[#This Row],[USD_Spend]]&gt;($B$4+1.5*$B$8),Table14[[#This Row],[USD_Spend]]&lt;($B$6-1.5*$B$8)),"Outlier","Normal")</f>
        <v>Normal</v>
      </c>
      <c r="D720" s="1">
        <v>866795</v>
      </c>
      <c r="E720" s="1">
        <v>36446</v>
      </c>
      <c r="F720" s="15">
        <v>78347.789999999994</v>
      </c>
      <c r="G720" s="15" t="str">
        <f>IF(OR(Table14[[#This Row],[Sales]]&gt;($B$5+1.5*$B$9),Table14[[#This Row],[Sales]]&lt;($B$7-1.5*$B$9)),"Outlier","Normal")</f>
        <v>Normal</v>
      </c>
      <c r="H720" s="22"/>
      <c r="I720" s="22">
        <f>Table1[[#This Row],[Sales]]/Table1[[#This Row],[USD_Spend]]</f>
        <v>3.8340896987153985</v>
      </c>
    </row>
    <row r="721" spans="1:9" x14ac:dyDescent="0.35">
      <c r="A721" s="3" t="s">
        <v>84</v>
      </c>
      <c r="B721" s="15">
        <v>3366.36</v>
      </c>
      <c r="C721" s="1" t="str">
        <f>IF(OR(Table14[[#This Row],[USD_Spend]]&gt;($B$4+1.5*$B$8),Table14[[#This Row],[USD_Spend]]&lt;($B$6-1.5*$B$8)),"Outlier","Normal")</f>
        <v>Normal</v>
      </c>
      <c r="D721" s="1">
        <v>318474</v>
      </c>
      <c r="E721" s="1">
        <v>4190</v>
      </c>
      <c r="F721" s="15">
        <v>95459.61</v>
      </c>
      <c r="G721" s="15" t="str">
        <f>IF(OR(Table14[[#This Row],[Sales]]&gt;($B$5+1.5*$B$9),Table14[[#This Row],[Sales]]&lt;($B$7-1.5*$B$9)),"Outlier","Normal")</f>
        <v>Normal</v>
      </c>
      <c r="H721" s="22"/>
      <c r="I721" s="22">
        <f>Table1[[#This Row],[Sales]]/Table1[[#This Row],[USD_Spend]]</f>
        <v>1.1211043440997859</v>
      </c>
    </row>
    <row r="722" spans="1:9" x14ac:dyDescent="0.35">
      <c r="A722" s="3" t="s">
        <v>108</v>
      </c>
      <c r="B722" s="15">
        <v>29279.78</v>
      </c>
      <c r="C722" s="1" t="str">
        <f>IF(OR(Table14[[#This Row],[USD_Spend]]&gt;($B$4+1.5*$B$8),Table14[[#This Row],[USD_Spend]]&lt;($B$6-1.5*$B$8)),"Outlier","Normal")</f>
        <v>Normal</v>
      </c>
      <c r="D722" s="1">
        <v>21307</v>
      </c>
      <c r="E722" s="1">
        <v>30827</v>
      </c>
      <c r="F722" s="15">
        <v>116238.52</v>
      </c>
      <c r="G722" s="15" t="str">
        <f>IF(OR(Table14[[#This Row],[Sales]]&gt;($B$5+1.5*$B$9),Table14[[#This Row],[Sales]]&lt;($B$7-1.5*$B$9)),"Outlier","Normal")</f>
        <v>Normal</v>
      </c>
      <c r="H722" s="22"/>
      <c r="I722" s="22">
        <f>Table1[[#This Row],[Sales]]/Table1[[#This Row],[USD_Spend]]</f>
        <v>3.4937313760170228</v>
      </c>
    </row>
    <row r="723" spans="1:9" x14ac:dyDescent="0.35">
      <c r="A723" s="3" t="s">
        <v>100</v>
      </c>
      <c r="B723" s="15">
        <v>22730.28</v>
      </c>
      <c r="C723" s="1" t="str">
        <f>IF(OR(Table14[[#This Row],[USD_Spend]]&gt;($B$4+1.5*$B$8),Table14[[#This Row],[USD_Spend]]&lt;($B$6-1.5*$B$8)),"Outlier","Normal")</f>
        <v>Normal</v>
      </c>
      <c r="D723" s="1">
        <v>636495</v>
      </c>
      <c r="E723" s="1">
        <v>3865</v>
      </c>
      <c r="F723" s="15">
        <v>236700.39</v>
      </c>
      <c r="G723" s="15" t="str">
        <f>IF(OR(Table14[[#This Row],[Sales]]&gt;($B$5+1.5*$B$9),Table14[[#This Row],[Sales]]&lt;($B$7-1.5*$B$9)),"Outlier","Normal")</f>
        <v>Normal</v>
      </c>
      <c r="H723" s="22"/>
      <c r="I723" s="22">
        <f>Table1[[#This Row],[Sales]]/Table1[[#This Row],[USD_Spend]]</f>
        <v>38.26525139386078</v>
      </c>
    </row>
    <row r="724" spans="1:9" x14ac:dyDescent="0.35">
      <c r="A724" s="3" t="s">
        <v>75</v>
      </c>
      <c r="B724" s="15">
        <v>16999.87</v>
      </c>
      <c r="C724" s="1" t="str">
        <f>IF(OR(Table14[[#This Row],[USD_Spend]]&gt;($B$4+1.5*$B$8),Table14[[#This Row],[USD_Spend]]&lt;($B$6-1.5*$B$8)),"Outlier","Normal")</f>
        <v>Normal</v>
      </c>
      <c r="D724" s="1">
        <v>70144</v>
      </c>
      <c r="E724" s="1">
        <v>5017</v>
      </c>
      <c r="F724" s="15">
        <v>169440.05</v>
      </c>
      <c r="G724" s="15" t="str">
        <f>IF(OR(Table14[[#This Row],[Sales]]&gt;($B$5+1.5*$B$9),Table14[[#This Row],[Sales]]&lt;($B$7-1.5*$B$9)),"Outlier","Normal")</f>
        <v>Normal</v>
      </c>
      <c r="H724" s="22"/>
      <c r="I724" s="22">
        <f>Table1[[#This Row],[Sales]]/Table1[[#This Row],[USD_Spend]]</f>
        <v>4.8295766860309284</v>
      </c>
    </row>
    <row r="725" spans="1:9" x14ac:dyDescent="0.35">
      <c r="A725" s="3" t="s">
        <v>72</v>
      </c>
      <c r="B725" s="15">
        <v>39983.339999999997</v>
      </c>
      <c r="C725" s="1" t="str">
        <f>IF(OR(Table14[[#This Row],[USD_Spend]]&gt;($B$4+1.5*$B$8),Table14[[#This Row],[USD_Spend]]&lt;($B$6-1.5*$B$8)),"Outlier","Normal")</f>
        <v>Normal</v>
      </c>
      <c r="D725" s="1">
        <v>700909</v>
      </c>
      <c r="E725" s="1">
        <v>34273</v>
      </c>
      <c r="F725" s="15">
        <v>78899.429999999993</v>
      </c>
      <c r="G725" s="15" t="str">
        <f>IF(OR(Table14[[#This Row],[Sales]]&gt;($B$5+1.5*$B$9),Table14[[#This Row],[Sales]]&lt;($B$7-1.5*$B$9)),"Outlier","Normal")</f>
        <v>Normal</v>
      </c>
      <c r="H725" s="22"/>
      <c r="I725" s="22">
        <f>Table1[[#This Row],[Sales]]/Table1[[#This Row],[USD_Spend]]</f>
        <v>45.017159096359535</v>
      </c>
    </row>
    <row r="726" spans="1:9" x14ac:dyDescent="0.35">
      <c r="A726" s="3" t="s">
        <v>71</v>
      </c>
      <c r="B726" s="15">
        <v>5835.39</v>
      </c>
      <c r="C726" s="1" t="str">
        <f>IF(OR(Table14[[#This Row],[USD_Spend]]&gt;($B$4+1.5*$B$8),Table14[[#This Row],[USD_Spend]]&lt;($B$6-1.5*$B$8)),"Outlier","Normal")</f>
        <v>Normal</v>
      </c>
      <c r="D726" s="1">
        <v>930047</v>
      </c>
      <c r="E726" s="1">
        <v>20848</v>
      </c>
      <c r="F726" s="15">
        <v>78435.16</v>
      </c>
      <c r="G726" s="15" t="str">
        <f>IF(OR(Table14[[#This Row],[Sales]]&gt;($B$5+1.5*$B$9),Table14[[#This Row],[Sales]]&lt;($B$7-1.5*$B$9)),"Outlier","Normal")</f>
        <v>Normal</v>
      </c>
      <c r="H726" s="22"/>
      <c r="I726" s="22">
        <f>Table1[[#This Row],[Sales]]/Table1[[#This Row],[USD_Spend]]</f>
        <v>71.545680972617873</v>
      </c>
    </row>
    <row r="727" spans="1:9" x14ac:dyDescent="0.35">
      <c r="A727" s="3" t="s">
        <v>109</v>
      </c>
      <c r="B727" s="15">
        <v>30298.99</v>
      </c>
      <c r="C727" s="1" t="str">
        <f>IF(OR(Table14[[#This Row],[USD_Spend]]&gt;($B$4+1.5*$B$8),Table14[[#This Row],[USD_Spend]]&lt;($B$6-1.5*$B$8)),"Outlier","Normal")</f>
        <v>Normal</v>
      </c>
      <c r="D727" s="1">
        <v>541958</v>
      </c>
      <c r="E727" s="1">
        <v>33504</v>
      </c>
      <c r="F727" s="15">
        <v>135423.26</v>
      </c>
      <c r="G727" s="15" t="str">
        <f>IF(OR(Table14[[#This Row],[Sales]]&gt;($B$5+1.5*$B$9),Table14[[#This Row],[Sales]]&lt;($B$7-1.5*$B$9)),"Outlier","Normal")</f>
        <v>Normal</v>
      </c>
      <c r="H727" s="22"/>
      <c r="I727" s="22">
        <f>Table1[[#This Row],[Sales]]/Table1[[#This Row],[USD_Spend]]</f>
        <v>9.4694462158573476</v>
      </c>
    </row>
    <row r="728" spans="1:9" x14ac:dyDescent="0.35">
      <c r="A728" s="3" t="s">
        <v>27</v>
      </c>
      <c r="B728" s="15">
        <v>16029.07</v>
      </c>
      <c r="C728" s="1" t="str">
        <f>IF(OR(Table14[[#This Row],[USD_Spend]]&gt;($B$4+1.5*$B$8),Table14[[#This Row],[USD_Spend]]&lt;($B$6-1.5*$B$8)),"Outlier","Normal")</f>
        <v>Normal</v>
      </c>
      <c r="D728" s="1">
        <v>757528</v>
      </c>
      <c r="E728" s="1">
        <v>49802</v>
      </c>
      <c r="F728" s="15">
        <v>169363.22</v>
      </c>
      <c r="G728" s="15" t="str">
        <f>IF(OR(Table14[[#This Row],[Sales]]&gt;($B$5+1.5*$B$9),Table14[[#This Row],[Sales]]&lt;($B$7-1.5*$B$9)),"Outlier","Normal")</f>
        <v>Normal</v>
      </c>
      <c r="H728" s="22"/>
      <c r="I728" s="22">
        <f>Table1[[#This Row],[Sales]]/Table1[[#This Row],[USD_Spend]]</f>
        <v>1.6024826404984787</v>
      </c>
    </row>
    <row r="729" spans="1:9" x14ac:dyDescent="0.35">
      <c r="A729" s="3" t="s">
        <v>18</v>
      </c>
      <c r="B729" s="15">
        <v>34746.28</v>
      </c>
      <c r="C729" s="1" t="str">
        <f>IF(OR(Table14[[#This Row],[USD_Spend]]&gt;($B$4+1.5*$B$8),Table14[[#This Row],[USD_Spend]]&lt;($B$6-1.5*$B$8)),"Outlier","Normal")</f>
        <v>Normal</v>
      </c>
      <c r="D729" s="1">
        <v>321893</v>
      </c>
      <c r="E729" s="1">
        <v>40370</v>
      </c>
      <c r="F729" s="15">
        <v>149591.25</v>
      </c>
      <c r="G729" s="15" t="str">
        <f>IF(OR(Table14[[#This Row],[Sales]]&gt;($B$5+1.5*$B$9),Table14[[#This Row],[Sales]]&lt;($B$7-1.5*$B$9)),"Outlier","Normal")</f>
        <v>Normal</v>
      </c>
      <c r="H729" s="22"/>
      <c r="I729" s="22">
        <f>Table1[[#This Row],[Sales]]/Table1[[#This Row],[USD_Spend]]</f>
        <v>2.0164417431279902</v>
      </c>
    </row>
    <row r="730" spans="1:9" x14ac:dyDescent="0.35">
      <c r="A730" s="3" t="s">
        <v>113</v>
      </c>
      <c r="B730" s="15">
        <v>41271.94</v>
      </c>
      <c r="C730" s="1" t="str">
        <f>IF(OR(Table14[[#This Row],[USD_Spend]]&gt;($B$4+1.5*$B$8),Table14[[#This Row],[USD_Spend]]&lt;($B$6-1.5*$B$8)),"Outlier","Normal")</f>
        <v>Normal</v>
      </c>
      <c r="D730" s="1">
        <v>470197</v>
      </c>
      <c r="E730" s="1">
        <v>28117</v>
      </c>
      <c r="F730" s="15">
        <v>158240.32000000001</v>
      </c>
      <c r="G730" s="15" t="str">
        <f>IF(OR(Table14[[#This Row],[Sales]]&gt;($B$5+1.5*$B$9),Table14[[#This Row],[Sales]]&lt;($B$7-1.5*$B$9)),"Outlier","Normal")</f>
        <v>Normal</v>
      </c>
      <c r="H730" s="22"/>
      <c r="I730" s="22">
        <f>Table1[[#This Row],[Sales]]/Table1[[#This Row],[USD_Spend]]</f>
        <v>64.289242954503592</v>
      </c>
    </row>
    <row r="731" spans="1:9" x14ac:dyDescent="0.35">
      <c r="A731" s="3" t="s">
        <v>81</v>
      </c>
      <c r="B731" s="15">
        <v>45621.65</v>
      </c>
      <c r="C731" s="1" t="str">
        <f>IF(OR(Table14[[#This Row],[USD_Spend]]&gt;($B$4+1.5*$B$8),Table14[[#This Row],[USD_Spend]]&lt;($B$6-1.5*$B$8)),"Outlier","Normal")</f>
        <v>Normal</v>
      </c>
      <c r="D731" s="1">
        <v>858083</v>
      </c>
      <c r="E731" s="1">
        <v>4400</v>
      </c>
      <c r="F731" s="15">
        <v>51146.63</v>
      </c>
      <c r="G731" s="15" t="str">
        <f>IF(OR(Table14[[#This Row],[Sales]]&gt;($B$5+1.5*$B$9),Table14[[#This Row],[Sales]]&lt;($B$7-1.5*$B$9)),"Outlier","Normal")</f>
        <v>Normal</v>
      </c>
      <c r="H731" s="22"/>
      <c r="I731" s="22">
        <f>Table1[[#This Row],[Sales]]/Table1[[#This Row],[USD_Spend]]</f>
        <v>0.21327181513162352</v>
      </c>
    </row>
    <row r="732" spans="1:9" x14ac:dyDescent="0.35">
      <c r="A732" s="3" t="s">
        <v>78</v>
      </c>
      <c r="B732" s="15">
        <v>16232.43</v>
      </c>
      <c r="C732" s="1" t="str">
        <f>IF(OR(Table14[[#This Row],[USD_Spend]]&gt;($B$4+1.5*$B$8),Table14[[#This Row],[USD_Spend]]&lt;($B$6-1.5*$B$8)),"Outlier","Normal")</f>
        <v>Normal</v>
      </c>
      <c r="D732" s="1">
        <v>923671</v>
      </c>
      <c r="E732" s="1">
        <v>12367</v>
      </c>
      <c r="F732" s="15">
        <v>56711.75</v>
      </c>
      <c r="G732" s="15" t="str">
        <f>IF(OR(Table14[[#This Row],[Sales]]&gt;($B$5+1.5*$B$9),Table14[[#This Row],[Sales]]&lt;($B$7-1.5*$B$9)),"Outlier","Normal")</f>
        <v>Normal</v>
      </c>
      <c r="H732" s="22"/>
      <c r="I732" s="22">
        <f>Table1[[#This Row],[Sales]]/Table1[[#This Row],[USD_Spend]]</f>
        <v>3.3565722267617115</v>
      </c>
    </row>
    <row r="733" spans="1:9" x14ac:dyDescent="0.35">
      <c r="A733" s="3" t="s">
        <v>72</v>
      </c>
      <c r="B733" s="15">
        <v>6413.84</v>
      </c>
      <c r="C733" s="1" t="str">
        <f>IF(OR(Table14[[#This Row],[USD_Spend]]&gt;($B$4+1.5*$B$8),Table14[[#This Row],[USD_Spend]]&lt;($B$6-1.5*$B$8)),"Outlier","Normal")</f>
        <v>Normal</v>
      </c>
      <c r="D733" s="1">
        <v>715034</v>
      </c>
      <c r="E733" s="1">
        <v>8794</v>
      </c>
      <c r="F733" s="15">
        <v>245427.20000000001</v>
      </c>
      <c r="G733" s="15" t="str">
        <f>IF(OR(Table14[[#This Row],[Sales]]&gt;($B$5+1.5*$B$9),Table14[[#This Row],[Sales]]&lt;($B$7-1.5*$B$9)),"Outlier","Normal")</f>
        <v>Normal</v>
      </c>
      <c r="H733" s="22"/>
      <c r="I733" s="22">
        <f>Table1[[#This Row],[Sales]]/Table1[[#This Row],[USD_Spend]]</f>
        <v>34.984448096573118</v>
      </c>
    </row>
    <row r="734" spans="1:9" x14ac:dyDescent="0.35">
      <c r="A734" s="3" t="s">
        <v>50</v>
      </c>
      <c r="B734" s="15">
        <v>48090.31</v>
      </c>
      <c r="C734" s="1" t="str">
        <f>IF(OR(Table14[[#This Row],[USD_Spend]]&gt;($B$4+1.5*$B$8),Table14[[#This Row],[USD_Spend]]&lt;($B$6-1.5*$B$8)),"Outlier","Normal")</f>
        <v>Normal</v>
      </c>
      <c r="D734" s="1">
        <v>915115</v>
      </c>
      <c r="E734" s="1">
        <v>47156</v>
      </c>
      <c r="F734" s="15">
        <v>232255.84</v>
      </c>
      <c r="G734" s="15" t="str">
        <f>IF(OR(Table14[[#This Row],[Sales]]&gt;($B$5+1.5*$B$9),Table14[[#This Row],[Sales]]&lt;($B$7-1.5*$B$9)),"Outlier","Normal")</f>
        <v>Normal</v>
      </c>
      <c r="H734" s="22"/>
      <c r="I734" s="22">
        <f>Table1[[#This Row],[Sales]]/Table1[[#This Row],[USD_Spend]]</f>
        <v>8.5702265522000438</v>
      </c>
    </row>
    <row r="735" spans="1:9" x14ac:dyDescent="0.35">
      <c r="A735" s="3" t="s">
        <v>99</v>
      </c>
      <c r="B735" s="15">
        <v>3335.84</v>
      </c>
      <c r="C735" s="1" t="str">
        <f>IF(OR(Table14[[#This Row],[USD_Spend]]&gt;($B$4+1.5*$B$8),Table14[[#This Row],[USD_Spend]]&lt;($B$6-1.5*$B$8)),"Outlier","Normal")</f>
        <v>Normal</v>
      </c>
      <c r="D735" s="1">
        <v>857311</v>
      </c>
      <c r="E735" s="1">
        <v>1674</v>
      </c>
      <c r="F735" s="15">
        <v>150170.04</v>
      </c>
      <c r="G735" s="15" t="str">
        <f>IF(OR(Table14[[#This Row],[Sales]]&gt;($B$5+1.5*$B$9),Table14[[#This Row],[Sales]]&lt;($B$7-1.5*$B$9)),"Outlier","Normal")</f>
        <v>Normal</v>
      </c>
      <c r="H735" s="22"/>
      <c r="I735" s="22">
        <f>Table1[[#This Row],[Sales]]/Table1[[#This Row],[USD_Spend]]</f>
        <v>2.8513665436664639</v>
      </c>
    </row>
    <row r="736" spans="1:9" x14ac:dyDescent="0.35">
      <c r="A736" s="3" t="s">
        <v>100</v>
      </c>
      <c r="B736" s="15">
        <v>1927.17</v>
      </c>
      <c r="C736" s="1" t="str">
        <f>IF(OR(Table14[[#This Row],[USD_Spend]]&gt;($B$4+1.5*$B$8),Table14[[#This Row],[USD_Spend]]&lt;($B$6-1.5*$B$8)),"Outlier","Normal")</f>
        <v>Normal</v>
      </c>
      <c r="D736" s="1">
        <v>840116</v>
      </c>
      <c r="E736" s="1">
        <v>7069</v>
      </c>
      <c r="F736" s="15">
        <v>137880.69</v>
      </c>
      <c r="G736" s="15" t="str">
        <f>IF(OR(Table14[[#This Row],[Sales]]&gt;($B$5+1.5*$B$9),Table14[[#This Row],[Sales]]&lt;($B$7-1.5*$B$9)),"Outlier","Normal")</f>
        <v>Normal</v>
      </c>
      <c r="H736" s="22"/>
      <c r="I736" s="22">
        <f>Table1[[#This Row],[Sales]]/Table1[[#This Row],[USD_Spend]]</f>
        <v>108.22340451918545</v>
      </c>
    </row>
    <row r="737" spans="1:9" x14ac:dyDescent="0.35">
      <c r="A737" s="3" t="s">
        <v>79</v>
      </c>
      <c r="B737" s="15">
        <v>15649.78</v>
      </c>
      <c r="C737" s="1" t="str">
        <f>IF(OR(Table14[[#This Row],[USD_Spend]]&gt;($B$4+1.5*$B$8),Table14[[#This Row],[USD_Spend]]&lt;($B$6-1.5*$B$8)),"Outlier","Normal")</f>
        <v>Normal</v>
      </c>
      <c r="D737" s="1">
        <v>870623</v>
      </c>
      <c r="E737" s="1">
        <v>28029</v>
      </c>
      <c r="F737" s="15">
        <v>148194.75</v>
      </c>
      <c r="G737" s="15" t="str">
        <f>IF(OR(Table14[[#This Row],[Sales]]&gt;($B$5+1.5*$B$9),Table14[[#This Row],[Sales]]&lt;($B$7-1.5*$B$9)),"Outlier","Normal")</f>
        <v>Normal</v>
      </c>
      <c r="H737" s="22"/>
      <c r="I737" s="22">
        <f>Table1[[#This Row],[Sales]]/Table1[[#This Row],[USD_Spend]]</f>
        <v>6.696286416839099</v>
      </c>
    </row>
    <row r="738" spans="1:9" x14ac:dyDescent="0.35">
      <c r="A738" s="3" t="s">
        <v>119</v>
      </c>
      <c r="B738" s="15">
        <v>47782.19</v>
      </c>
      <c r="C738" s="1" t="str">
        <f>IF(OR(Table14[[#This Row],[USD_Spend]]&gt;($B$4+1.5*$B$8),Table14[[#This Row],[USD_Spend]]&lt;($B$6-1.5*$B$8)),"Outlier","Normal")</f>
        <v>Normal</v>
      </c>
      <c r="D738" s="1">
        <v>174660</v>
      </c>
      <c r="E738" s="1">
        <v>47833</v>
      </c>
      <c r="F738" s="15">
        <v>76570.13</v>
      </c>
      <c r="G738" s="15" t="str">
        <f>IF(OR(Table14[[#This Row],[Sales]]&gt;($B$5+1.5*$B$9),Table14[[#This Row],[Sales]]&lt;($B$7-1.5*$B$9)),"Outlier","Normal")</f>
        <v>Normal</v>
      </c>
      <c r="H738" s="22"/>
      <c r="I738" s="22">
        <f>Table1[[#This Row],[Sales]]/Table1[[#This Row],[USD_Spend]]</f>
        <v>5.1840334553147454</v>
      </c>
    </row>
    <row r="739" spans="1:9" x14ac:dyDescent="0.35">
      <c r="A739" s="3" t="s">
        <v>94</v>
      </c>
      <c r="B739" s="15">
        <v>55207.65</v>
      </c>
      <c r="C739" s="1" t="str">
        <f>IF(OR(Table14[[#This Row],[USD_Spend]]&gt;($B$4+1.5*$B$8),Table14[[#This Row],[USD_Spend]]&lt;($B$6-1.5*$B$8)),"Outlier","Normal")</f>
        <v>Outlier</v>
      </c>
      <c r="D739" s="1">
        <v>793041</v>
      </c>
      <c r="E739" s="1">
        <v>6023</v>
      </c>
      <c r="F739" s="15">
        <v>111323.01</v>
      </c>
      <c r="G739" s="15" t="str">
        <f>IF(OR(Table14[[#This Row],[Sales]]&gt;($B$5+1.5*$B$9),Table14[[#This Row],[Sales]]&lt;($B$7-1.5*$B$9)),"Outlier","Normal")</f>
        <v>Normal</v>
      </c>
      <c r="H739" s="22"/>
      <c r="I739" s="22">
        <f>Table1[[#This Row],[Sales]]/Table1[[#This Row],[USD_Spend]]</f>
        <v>10.775201400263649</v>
      </c>
    </row>
    <row r="740" spans="1:9" x14ac:dyDescent="0.35">
      <c r="A740" s="3" t="s">
        <v>72</v>
      </c>
      <c r="B740" s="15">
        <v>542.9</v>
      </c>
      <c r="C740" s="1" t="str">
        <f>IF(OR(Table14[[#This Row],[USD_Spend]]&gt;($B$4+1.5*$B$8),Table14[[#This Row],[USD_Spend]]&lt;($B$6-1.5*$B$8)),"Outlier","Normal")</f>
        <v>Normal</v>
      </c>
      <c r="D740" s="1">
        <v>132292</v>
      </c>
      <c r="E740" s="1">
        <v>5515</v>
      </c>
      <c r="F740" s="15">
        <v>34902.629999999997</v>
      </c>
      <c r="G740" s="15" t="str">
        <f>IF(OR(Table14[[#This Row],[Sales]]&gt;($B$5+1.5*$B$9),Table14[[#This Row],[Sales]]&lt;($B$7-1.5*$B$9)),"Outlier","Normal")</f>
        <v>Normal</v>
      </c>
      <c r="H740" s="22"/>
      <c r="I740" s="22">
        <f>Table1[[#This Row],[Sales]]/Table1[[#This Row],[USD_Spend]]</f>
        <v>5.3873755555602125</v>
      </c>
    </row>
    <row r="741" spans="1:9" x14ac:dyDescent="0.35">
      <c r="A741" s="3" t="s">
        <v>112</v>
      </c>
      <c r="B741" s="15">
        <v>25241.31</v>
      </c>
      <c r="C741" s="1" t="str">
        <f>IF(OR(Table14[[#This Row],[USD_Spend]]&gt;($B$4+1.5*$B$8),Table14[[#This Row],[USD_Spend]]&lt;($B$6-1.5*$B$8)),"Outlier","Normal")</f>
        <v>Normal</v>
      </c>
      <c r="D741" s="1">
        <v>315420</v>
      </c>
      <c r="E741" s="1">
        <v>28230</v>
      </c>
      <c r="F741" s="15">
        <v>5383.26</v>
      </c>
      <c r="G741" s="15" t="str">
        <f>IF(OR(Table14[[#This Row],[Sales]]&gt;($B$5+1.5*$B$9),Table14[[#This Row],[Sales]]&lt;($B$7-1.5*$B$9)),"Outlier","Normal")</f>
        <v>Normal</v>
      </c>
      <c r="H741" s="22"/>
      <c r="I741" s="22">
        <f>Table1[[#This Row],[Sales]]/Table1[[#This Row],[USD_Spend]]</f>
        <v>247.02658957997525</v>
      </c>
    </row>
    <row r="742" spans="1:9" x14ac:dyDescent="0.35">
      <c r="A742" s="3" t="s">
        <v>62</v>
      </c>
      <c r="B742" s="15">
        <v>50972.45</v>
      </c>
      <c r="C742" s="1" t="str">
        <f>IF(OR(Table14[[#This Row],[USD_Spend]]&gt;($B$4+1.5*$B$8),Table14[[#This Row],[USD_Spend]]&lt;($B$6-1.5*$B$8)),"Outlier","Normal")</f>
        <v>Normal</v>
      </c>
      <c r="D742" s="1">
        <v>781555</v>
      </c>
      <c r="E742" s="1">
        <v>21433</v>
      </c>
      <c r="F742" s="15">
        <v>171092.71</v>
      </c>
      <c r="G742" s="15" t="str">
        <f>IF(OR(Table14[[#This Row],[Sales]]&gt;($B$5+1.5*$B$9),Table14[[#This Row],[Sales]]&lt;($B$7-1.5*$B$9)),"Outlier","Normal")</f>
        <v>Normal</v>
      </c>
      <c r="H742" s="22"/>
      <c r="I742" s="22">
        <f>Table1[[#This Row],[Sales]]/Table1[[#This Row],[USD_Spend]]</f>
        <v>21.103781236343021</v>
      </c>
    </row>
    <row r="743" spans="1:9" x14ac:dyDescent="0.35">
      <c r="A743" s="3" t="s">
        <v>101</v>
      </c>
      <c r="B743" s="15">
        <v>2379.13</v>
      </c>
      <c r="C743" s="1" t="str">
        <f>IF(OR(Table14[[#This Row],[USD_Spend]]&gt;($B$4+1.5*$B$8),Table14[[#This Row],[USD_Spend]]&lt;($B$6-1.5*$B$8)),"Outlier","Normal")</f>
        <v>Normal</v>
      </c>
      <c r="D743" s="1">
        <v>559855</v>
      </c>
      <c r="E743" s="1">
        <v>2798</v>
      </c>
      <c r="F743" s="15">
        <v>83232.55</v>
      </c>
      <c r="G743" s="15" t="str">
        <f>IF(OR(Table14[[#This Row],[Sales]]&gt;($B$5+1.5*$B$9),Table14[[#This Row],[Sales]]&lt;($B$7-1.5*$B$9)),"Outlier","Normal")</f>
        <v>Normal</v>
      </c>
      <c r="H743" s="22"/>
      <c r="I743" s="22">
        <f>Table1[[#This Row],[Sales]]/Table1[[#This Row],[USD_Spend]]</f>
        <v>4.3754135185493208</v>
      </c>
    </row>
    <row r="744" spans="1:9" x14ac:dyDescent="0.35">
      <c r="A744" s="3" t="s">
        <v>27</v>
      </c>
      <c r="B744" s="15">
        <v>9071.64</v>
      </c>
      <c r="C744" s="1" t="str">
        <f>IF(OR(Table14[[#This Row],[USD_Spend]]&gt;($B$4+1.5*$B$8),Table14[[#This Row],[USD_Spend]]&lt;($B$6-1.5*$B$8)),"Outlier","Normal")</f>
        <v>Normal</v>
      </c>
      <c r="D744" s="1">
        <v>694219</v>
      </c>
      <c r="E744" s="1">
        <v>14632</v>
      </c>
      <c r="F744" s="15">
        <v>77746.009999999995</v>
      </c>
      <c r="G744" s="15" t="str">
        <f>IF(OR(Table14[[#This Row],[Sales]]&gt;($B$5+1.5*$B$9),Table14[[#This Row],[Sales]]&lt;($B$7-1.5*$B$9)),"Outlier","Normal")</f>
        <v>Normal</v>
      </c>
      <c r="H744" s="22"/>
      <c r="I744" s="22">
        <f>Table1[[#This Row],[Sales]]/Table1[[#This Row],[USD_Spend]]</f>
        <v>25.018348867166782</v>
      </c>
    </row>
    <row r="745" spans="1:9" x14ac:dyDescent="0.35">
      <c r="A745" s="3" t="s">
        <v>68</v>
      </c>
      <c r="B745" s="15">
        <v>35926.769999999997</v>
      </c>
      <c r="C745" s="1" t="str">
        <f>IF(OR(Table14[[#This Row],[USD_Spend]]&gt;($B$4+1.5*$B$8),Table14[[#This Row],[USD_Spend]]&lt;($B$6-1.5*$B$8)),"Outlier","Normal")</f>
        <v>Normal</v>
      </c>
      <c r="D745" s="1">
        <v>844328</v>
      </c>
      <c r="E745" s="1">
        <v>35124</v>
      </c>
      <c r="F745" s="15">
        <v>102440.39</v>
      </c>
      <c r="G745" s="15" t="str">
        <f>IF(OR(Table14[[#This Row],[Sales]]&gt;($B$5+1.5*$B$9),Table14[[#This Row],[Sales]]&lt;($B$7-1.5*$B$9)),"Outlier","Normal")</f>
        <v>Normal</v>
      </c>
      <c r="H745" s="22"/>
      <c r="I745" s="22">
        <f>Table1[[#This Row],[Sales]]/Table1[[#This Row],[USD_Spend]]</f>
        <v>6.9509374590271413</v>
      </c>
    </row>
    <row r="746" spans="1:9" x14ac:dyDescent="0.35">
      <c r="A746" s="3" t="s">
        <v>95</v>
      </c>
      <c r="B746" s="15">
        <v>1209.51</v>
      </c>
      <c r="C746" s="1" t="str">
        <f>IF(OR(Table14[[#This Row],[USD_Spend]]&gt;($B$4+1.5*$B$8),Table14[[#This Row],[USD_Spend]]&lt;($B$6-1.5*$B$8)),"Outlier","Normal")</f>
        <v>Normal</v>
      </c>
      <c r="D746" s="1">
        <v>679983</v>
      </c>
      <c r="E746" s="1">
        <v>5134</v>
      </c>
      <c r="F746" s="15">
        <v>130897.29</v>
      </c>
      <c r="G746" s="15" t="str">
        <f>IF(OR(Table14[[#This Row],[Sales]]&gt;($B$5+1.5*$B$9),Table14[[#This Row],[Sales]]&lt;($B$7-1.5*$B$9)),"Outlier","Normal")</f>
        <v>Normal</v>
      </c>
      <c r="H746" s="22"/>
      <c r="I746" s="22">
        <f>Table1[[#This Row],[Sales]]/Table1[[#This Row],[USD_Spend]]</f>
        <v>5.8559587235646395</v>
      </c>
    </row>
    <row r="747" spans="1:9" x14ac:dyDescent="0.35">
      <c r="A747" s="3" t="s">
        <v>106</v>
      </c>
      <c r="B747" s="15">
        <v>25657.43</v>
      </c>
      <c r="C747" s="1" t="str">
        <f>IF(OR(Table14[[#This Row],[USD_Spend]]&gt;($B$4+1.5*$B$8),Table14[[#This Row],[USD_Spend]]&lt;($B$6-1.5*$B$8)),"Outlier","Normal")</f>
        <v>Normal</v>
      </c>
      <c r="D747" s="1">
        <v>765948</v>
      </c>
      <c r="E747" s="1">
        <v>43300</v>
      </c>
      <c r="F747" s="15">
        <v>171809.5</v>
      </c>
      <c r="G747" s="15" t="str">
        <f>IF(OR(Table14[[#This Row],[Sales]]&gt;($B$5+1.5*$B$9),Table14[[#This Row],[Sales]]&lt;($B$7-1.5*$B$9)),"Outlier","Normal")</f>
        <v>Normal</v>
      </c>
      <c r="H747" s="22"/>
      <c r="I747" s="22">
        <f>Table1[[#This Row],[Sales]]/Table1[[#This Row],[USD_Spend]]</f>
        <v>2.7789013814318309</v>
      </c>
    </row>
    <row r="748" spans="1:9" x14ac:dyDescent="0.35">
      <c r="A748" s="3" t="s">
        <v>107</v>
      </c>
      <c r="B748" s="15">
        <v>14029.46</v>
      </c>
      <c r="C748" s="1" t="str">
        <f>IF(OR(Table14[[#This Row],[USD_Spend]]&gt;($B$4+1.5*$B$8),Table14[[#This Row],[USD_Spend]]&lt;($B$6-1.5*$B$8)),"Outlier","Normal")</f>
        <v>Normal</v>
      </c>
      <c r="D748" s="1">
        <v>617723</v>
      </c>
      <c r="E748" s="1">
        <v>5313</v>
      </c>
      <c r="F748" s="15">
        <v>72729.19</v>
      </c>
      <c r="G748" s="15" t="str">
        <f>IF(OR(Table14[[#This Row],[Sales]]&gt;($B$5+1.5*$B$9),Table14[[#This Row],[Sales]]&lt;($B$7-1.5*$B$9)),"Outlier","Normal")</f>
        <v>Normal</v>
      </c>
      <c r="H748" s="22"/>
      <c r="I748" s="22">
        <f>Table1[[#This Row],[Sales]]/Table1[[#This Row],[USD_Spend]]</f>
        <v>27.494335821653191</v>
      </c>
    </row>
    <row r="749" spans="1:9" x14ac:dyDescent="0.35">
      <c r="A749" s="3" t="s">
        <v>81</v>
      </c>
      <c r="B749" s="15">
        <v>19579.169999999998</v>
      </c>
      <c r="C749" s="1" t="str">
        <f>IF(OR(Table14[[#This Row],[USD_Spend]]&gt;($B$4+1.5*$B$8),Table14[[#This Row],[USD_Spend]]&lt;($B$6-1.5*$B$8)),"Outlier","Normal")</f>
        <v>Normal</v>
      </c>
      <c r="D749" s="1">
        <v>198811</v>
      </c>
      <c r="E749" s="1">
        <v>19767</v>
      </c>
      <c r="F749" s="15">
        <v>210969.5</v>
      </c>
      <c r="G749" s="15" t="str">
        <f>IF(OR(Table14[[#This Row],[Sales]]&gt;($B$5+1.5*$B$9),Table14[[#This Row],[Sales]]&lt;($B$7-1.5*$B$9)),"Outlier","Normal")</f>
        <v>Normal</v>
      </c>
      <c r="H749" s="22"/>
      <c r="I749" s="22">
        <f>Table1[[#This Row],[Sales]]/Table1[[#This Row],[USD_Spend]]</f>
        <v>18.700952134297754</v>
      </c>
    </row>
    <row r="750" spans="1:9" x14ac:dyDescent="0.35">
      <c r="A750" s="3" t="s">
        <v>114</v>
      </c>
      <c r="B750" s="15">
        <v>19088.84</v>
      </c>
      <c r="C750" s="1" t="str">
        <f>IF(OR(Table14[[#This Row],[USD_Spend]]&gt;($B$4+1.5*$B$8),Table14[[#This Row],[USD_Spend]]&lt;($B$6-1.5*$B$8)),"Outlier","Normal")</f>
        <v>Normal</v>
      </c>
      <c r="D750" s="1">
        <v>370351</v>
      </c>
      <c r="E750" s="1">
        <v>48987</v>
      </c>
      <c r="F750" s="15">
        <v>102838.75</v>
      </c>
      <c r="G750" s="15" t="str">
        <f>IF(OR(Table14[[#This Row],[Sales]]&gt;($B$5+1.5*$B$9),Table14[[#This Row],[Sales]]&lt;($B$7-1.5*$B$9)),"Outlier","Normal")</f>
        <v>Normal</v>
      </c>
      <c r="H750" s="22"/>
      <c r="I750" s="22">
        <f>Table1[[#This Row],[Sales]]/Table1[[#This Row],[USD_Spend]]</f>
        <v>2.2410576813249574</v>
      </c>
    </row>
    <row r="751" spans="1:9" x14ac:dyDescent="0.35">
      <c r="A751" s="3" t="s">
        <v>18</v>
      </c>
      <c r="B751" s="15">
        <v>750.67</v>
      </c>
      <c r="C751" s="1" t="str">
        <f>IF(OR(Table14[[#This Row],[USD_Spend]]&gt;($B$4+1.5*$B$8),Table14[[#This Row],[USD_Spend]]&lt;($B$6-1.5*$B$8)),"Outlier","Normal")</f>
        <v>Normal</v>
      </c>
      <c r="D751" s="1">
        <v>244053</v>
      </c>
      <c r="E751" s="1">
        <v>9244</v>
      </c>
      <c r="F751" s="15">
        <v>185435.45</v>
      </c>
      <c r="G751" s="15" t="str">
        <f>IF(OR(Table14[[#This Row],[Sales]]&gt;($B$5+1.5*$B$9),Table14[[#This Row],[Sales]]&lt;($B$7-1.5*$B$9)),"Outlier","Normal")</f>
        <v>Normal</v>
      </c>
      <c r="H751" s="22"/>
      <c r="I751" s="22">
        <f>Table1[[#This Row],[Sales]]/Table1[[#This Row],[USD_Spend]]</f>
        <v>6.5103357643432407</v>
      </c>
    </row>
    <row r="752" spans="1:9" x14ac:dyDescent="0.35">
      <c r="A752" s="3" t="s">
        <v>57</v>
      </c>
      <c r="B752" s="15">
        <v>5079.82</v>
      </c>
      <c r="C752" s="1" t="str">
        <f>IF(OR(Table14[[#This Row],[USD_Spend]]&gt;($B$4+1.5*$B$8),Table14[[#This Row],[USD_Spend]]&lt;($B$6-1.5*$B$8)),"Outlier","Normal")</f>
        <v>Normal</v>
      </c>
      <c r="D752" s="1">
        <v>708260</v>
      </c>
      <c r="E752" s="1">
        <v>18953</v>
      </c>
      <c r="F752" s="15">
        <v>107203.41</v>
      </c>
      <c r="G752" s="15" t="str">
        <f>IF(OR(Table14[[#This Row],[Sales]]&gt;($B$5+1.5*$B$9),Table14[[#This Row],[Sales]]&lt;($B$7-1.5*$B$9)),"Outlier","Normal")</f>
        <v>Normal</v>
      </c>
      <c r="H752" s="22"/>
      <c r="I752" s="22">
        <f>Table1[[#This Row],[Sales]]/Table1[[#This Row],[USD_Spend]]</f>
        <v>20.785705068906672</v>
      </c>
    </row>
    <row r="753" spans="1:9" x14ac:dyDescent="0.35">
      <c r="A753" s="3" t="s">
        <v>103</v>
      </c>
      <c r="B753" s="15">
        <v>23807.88</v>
      </c>
      <c r="C753" s="1" t="str">
        <f>IF(OR(Table14[[#This Row],[USD_Spend]]&gt;($B$4+1.5*$B$8),Table14[[#This Row],[USD_Spend]]&lt;($B$6-1.5*$B$8)),"Outlier","Normal")</f>
        <v>Normal</v>
      </c>
      <c r="D753" s="1">
        <v>652053</v>
      </c>
      <c r="E753" s="1">
        <v>37562</v>
      </c>
      <c r="F753" s="15">
        <v>104169.32</v>
      </c>
      <c r="G753" s="15" t="str">
        <f>IF(OR(Table14[[#This Row],[Sales]]&gt;($B$5+1.5*$B$9),Table14[[#This Row],[Sales]]&lt;($B$7-1.5*$B$9)),"Outlier","Normal")</f>
        <v>Normal</v>
      </c>
      <c r="H753" s="22"/>
      <c r="I753" s="22">
        <f>Table1[[#This Row],[Sales]]/Table1[[#This Row],[USD_Spend]]</f>
        <v>4.5972048712194438</v>
      </c>
    </row>
    <row r="754" spans="1:9" x14ac:dyDescent="0.35">
      <c r="A754" s="3" t="s">
        <v>102</v>
      </c>
      <c r="B754" s="15">
        <v>7918.2</v>
      </c>
      <c r="C754" s="1" t="str">
        <f>IF(OR(Table14[[#This Row],[USD_Spend]]&gt;($B$4+1.5*$B$8),Table14[[#This Row],[USD_Spend]]&lt;($B$6-1.5*$B$8)),"Outlier","Normal")</f>
        <v>Normal</v>
      </c>
      <c r="D754" s="1">
        <v>352402</v>
      </c>
      <c r="E754" s="1">
        <v>39878</v>
      </c>
      <c r="F754" s="15">
        <v>198100.29</v>
      </c>
      <c r="G754" s="15" t="str">
        <f>IF(OR(Table14[[#This Row],[Sales]]&gt;($B$5+1.5*$B$9),Table14[[#This Row],[Sales]]&lt;($B$7-1.5*$B$9)),"Outlier","Normal")</f>
        <v>Normal</v>
      </c>
      <c r="H754" s="22"/>
      <c r="I754" s="22">
        <f>Table1[[#This Row],[Sales]]/Table1[[#This Row],[USD_Spend]]</f>
        <v>5.7948329220681032</v>
      </c>
    </row>
    <row r="755" spans="1:9" x14ac:dyDescent="0.35">
      <c r="A755" s="3" t="s">
        <v>108</v>
      </c>
      <c r="B755" s="15">
        <v>2669.45</v>
      </c>
      <c r="C755" s="1" t="str">
        <f>IF(OR(Table14[[#This Row],[USD_Spend]]&gt;($B$4+1.5*$B$8),Table14[[#This Row],[USD_Spend]]&lt;($B$6-1.5*$B$8)),"Outlier","Normal")</f>
        <v>Normal</v>
      </c>
      <c r="D755" s="1">
        <v>830231</v>
      </c>
      <c r="E755" s="1">
        <v>1404</v>
      </c>
      <c r="F755" s="15">
        <v>18555.18</v>
      </c>
      <c r="G755" s="15" t="str">
        <f>IF(OR(Table14[[#This Row],[Sales]]&gt;($B$5+1.5*$B$9),Table14[[#This Row],[Sales]]&lt;($B$7-1.5*$B$9)),"Outlier","Normal")</f>
        <v>Normal</v>
      </c>
      <c r="H755" s="22"/>
      <c r="I755" s="22">
        <f>Table1[[#This Row],[Sales]]/Table1[[#This Row],[USD_Spend]]</f>
        <v>3.5873479098221366</v>
      </c>
    </row>
    <row r="756" spans="1:9" x14ac:dyDescent="0.35">
      <c r="A756" s="3" t="s">
        <v>72</v>
      </c>
      <c r="B756" s="15">
        <v>16821.22</v>
      </c>
      <c r="C756" s="1" t="str">
        <f>IF(OR(Table14[[#This Row],[USD_Spend]]&gt;($B$4+1.5*$B$8),Table14[[#This Row],[USD_Spend]]&lt;($B$6-1.5*$B$8)),"Outlier","Normal")</f>
        <v>Normal</v>
      </c>
      <c r="D756" s="1">
        <v>781754</v>
      </c>
      <c r="E756" s="1">
        <v>47615</v>
      </c>
      <c r="F756" s="15">
        <v>98504.37</v>
      </c>
      <c r="G756" s="15" t="str">
        <f>IF(OR(Table14[[#This Row],[Sales]]&gt;($B$5+1.5*$B$9),Table14[[#This Row],[Sales]]&lt;($B$7-1.5*$B$9)),"Outlier","Normal")</f>
        <v>Normal</v>
      </c>
      <c r="H756" s="22"/>
      <c r="I756" s="22">
        <f>Table1[[#This Row],[Sales]]/Table1[[#This Row],[USD_Spend]]</f>
        <v>6.7640386615811368</v>
      </c>
    </row>
    <row r="757" spans="1:9" x14ac:dyDescent="0.35">
      <c r="A757" s="3" t="s">
        <v>102</v>
      </c>
      <c r="B757" s="15">
        <v>42286.559999999998</v>
      </c>
      <c r="C757" s="1" t="str">
        <f>IF(OR(Table14[[#This Row],[USD_Spend]]&gt;($B$4+1.5*$B$8),Table14[[#This Row],[USD_Spend]]&lt;($B$6-1.5*$B$8)),"Outlier","Normal")</f>
        <v>Normal</v>
      </c>
      <c r="D757" s="1">
        <v>171223</v>
      </c>
      <c r="E757" s="1">
        <v>1656</v>
      </c>
      <c r="F757" s="15">
        <v>117510.18</v>
      </c>
      <c r="G757" s="15" t="str">
        <f>IF(OR(Table14[[#This Row],[Sales]]&gt;($B$5+1.5*$B$9),Table14[[#This Row],[Sales]]&lt;($B$7-1.5*$B$9)),"Outlier","Normal")</f>
        <v>Normal</v>
      </c>
      <c r="H757" s="22"/>
      <c r="I757" s="22">
        <f>Table1[[#This Row],[Sales]]/Table1[[#This Row],[USD_Spend]]</f>
        <v>11.499828348488679</v>
      </c>
    </row>
    <row r="758" spans="1:9" x14ac:dyDescent="0.35">
      <c r="A758" s="3" t="s">
        <v>34</v>
      </c>
      <c r="B758" s="15">
        <v>3742.82</v>
      </c>
      <c r="C758" s="1" t="str">
        <f>IF(OR(Table14[[#This Row],[USD_Spend]]&gt;($B$4+1.5*$B$8),Table14[[#This Row],[USD_Spend]]&lt;($B$6-1.5*$B$8)),"Outlier","Normal")</f>
        <v>Normal</v>
      </c>
      <c r="D758" s="1">
        <v>720380</v>
      </c>
      <c r="E758" s="1">
        <v>42484</v>
      </c>
      <c r="F758" s="15">
        <v>102906.35</v>
      </c>
      <c r="G758" s="15" t="str">
        <f>IF(OR(Table14[[#This Row],[Sales]]&gt;($B$5+1.5*$B$9),Table14[[#This Row],[Sales]]&lt;($B$7-1.5*$B$9)),"Outlier","Normal")</f>
        <v>Normal</v>
      </c>
      <c r="H758" s="22"/>
      <c r="I758" s="22">
        <f>Table1[[#This Row],[Sales]]/Table1[[#This Row],[USD_Spend]]</f>
        <v>16.562131963013311</v>
      </c>
    </row>
    <row r="759" spans="1:9" x14ac:dyDescent="0.35">
      <c r="A759" s="3" t="s">
        <v>84</v>
      </c>
      <c r="B759" s="15">
        <v>7027.37</v>
      </c>
      <c r="C759" s="1" t="str">
        <f>IF(OR(Table14[[#This Row],[USD_Spend]]&gt;($B$4+1.5*$B$8),Table14[[#This Row],[USD_Spend]]&lt;($B$6-1.5*$B$8)),"Outlier","Normal")</f>
        <v>Normal</v>
      </c>
      <c r="D759" s="1">
        <v>786459</v>
      </c>
      <c r="E759" s="1">
        <v>16085</v>
      </c>
      <c r="F759" s="15">
        <v>131418.51</v>
      </c>
      <c r="G759" s="15" t="str">
        <f>IF(OR(Table14[[#This Row],[Sales]]&gt;($B$5+1.5*$B$9),Table14[[#This Row],[Sales]]&lt;($B$7-1.5*$B$9)),"Outlier","Normal")</f>
        <v>Normal</v>
      </c>
      <c r="H759" s="22"/>
      <c r="I759" s="22">
        <f>Table1[[#This Row],[Sales]]/Table1[[#This Row],[USD_Spend]]</f>
        <v>7.986297281401697</v>
      </c>
    </row>
    <row r="760" spans="1:9" x14ac:dyDescent="0.35">
      <c r="A760" s="3" t="s">
        <v>88</v>
      </c>
      <c r="B760" s="15">
        <v>43775</v>
      </c>
      <c r="C760" s="1" t="str">
        <f>IF(OR(Table14[[#This Row],[USD_Spend]]&gt;($B$4+1.5*$B$8),Table14[[#This Row],[USD_Spend]]&lt;($B$6-1.5*$B$8)),"Outlier","Normal")</f>
        <v>Normal</v>
      </c>
      <c r="D760" s="1">
        <v>911085</v>
      </c>
      <c r="E760" s="1">
        <v>35071</v>
      </c>
      <c r="F760" s="15">
        <v>98102.3</v>
      </c>
      <c r="G760" s="15" t="str">
        <f>IF(OR(Table14[[#This Row],[Sales]]&gt;($B$5+1.5*$B$9),Table14[[#This Row],[Sales]]&lt;($B$7-1.5*$B$9)),"Outlier","Normal")</f>
        <v>Normal</v>
      </c>
      <c r="H760" s="22"/>
      <c r="I760" s="22">
        <f>Table1[[#This Row],[Sales]]/Table1[[#This Row],[USD_Spend]]</f>
        <v>97.997700121657118</v>
      </c>
    </row>
    <row r="761" spans="1:9" x14ac:dyDescent="0.35">
      <c r="A761" s="3" t="s">
        <v>99</v>
      </c>
      <c r="B761" s="15">
        <v>19510.41</v>
      </c>
      <c r="C761" s="1" t="str">
        <f>IF(OR(Table14[[#This Row],[USD_Spend]]&gt;($B$4+1.5*$B$8),Table14[[#This Row],[USD_Spend]]&lt;($B$6-1.5*$B$8)),"Outlier","Normal")</f>
        <v>Normal</v>
      </c>
      <c r="D761" s="1">
        <v>680030</v>
      </c>
      <c r="E761" s="1">
        <v>2084</v>
      </c>
      <c r="F761" s="15">
        <v>127019.32</v>
      </c>
      <c r="G761" s="15" t="str">
        <f>IF(OR(Table14[[#This Row],[Sales]]&gt;($B$5+1.5*$B$9),Table14[[#This Row],[Sales]]&lt;($B$7-1.5*$B$9)),"Outlier","Normal")</f>
        <v>Normal</v>
      </c>
      <c r="H761" s="22"/>
      <c r="I761" s="22">
        <f>Table1[[#This Row],[Sales]]/Table1[[#This Row],[USD_Spend]]</f>
        <v>1.3062373300846255</v>
      </c>
    </row>
    <row r="762" spans="1:9" x14ac:dyDescent="0.35">
      <c r="A762" s="3" t="s">
        <v>110</v>
      </c>
      <c r="B762" s="15">
        <v>11004.74</v>
      </c>
      <c r="C762" s="1" t="str">
        <f>IF(OR(Table14[[#This Row],[USD_Spend]]&gt;($B$4+1.5*$B$8),Table14[[#This Row],[USD_Spend]]&lt;($B$6-1.5*$B$8)),"Outlier","Normal")</f>
        <v>Normal</v>
      </c>
      <c r="D762" s="1">
        <v>901638</v>
      </c>
      <c r="E762" s="1">
        <v>2544</v>
      </c>
      <c r="F762" s="15">
        <v>228741.28</v>
      </c>
      <c r="G762" s="15" t="str">
        <f>IF(OR(Table14[[#This Row],[Sales]]&gt;($B$5+1.5*$B$9),Table14[[#This Row],[Sales]]&lt;($B$7-1.5*$B$9)),"Outlier","Normal")</f>
        <v>Normal</v>
      </c>
      <c r="H762" s="22"/>
      <c r="I762" s="22">
        <f>Table1[[#This Row],[Sales]]/Table1[[#This Row],[USD_Spend]]</f>
        <v>22.227591631609933</v>
      </c>
    </row>
    <row r="763" spans="1:9" x14ac:dyDescent="0.35">
      <c r="A763" s="3" t="s">
        <v>34</v>
      </c>
      <c r="B763" s="15">
        <v>15921.27</v>
      </c>
      <c r="C763" s="1" t="str">
        <f>IF(OR(Table14[[#This Row],[USD_Spend]]&gt;($B$4+1.5*$B$8),Table14[[#This Row],[USD_Spend]]&lt;($B$6-1.5*$B$8)),"Outlier","Normal")</f>
        <v>Normal</v>
      </c>
      <c r="D763" s="1">
        <v>910374</v>
      </c>
      <c r="E763" s="1">
        <v>9277</v>
      </c>
      <c r="F763" s="15">
        <v>73193.34</v>
      </c>
      <c r="G763" s="15" t="str">
        <f>IF(OR(Table14[[#This Row],[Sales]]&gt;($B$5+1.5*$B$9),Table14[[#This Row],[Sales]]&lt;($B$7-1.5*$B$9)),"Outlier","Normal")</f>
        <v>Normal</v>
      </c>
      <c r="H763" s="22"/>
      <c r="I763" s="22">
        <f>Table1[[#This Row],[Sales]]/Table1[[#This Row],[USD_Spend]]</f>
        <v>37.118386019778548</v>
      </c>
    </row>
    <row r="764" spans="1:9" x14ac:dyDescent="0.35">
      <c r="A764" s="3" t="s">
        <v>84</v>
      </c>
      <c r="B764" s="15">
        <v>23277.759999999998</v>
      </c>
      <c r="C764" s="1" t="str">
        <f>IF(OR(Table14[[#This Row],[USD_Spend]]&gt;($B$4+1.5*$B$8),Table14[[#This Row],[USD_Spend]]&lt;($B$6-1.5*$B$8)),"Outlier","Normal")</f>
        <v>Normal</v>
      </c>
      <c r="D764" s="1">
        <v>708199</v>
      </c>
      <c r="E764" s="1">
        <v>45769</v>
      </c>
      <c r="F764" s="15">
        <v>134890.73000000001</v>
      </c>
      <c r="G764" s="15" t="str">
        <f>IF(OR(Table14[[#This Row],[Sales]]&gt;($B$5+1.5*$B$9),Table14[[#This Row],[Sales]]&lt;($B$7-1.5*$B$9)),"Outlier","Normal")</f>
        <v>Normal</v>
      </c>
      <c r="H764" s="22"/>
      <c r="I764" s="22">
        <f>Table1[[#This Row],[Sales]]/Table1[[#This Row],[USD_Spend]]</f>
        <v>21.917086967443666</v>
      </c>
    </row>
    <row r="765" spans="1:9" x14ac:dyDescent="0.35">
      <c r="A765" s="3" t="s">
        <v>77</v>
      </c>
      <c r="B765" s="15">
        <v>6620.25</v>
      </c>
      <c r="C765" s="1" t="str">
        <f>IF(OR(Table14[[#This Row],[USD_Spend]]&gt;($B$4+1.5*$B$8),Table14[[#This Row],[USD_Spend]]&lt;($B$6-1.5*$B$8)),"Outlier","Normal")</f>
        <v>Normal</v>
      </c>
      <c r="D765" s="1">
        <v>293114</v>
      </c>
      <c r="E765" s="1">
        <v>5665</v>
      </c>
      <c r="F765" s="15">
        <v>23749.14</v>
      </c>
      <c r="G765" s="15" t="str">
        <f>IF(OR(Table14[[#This Row],[Sales]]&gt;($B$5+1.5*$B$9),Table14[[#This Row],[Sales]]&lt;($B$7-1.5*$B$9)),"Outlier","Normal")</f>
        <v>Normal</v>
      </c>
      <c r="H765" s="22"/>
      <c r="I765" s="22">
        <f>Table1[[#This Row],[Sales]]/Table1[[#This Row],[USD_Spend]]</f>
        <v>2.1238542157845499</v>
      </c>
    </row>
    <row r="766" spans="1:9" x14ac:dyDescent="0.35">
      <c r="A766" s="3" t="s">
        <v>34</v>
      </c>
      <c r="B766" s="15">
        <v>13843.2</v>
      </c>
      <c r="C766" s="1" t="str">
        <f>IF(OR(Table14[[#This Row],[USD_Spend]]&gt;($B$4+1.5*$B$8),Table14[[#This Row],[USD_Spend]]&lt;($B$6-1.5*$B$8)),"Outlier","Normal")</f>
        <v>Normal</v>
      </c>
      <c r="D766" s="1">
        <v>206694</v>
      </c>
      <c r="E766" s="1">
        <v>34076</v>
      </c>
      <c r="F766" s="15">
        <v>93635.94</v>
      </c>
      <c r="G766" s="15" t="str">
        <f>IF(OR(Table14[[#This Row],[Sales]]&gt;($B$5+1.5*$B$9),Table14[[#This Row],[Sales]]&lt;($B$7-1.5*$B$9)),"Outlier","Normal")</f>
        <v>Normal</v>
      </c>
      <c r="H766" s="22"/>
      <c r="I766" s="22">
        <f>Table1[[#This Row],[Sales]]/Table1[[#This Row],[USD_Spend]]</f>
        <v>13.983233298951459</v>
      </c>
    </row>
    <row r="767" spans="1:9" x14ac:dyDescent="0.35">
      <c r="A767" s="3" t="s">
        <v>84</v>
      </c>
      <c r="B767" s="15">
        <v>19661.93</v>
      </c>
      <c r="C767" s="1" t="str">
        <f>IF(OR(Table14[[#This Row],[USD_Spend]]&gt;($B$4+1.5*$B$8),Table14[[#This Row],[USD_Spend]]&lt;($B$6-1.5*$B$8)),"Outlier","Normal")</f>
        <v>Normal</v>
      </c>
      <c r="D767" s="1">
        <v>988866</v>
      </c>
      <c r="E767" s="1">
        <v>23189</v>
      </c>
      <c r="F767" s="15">
        <v>226108.82</v>
      </c>
      <c r="G767" s="15" t="str">
        <f>IF(OR(Table14[[#This Row],[Sales]]&gt;($B$5+1.5*$B$9),Table14[[#This Row],[Sales]]&lt;($B$7-1.5*$B$9)),"Outlier","Normal")</f>
        <v>Normal</v>
      </c>
      <c r="H767" s="22"/>
      <c r="I767" s="22">
        <f>Table1[[#This Row],[Sales]]/Table1[[#This Row],[USD_Spend]]</f>
        <v>93.773906088776755</v>
      </c>
    </row>
    <row r="768" spans="1:9" x14ac:dyDescent="0.35">
      <c r="A768" s="3" t="s">
        <v>109</v>
      </c>
      <c r="B768" s="15">
        <v>3347.15</v>
      </c>
      <c r="C768" s="1" t="str">
        <f>IF(OR(Table14[[#This Row],[USD_Spend]]&gt;($B$4+1.5*$B$8),Table14[[#This Row],[USD_Spend]]&lt;($B$6-1.5*$B$8)),"Outlier","Normal")</f>
        <v>Normal</v>
      </c>
      <c r="D768" s="1">
        <v>993952</v>
      </c>
      <c r="E768" s="1">
        <v>35728</v>
      </c>
      <c r="F768" s="15">
        <v>55435.94</v>
      </c>
      <c r="G768" s="15" t="str">
        <f>IF(OR(Table14[[#This Row],[Sales]]&gt;($B$5+1.5*$B$9),Table14[[#This Row],[Sales]]&lt;($B$7-1.5*$B$9)),"Outlier","Normal")</f>
        <v>Normal</v>
      </c>
      <c r="H768" s="22"/>
      <c r="I768" s="22">
        <f>Table1[[#This Row],[Sales]]/Table1[[#This Row],[USD_Spend]]</f>
        <v>1.9779926898916578</v>
      </c>
    </row>
    <row r="769" spans="1:9" x14ac:dyDescent="0.35">
      <c r="A769" s="3" t="s">
        <v>115</v>
      </c>
      <c r="B769" s="15">
        <v>1139.19</v>
      </c>
      <c r="C769" s="1" t="str">
        <f>IF(OR(Table14[[#This Row],[USD_Spend]]&gt;($B$4+1.5*$B$8),Table14[[#This Row],[USD_Spend]]&lt;($B$6-1.5*$B$8)),"Outlier","Normal")</f>
        <v>Normal</v>
      </c>
      <c r="D769" s="1">
        <v>441319</v>
      </c>
      <c r="E769" s="1">
        <v>876</v>
      </c>
      <c r="F769" s="15">
        <v>9097.91</v>
      </c>
      <c r="G769" s="15" t="str">
        <f>IF(OR(Table14[[#This Row],[Sales]]&gt;($B$5+1.5*$B$9),Table14[[#This Row],[Sales]]&lt;($B$7-1.5*$B$9)),"Outlier","Normal")</f>
        <v>Normal</v>
      </c>
      <c r="H769" s="22"/>
      <c r="I769" s="22">
        <f>Table1[[#This Row],[Sales]]/Table1[[#This Row],[USD_Spend]]</f>
        <v>5.4707231048899052</v>
      </c>
    </row>
    <row r="770" spans="1:9" x14ac:dyDescent="0.35">
      <c r="A770" s="3" t="s">
        <v>34</v>
      </c>
      <c r="B770" s="15">
        <v>2326.21</v>
      </c>
      <c r="C770" s="1" t="str">
        <f>IF(OR(Table14[[#This Row],[USD_Spend]]&gt;($B$4+1.5*$B$8),Table14[[#This Row],[USD_Spend]]&lt;($B$6-1.5*$B$8)),"Outlier","Normal")</f>
        <v>Normal</v>
      </c>
      <c r="D770" s="1">
        <v>992750</v>
      </c>
      <c r="E770" s="1">
        <v>1803</v>
      </c>
      <c r="F770" s="15">
        <v>227963.23</v>
      </c>
      <c r="G770" s="15" t="str">
        <f>IF(OR(Table14[[#This Row],[Sales]]&gt;($B$5+1.5*$B$9),Table14[[#This Row],[Sales]]&lt;($B$7-1.5*$B$9)),"Outlier","Normal")</f>
        <v>Normal</v>
      </c>
      <c r="H770" s="22"/>
      <c r="I770" s="22">
        <f>Table1[[#This Row],[Sales]]/Table1[[#This Row],[USD_Spend]]</f>
        <v>16.399014560883693</v>
      </c>
    </row>
    <row r="771" spans="1:9" x14ac:dyDescent="0.35">
      <c r="A771" s="3" t="s">
        <v>110</v>
      </c>
      <c r="B771" s="15">
        <v>32759.69</v>
      </c>
      <c r="C771" s="1" t="str">
        <f>IF(OR(Table14[[#This Row],[USD_Spend]]&gt;($B$4+1.5*$B$8),Table14[[#This Row],[USD_Spend]]&lt;($B$6-1.5*$B$8)),"Outlier","Normal")</f>
        <v>Normal</v>
      </c>
      <c r="D771" s="1">
        <v>636258</v>
      </c>
      <c r="E771" s="1">
        <v>24788</v>
      </c>
      <c r="F771" s="15">
        <v>42791.93</v>
      </c>
      <c r="G771" s="15" t="str">
        <f>IF(OR(Table14[[#This Row],[Sales]]&gt;($B$5+1.5*$B$9),Table14[[#This Row],[Sales]]&lt;($B$7-1.5*$B$9)),"Outlier","Normal")</f>
        <v>Normal</v>
      </c>
      <c r="H771" s="22"/>
      <c r="I771" s="22">
        <f>Table1[[#This Row],[Sales]]/Table1[[#This Row],[USD_Spend]]</f>
        <v>3.7435796748605989</v>
      </c>
    </row>
    <row r="772" spans="1:9" x14ac:dyDescent="0.35">
      <c r="A772" s="3" t="s">
        <v>98</v>
      </c>
      <c r="B772" s="15">
        <v>10259.56</v>
      </c>
      <c r="C772" s="1" t="str">
        <f>IF(OR(Table14[[#This Row],[USD_Spend]]&gt;($B$4+1.5*$B$8),Table14[[#This Row],[USD_Spend]]&lt;($B$6-1.5*$B$8)),"Outlier","Normal")</f>
        <v>Normal</v>
      </c>
      <c r="D772" s="1">
        <v>631314</v>
      </c>
      <c r="E772" s="1">
        <v>5666</v>
      </c>
      <c r="F772" s="15">
        <v>228045.31</v>
      </c>
      <c r="G772" s="15" t="str">
        <f>IF(OR(Table14[[#This Row],[Sales]]&gt;($B$5+1.5*$B$9),Table14[[#This Row],[Sales]]&lt;($B$7-1.5*$B$9)),"Outlier","Normal")</f>
        <v>Normal</v>
      </c>
      <c r="H772" s="22"/>
      <c r="I772" s="22">
        <f>Table1[[#This Row],[Sales]]/Table1[[#This Row],[USD_Spend]]</f>
        <v>0.75387531537608388</v>
      </c>
    </row>
    <row r="773" spans="1:9" x14ac:dyDescent="0.35">
      <c r="A773" s="3" t="s">
        <v>66</v>
      </c>
      <c r="B773" s="15">
        <v>5678.88</v>
      </c>
      <c r="C773" s="1" t="str">
        <f>IF(OR(Table14[[#This Row],[USD_Spend]]&gt;($B$4+1.5*$B$8),Table14[[#This Row],[USD_Spend]]&lt;($B$6-1.5*$B$8)),"Outlier","Normal")</f>
        <v>Normal</v>
      </c>
      <c r="D773" s="1">
        <v>413277</v>
      </c>
      <c r="E773" s="1">
        <v>23711</v>
      </c>
      <c r="F773" s="15">
        <v>210790.86</v>
      </c>
      <c r="G773" s="15" t="str">
        <f>IF(OR(Table14[[#This Row],[Sales]]&gt;($B$5+1.5*$B$9),Table14[[#This Row],[Sales]]&lt;($B$7-1.5*$B$9)),"Outlier","Normal")</f>
        <v>Normal</v>
      </c>
      <c r="H773" s="22"/>
      <c r="I773" s="22">
        <f>Table1[[#This Row],[Sales]]/Table1[[#This Row],[USD_Spend]]</f>
        <v>7.8878520682237712</v>
      </c>
    </row>
    <row r="774" spans="1:9" x14ac:dyDescent="0.35">
      <c r="A774" s="3" t="s">
        <v>88</v>
      </c>
      <c r="B774" s="15">
        <v>7682.99</v>
      </c>
      <c r="C774" s="1" t="str">
        <f>IF(OR(Table14[[#This Row],[USD_Spend]]&gt;($B$4+1.5*$B$8),Table14[[#This Row],[USD_Spend]]&lt;($B$6-1.5*$B$8)),"Outlier","Normal")</f>
        <v>Normal</v>
      </c>
      <c r="D774" s="1">
        <v>541756</v>
      </c>
      <c r="E774" s="1">
        <v>20369</v>
      </c>
      <c r="F774" s="15">
        <v>168388.76</v>
      </c>
      <c r="G774" s="15" t="str">
        <f>IF(OR(Table14[[#This Row],[Sales]]&gt;($B$5+1.5*$B$9),Table14[[#This Row],[Sales]]&lt;($B$7-1.5*$B$9)),"Outlier","Normal")</f>
        <v>Normal</v>
      </c>
      <c r="H774" s="22"/>
      <c r="I774" s="22">
        <f>Table1[[#This Row],[Sales]]/Table1[[#This Row],[USD_Spend]]</f>
        <v>7.6782758230007184</v>
      </c>
    </row>
    <row r="775" spans="1:9" x14ac:dyDescent="0.35">
      <c r="A775" s="3" t="s">
        <v>84</v>
      </c>
      <c r="B775" s="15">
        <v>37070.68</v>
      </c>
      <c r="C775" s="1" t="str">
        <f>IF(OR(Table14[[#This Row],[USD_Spend]]&gt;($B$4+1.5*$B$8),Table14[[#This Row],[USD_Spend]]&lt;($B$6-1.5*$B$8)),"Outlier","Normal")</f>
        <v>Normal</v>
      </c>
      <c r="D775" s="1">
        <v>655414</v>
      </c>
      <c r="E775" s="1">
        <v>37396</v>
      </c>
      <c r="F775" s="15">
        <v>78732.72</v>
      </c>
      <c r="G775" s="15" t="str">
        <f>IF(OR(Table14[[#This Row],[Sales]]&gt;($B$5+1.5*$B$9),Table14[[#This Row],[Sales]]&lt;($B$7-1.5*$B$9)),"Outlier","Normal")</f>
        <v>Normal</v>
      </c>
      <c r="H775" s="22"/>
      <c r="I775" s="22">
        <f>Table1[[#This Row],[Sales]]/Table1[[#This Row],[USD_Spend]]</f>
        <v>8.395200916012092</v>
      </c>
    </row>
    <row r="776" spans="1:9" x14ac:dyDescent="0.35">
      <c r="A776" s="3" t="s">
        <v>77</v>
      </c>
      <c r="B776" s="15">
        <v>12642.32</v>
      </c>
      <c r="C776" s="1" t="str">
        <f>IF(OR(Table14[[#This Row],[USD_Spend]]&gt;($B$4+1.5*$B$8),Table14[[#This Row],[USD_Spend]]&lt;($B$6-1.5*$B$8)),"Outlier","Normal")</f>
        <v>Normal</v>
      </c>
      <c r="D776" s="1">
        <v>830738</v>
      </c>
      <c r="E776" s="1">
        <v>6854</v>
      </c>
      <c r="F776" s="15">
        <v>176780.51</v>
      </c>
      <c r="G776" s="15" t="str">
        <f>IF(OR(Table14[[#This Row],[Sales]]&gt;($B$5+1.5*$B$9),Table14[[#This Row],[Sales]]&lt;($B$7-1.5*$B$9)),"Outlier","Normal")</f>
        <v>Normal</v>
      </c>
      <c r="H776" s="22"/>
      <c r="I776" s="22">
        <f>Table1[[#This Row],[Sales]]/Table1[[#This Row],[USD_Spend]]</f>
        <v>14.764656734968668</v>
      </c>
    </row>
    <row r="777" spans="1:9" x14ac:dyDescent="0.35">
      <c r="A777" s="3" t="s">
        <v>86</v>
      </c>
      <c r="B777" s="15">
        <v>2025.53</v>
      </c>
      <c r="C777" s="1" t="str">
        <f>IF(OR(Table14[[#This Row],[USD_Spend]]&gt;($B$4+1.5*$B$8),Table14[[#This Row],[USD_Spend]]&lt;($B$6-1.5*$B$8)),"Outlier","Normal")</f>
        <v>Normal</v>
      </c>
      <c r="D777" s="1">
        <v>889535</v>
      </c>
      <c r="E777" s="1">
        <v>33438</v>
      </c>
      <c r="F777" s="15">
        <v>189941.86</v>
      </c>
      <c r="G777" s="15" t="str">
        <f>IF(OR(Table14[[#This Row],[Sales]]&gt;($B$5+1.5*$B$9),Table14[[#This Row],[Sales]]&lt;($B$7-1.5*$B$9)),"Outlier","Normal")</f>
        <v>Normal</v>
      </c>
      <c r="H777" s="22"/>
      <c r="I777" s="22">
        <f>Table1[[#This Row],[Sales]]/Table1[[#This Row],[USD_Spend]]</f>
        <v>69.376427640548172</v>
      </c>
    </row>
    <row r="778" spans="1:9" x14ac:dyDescent="0.35">
      <c r="A778" s="3" t="s">
        <v>84</v>
      </c>
      <c r="B778" s="15">
        <v>54685.919999999998</v>
      </c>
      <c r="C778" s="1" t="str">
        <f>IF(OR(Table14[[#This Row],[USD_Spend]]&gt;($B$4+1.5*$B$8),Table14[[#This Row],[USD_Spend]]&lt;($B$6-1.5*$B$8)),"Outlier","Normal")</f>
        <v>Outlier</v>
      </c>
      <c r="D778" s="1">
        <v>288711</v>
      </c>
      <c r="E778" s="1">
        <v>7885</v>
      </c>
      <c r="F778" s="15">
        <v>108168.35</v>
      </c>
      <c r="G778" s="15" t="str">
        <f>IF(OR(Table14[[#This Row],[Sales]]&gt;($B$5+1.5*$B$9),Table14[[#This Row],[Sales]]&lt;($B$7-1.5*$B$9)),"Outlier","Normal")</f>
        <v>Normal</v>
      </c>
      <c r="H778" s="22"/>
      <c r="I778" s="22">
        <f>Table1[[#This Row],[Sales]]/Table1[[#This Row],[USD_Spend]]</f>
        <v>6.7420610520583155</v>
      </c>
    </row>
    <row r="779" spans="1:9" x14ac:dyDescent="0.35">
      <c r="A779" s="3" t="s">
        <v>98</v>
      </c>
      <c r="B779" s="15">
        <v>25392.720000000001</v>
      </c>
      <c r="C779" s="1" t="str">
        <f>IF(OR(Table14[[#This Row],[USD_Spend]]&gt;($B$4+1.5*$B$8),Table14[[#This Row],[USD_Spend]]&lt;($B$6-1.5*$B$8)),"Outlier","Normal")</f>
        <v>Normal</v>
      </c>
      <c r="D779" s="1">
        <v>311603</v>
      </c>
      <c r="E779" s="1">
        <v>44507</v>
      </c>
      <c r="F779" s="15">
        <v>138916.54</v>
      </c>
      <c r="G779" s="15" t="str">
        <f>IF(OR(Table14[[#This Row],[Sales]]&gt;($B$5+1.5*$B$9),Table14[[#This Row],[Sales]]&lt;($B$7-1.5*$B$9)),"Outlier","Normal")</f>
        <v>Normal</v>
      </c>
      <c r="H779" s="22"/>
      <c r="I779" s="22">
        <f>Table1[[#This Row],[Sales]]/Table1[[#This Row],[USD_Spend]]</f>
        <v>4.7392272800457471</v>
      </c>
    </row>
    <row r="780" spans="1:9" x14ac:dyDescent="0.35">
      <c r="A780" s="3" t="s">
        <v>96</v>
      </c>
      <c r="B780" s="15">
        <v>1812.39</v>
      </c>
      <c r="C780" s="1" t="str">
        <f>IF(OR(Table14[[#This Row],[USD_Spend]]&gt;($B$4+1.5*$B$8),Table14[[#This Row],[USD_Spend]]&lt;($B$6-1.5*$B$8)),"Outlier","Normal")</f>
        <v>Normal</v>
      </c>
      <c r="D780" s="1">
        <v>645173</v>
      </c>
      <c r="E780" s="1">
        <v>32355</v>
      </c>
      <c r="F780" s="15">
        <v>29721.41</v>
      </c>
      <c r="G780" s="15" t="str">
        <f>IF(OR(Table14[[#This Row],[Sales]]&gt;($B$5+1.5*$B$9),Table14[[#This Row],[Sales]]&lt;($B$7-1.5*$B$9)),"Outlier","Normal")</f>
        <v>Normal</v>
      </c>
      <c r="H780" s="22"/>
      <c r="I780" s="22">
        <f>Table1[[#This Row],[Sales]]/Table1[[#This Row],[USD_Spend]]</f>
        <v>28.20378518928991</v>
      </c>
    </row>
    <row r="781" spans="1:9" x14ac:dyDescent="0.35">
      <c r="A781" s="3" t="s">
        <v>105</v>
      </c>
      <c r="B781" s="15">
        <v>1782.62</v>
      </c>
      <c r="C781" s="1" t="str">
        <f>IF(OR(Table14[[#This Row],[USD_Spend]]&gt;($B$4+1.5*$B$8),Table14[[#This Row],[USD_Spend]]&lt;($B$6-1.5*$B$8)),"Outlier","Normal")</f>
        <v>Normal</v>
      </c>
      <c r="D781" s="1">
        <v>349320</v>
      </c>
      <c r="E781" s="1">
        <v>16356</v>
      </c>
      <c r="F781" s="15">
        <v>6673.38</v>
      </c>
      <c r="G781" s="15" t="str">
        <f>IF(OR(Table14[[#This Row],[Sales]]&gt;($B$5+1.5*$B$9),Table14[[#This Row],[Sales]]&lt;($B$7-1.5*$B$9)),"Outlier","Normal")</f>
        <v>Normal</v>
      </c>
      <c r="H781" s="22"/>
      <c r="I781" s="22">
        <f>Table1[[#This Row],[Sales]]/Table1[[#This Row],[USD_Spend]]</f>
        <v>5.8482983536960891</v>
      </c>
    </row>
    <row r="782" spans="1:9" x14ac:dyDescent="0.35">
      <c r="A782" s="3" t="s">
        <v>82</v>
      </c>
      <c r="B782" s="15">
        <v>37003.440000000002</v>
      </c>
      <c r="C782" s="1" t="str">
        <f>IF(OR(Table14[[#This Row],[USD_Spend]]&gt;($B$4+1.5*$B$8),Table14[[#This Row],[USD_Spend]]&lt;($B$6-1.5*$B$8)),"Outlier","Normal")</f>
        <v>Normal</v>
      </c>
      <c r="D782" s="1">
        <v>728709</v>
      </c>
      <c r="E782" s="1">
        <v>34597</v>
      </c>
      <c r="F782" s="15">
        <v>27895.98</v>
      </c>
      <c r="G782" s="15" t="str">
        <f>IF(OR(Table14[[#This Row],[Sales]]&gt;($B$5+1.5*$B$9),Table14[[#This Row],[Sales]]&lt;($B$7-1.5*$B$9)),"Outlier","Normal")</f>
        <v>Normal</v>
      </c>
      <c r="H782" s="22"/>
      <c r="I782" s="22">
        <f>Table1[[#This Row],[Sales]]/Table1[[#This Row],[USD_Spend]]</f>
        <v>6.7726633608979432</v>
      </c>
    </row>
    <row r="783" spans="1:9" x14ac:dyDescent="0.35">
      <c r="A783" s="3" t="s">
        <v>100</v>
      </c>
      <c r="B783" s="15">
        <v>11208.41</v>
      </c>
      <c r="C783" s="1" t="str">
        <f>IF(OR(Table14[[#This Row],[USD_Spend]]&gt;($B$4+1.5*$B$8),Table14[[#This Row],[USD_Spend]]&lt;($B$6-1.5*$B$8)),"Outlier","Normal")</f>
        <v>Normal</v>
      </c>
      <c r="D783" s="1">
        <v>521333</v>
      </c>
      <c r="E783" s="1">
        <v>6950</v>
      </c>
      <c r="F783" s="15">
        <v>88410.28</v>
      </c>
      <c r="G783" s="15" t="str">
        <f>IF(OR(Table14[[#This Row],[Sales]]&gt;($B$5+1.5*$B$9),Table14[[#This Row],[Sales]]&lt;($B$7-1.5*$B$9)),"Outlier","Normal")</f>
        <v>Normal</v>
      </c>
      <c r="H783" s="22"/>
      <c r="I783" s="22">
        <f>Table1[[#This Row],[Sales]]/Table1[[#This Row],[USD_Spend]]</f>
        <v>4.5582358072940323</v>
      </c>
    </row>
    <row r="784" spans="1:9" x14ac:dyDescent="0.35">
      <c r="A784" s="3" t="s">
        <v>110</v>
      </c>
      <c r="B784" s="15">
        <v>25772.76</v>
      </c>
      <c r="C784" s="1" t="str">
        <f>IF(OR(Table14[[#This Row],[USD_Spend]]&gt;($B$4+1.5*$B$8),Table14[[#This Row],[USD_Spend]]&lt;($B$6-1.5*$B$8)),"Outlier","Normal")</f>
        <v>Normal</v>
      </c>
      <c r="D784" s="1">
        <v>633870</v>
      </c>
      <c r="E784" s="1">
        <v>37605</v>
      </c>
      <c r="F784" s="15">
        <v>197890.36</v>
      </c>
      <c r="G784" s="15" t="str">
        <f>IF(OR(Table14[[#This Row],[Sales]]&gt;($B$5+1.5*$B$9),Table14[[#This Row],[Sales]]&lt;($B$7-1.5*$B$9)),"Outlier","Normal")</f>
        <v>Normal</v>
      </c>
      <c r="H784" s="22"/>
      <c r="I784" s="22">
        <f>Table1[[#This Row],[Sales]]/Table1[[#This Row],[USD_Spend]]</f>
        <v>2.2009159378217702</v>
      </c>
    </row>
    <row r="785" spans="1:9" x14ac:dyDescent="0.35">
      <c r="A785" s="3" t="s">
        <v>27</v>
      </c>
      <c r="B785" s="15">
        <v>22846.86</v>
      </c>
      <c r="C785" s="1" t="str">
        <f>IF(OR(Table14[[#This Row],[USD_Spend]]&gt;($B$4+1.5*$B$8),Table14[[#This Row],[USD_Spend]]&lt;($B$6-1.5*$B$8)),"Outlier","Normal")</f>
        <v>Normal</v>
      </c>
      <c r="D785" s="1">
        <v>747463</v>
      </c>
      <c r="E785" s="1">
        <v>32145</v>
      </c>
      <c r="F785" s="15">
        <v>191803.98</v>
      </c>
      <c r="G785" s="15" t="str">
        <f>IF(OR(Table14[[#This Row],[Sales]]&gt;($B$5+1.5*$B$9),Table14[[#This Row],[Sales]]&lt;($B$7-1.5*$B$9)),"Outlier","Normal")</f>
        <v>Normal</v>
      </c>
      <c r="H785" s="22"/>
      <c r="I785" s="22">
        <f>Table1[[#This Row],[Sales]]/Table1[[#This Row],[USD_Spend]]</f>
        <v>1.8445334975981764</v>
      </c>
    </row>
    <row r="786" spans="1:9" x14ac:dyDescent="0.35">
      <c r="A786" s="3" t="s">
        <v>68</v>
      </c>
      <c r="B786" s="15">
        <v>2896.45</v>
      </c>
      <c r="C786" s="1" t="str">
        <f>IF(OR(Table14[[#This Row],[USD_Spend]]&gt;($B$4+1.5*$B$8),Table14[[#This Row],[USD_Spend]]&lt;($B$6-1.5*$B$8)),"Outlier","Normal")</f>
        <v>Normal</v>
      </c>
      <c r="D786" s="1">
        <v>274955</v>
      </c>
      <c r="E786" s="1">
        <v>43266</v>
      </c>
      <c r="F786" s="15">
        <v>42765.09</v>
      </c>
      <c r="G786" s="15" t="str">
        <f>IF(OR(Table14[[#This Row],[Sales]]&gt;($B$5+1.5*$B$9),Table14[[#This Row],[Sales]]&lt;($B$7-1.5*$B$9)),"Outlier","Normal")</f>
        <v>Normal</v>
      </c>
      <c r="H786" s="22"/>
      <c r="I786" s="22">
        <f>Table1[[#This Row],[Sales]]/Table1[[#This Row],[USD_Spend]]</f>
        <v>5.9808555857066432</v>
      </c>
    </row>
    <row r="787" spans="1:9" x14ac:dyDescent="0.35">
      <c r="A787" s="3" t="s">
        <v>97</v>
      </c>
      <c r="B787" s="15">
        <v>2662.61</v>
      </c>
      <c r="C787" s="1" t="str">
        <f>IF(OR(Table14[[#This Row],[USD_Spend]]&gt;($B$4+1.5*$B$8),Table14[[#This Row],[USD_Spend]]&lt;($B$6-1.5*$B$8)),"Outlier","Normal")</f>
        <v>Normal</v>
      </c>
      <c r="D787" s="1">
        <v>863403</v>
      </c>
      <c r="E787" s="1">
        <v>12362</v>
      </c>
      <c r="F787" s="15">
        <v>184722.37</v>
      </c>
      <c r="G787" s="15" t="str">
        <f>IF(OR(Table14[[#This Row],[Sales]]&gt;($B$5+1.5*$B$9),Table14[[#This Row],[Sales]]&lt;($B$7-1.5*$B$9)),"Outlier","Normal")</f>
        <v>Normal</v>
      </c>
      <c r="H787" s="22"/>
      <c r="I787" s="22">
        <f>Table1[[#This Row],[Sales]]/Table1[[#This Row],[USD_Spend]]</f>
        <v>20.705930622217945</v>
      </c>
    </row>
    <row r="788" spans="1:9" x14ac:dyDescent="0.35">
      <c r="A788" s="3" t="s">
        <v>101</v>
      </c>
      <c r="B788" s="15">
        <v>30591.27</v>
      </c>
      <c r="C788" s="1" t="str">
        <f>IF(OR(Table14[[#This Row],[USD_Spend]]&gt;($B$4+1.5*$B$8),Table14[[#This Row],[USD_Spend]]&lt;($B$6-1.5*$B$8)),"Outlier","Normal")</f>
        <v>Normal</v>
      </c>
      <c r="D788" s="1">
        <v>31753</v>
      </c>
      <c r="E788" s="1">
        <v>44158</v>
      </c>
      <c r="F788" s="15">
        <v>206248.21</v>
      </c>
      <c r="G788" s="15" t="str">
        <f>IF(OR(Table14[[#This Row],[Sales]]&gt;($B$5+1.5*$B$9),Table14[[#This Row],[Sales]]&lt;($B$7-1.5*$B$9)),"Outlier","Normal")</f>
        <v>Normal</v>
      </c>
      <c r="H788" s="22"/>
      <c r="I788" s="22">
        <f>Table1[[#This Row],[Sales]]/Table1[[#This Row],[USD_Spend]]</f>
        <v>0.83849084307103605</v>
      </c>
    </row>
    <row r="789" spans="1:9" x14ac:dyDescent="0.35">
      <c r="A789" s="3" t="s">
        <v>107</v>
      </c>
      <c r="B789" s="15">
        <v>18011.7</v>
      </c>
      <c r="C789" s="1" t="str">
        <f>IF(OR(Table14[[#This Row],[USD_Spend]]&gt;($B$4+1.5*$B$8),Table14[[#This Row],[USD_Spend]]&lt;($B$6-1.5*$B$8)),"Outlier","Normal")</f>
        <v>Normal</v>
      </c>
      <c r="D789" s="1">
        <v>998984</v>
      </c>
      <c r="E789" s="1">
        <v>36892</v>
      </c>
      <c r="F789" s="15">
        <v>85361.54</v>
      </c>
      <c r="G789" s="15" t="str">
        <f>IF(OR(Table14[[#This Row],[Sales]]&gt;($B$5+1.5*$B$9),Table14[[#This Row],[Sales]]&lt;($B$7-1.5*$B$9)),"Outlier","Normal")</f>
        <v>Normal</v>
      </c>
      <c r="H789" s="22"/>
      <c r="I789" s="22">
        <f>Table1[[#This Row],[Sales]]/Table1[[#This Row],[USD_Spend]]</f>
        <v>13.27129710437535</v>
      </c>
    </row>
    <row r="790" spans="1:9" x14ac:dyDescent="0.35">
      <c r="A790" s="3" t="s">
        <v>70</v>
      </c>
      <c r="B790" s="15">
        <v>8210.9500000000007</v>
      </c>
      <c r="C790" s="1" t="str">
        <f>IF(OR(Table14[[#This Row],[USD_Spend]]&gt;($B$4+1.5*$B$8),Table14[[#This Row],[USD_Spend]]&lt;($B$6-1.5*$B$8)),"Outlier","Normal")</f>
        <v>Normal</v>
      </c>
      <c r="D790" s="1">
        <v>617488</v>
      </c>
      <c r="E790" s="1">
        <v>15368</v>
      </c>
      <c r="F790" s="15">
        <v>231579.87</v>
      </c>
      <c r="G790" s="15" t="str">
        <f>IF(OR(Table14[[#This Row],[Sales]]&gt;($B$5+1.5*$B$9),Table14[[#This Row],[Sales]]&lt;($B$7-1.5*$B$9)),"Outlier","Normal")</f>
        <v>Normal</v>
      </c>
      <c r="H790" s="22"/>
      <c r="I790" s="22">
        <f>Table1[[#This Row],[Sales]]/Table1[[#This Row],[USD_Spend]]</f>
        <v>3.5534375617681229</v>
      </c>
    </row>
    <row r="791" spans="1:9" x14ac:dyDescent="0.35">
      <c r="A791" s="3" t="s">
        <v>47</v>
      </c>
      <c r="B791" s="15">
        <v>14175.39</v>
      </c>
      <c r="C791" s="1" t="str">
        <f>IF(OR(Table14[[#This Row],[USD_Spend]]&gt;($B$4+1.5*$B$8),Table14[[#This Row],[USD_Spend]]&lt;($B$6-1.5*$B$8)),"Outlier","Normal")</f>
        <v>Normal</v>
      </c>
      <c r="D791" s="1">
        <v>676216</v>
      </c>
      <c r="E791" s="1">
        <v>45164</v>
      </c>
      <c r="F791" s="15">
        <v>82901.91</v>
      </c>
      <c r="G791" s="15" t="str">
        <f>IF(OR(Table14[[#This Row],[Sales]]&gt;($B$5+1.5*$B$9),Table14[[#This Row],[Sales]]&lt;($B$7-1.5*$B$9)),"Outlier","Normal")</f>
        <v>Normal</v>
      </c>
      <c r="H791" s="22"/>
      <c r="I791" s="22">
        <f>Table1[[#This Row],[Sales]]/Table1[[#This Row],[USD_Spend]]</f>
        <v>5.0564711226057195</v>
      </c>
    </row>
    <row r="792" spans="1:9" x14ac:dyDescent="0.35">
      <c r="A792" s="3" t="s">
        <v>104</v>
      </c>
      <c r="B792" s="15">
        <v>21499.79</v>
      </c>
      <c r="C792" s="1" t="str">
        <f>IF(OR(Table14[[#This Row],[USD_Spend]]&gt;($B$4+1.5*$B$8),Table14[[#This Row],[USD_Spend]]&lt;($B$6-1.5*$B$8)),"Outlier","Normal")</f>
        <v>Normal</v>
      </c>
      <c r="D792" s="1">
        <v>810152</v>
      </c>
      <c r="E792" s="1">
        <v>5138</v>
      </c>
      <c r="F792" s="15">
        <v>145610.84</v>
      </c>
      <c r="G792" s="15" t="str">
        <f>IF(OR(Table14[[#This Row],[Sales]]&gt;($B$5+1.5*$B$9),Table14[[#This Row],[Sales]]&lt;($B$7-1.5*$B$9)),"Outlier","Normal")</f>
        <v>Normal</v>
      </c>
      <c r="H792" s="22"/>
      <c r="I792" s="22">
        <f>Table1[[#This Row],[Sales]]/Table1[[#This Row],[USD_Spend]]</f>
        <v>27.337076186489384</v>
      </c>
    </row>
    <row r="793" spans="1:9" x14ac:dyDescent="0.35">
      <c r="A793" s="3" t="s">
        <v>109</v>
      </c>
      <c r="B793" s="15">
        <v>28071.99</v>
      </c>
      <c r="C793" s="1" t="str">
        <f>IF(OR(Table14[[#This Row],[USD_Spend]]&gt;($B$4+1.5*$B$8),Table14[[#This Row],[USD_Spend]]&lt;($B$6-1.5*$B$8)),"Outlier","Normal")</f>
        <v>Normal</v>
      </c>
      <c r="D793" s="1">
        <v>973798</v>
      </c>
      <c r="E793" s="1">
        <v>37590</v>
      </c>
      <c r="F793" s="15">
        <v>127958.75</v>
      </c>
      <c r="G793" s="15" t="str">
        <f>IF(OR(Table14[[#This Row],[Sales]]&gt;($B$5+1.5*$B$9),Table14[[#This Row],[Sales]]&lt;($B$7-1.5*$B$9)),"Outlier","Normal")</f>
        <v>Normal</v>
      </c>
      <c r="H793" s="22"/>
      <c r="I793" s="22">
        <f>Table1[[#This Row],[Sales]]/Table1[[#This Row],[USD_Spend]]</f>
        <v>4.4216009307061812</v>
      </c>
    </row>
    <row r="794" spans="1:9" x14ac:dyDescent="0.35">
      <c r="A794" s="3" t="s">
        <v>64</v>
      </c>
      <c r="B794" s="15">
        <v>34943.42</v>
      </c>
      <c r="C794" s="1" t="str">
        <f>IF(OR(Table14[[#This Row],[USD_Spend]]&gt;($B$4+1.5*$B$8),Table14[[#This Row],[USD_Spend]]&lt;($B$6-1.5*$B$8)),"Outlier","Normal")</f>
        <v>Normal</v>
      </c>
      <c r="D794" s="1">
        <v>366699</v>
      </c>
      <c r="E794" s="1">
        <v>7410</v>
      </c>
      <c r="F794" s="15">
        <v>76907.53</v>
      </c>
      <c r="G794" s="15" t="str">
        <f>IF(OR(Table14[[#This Row],[Sales]]&gt;($B$5+1.5*$B$9),Table14[[#This Row],[Sales]]&lt;($B$7-1.5*$B$9)),"Outlier","Normal")</f>
        <v>Normal</v>
      </c>
      <c r="H794" s="22"/>
      <c r="I794" s="22">
        <f>Table1[[#This Row],[Sales]]/Table1[[#This Row],[USD_Spend]]</f>
        <v>4.2108610585458708</v>
      </c>
    </row>
    <row r="795" spans="1:9" x14ac:dyDescent="0.35">
      <c r="A795" s="3" t="s">
        <v>109</v>
      </c>
      <c r="B795" s="15">
        <v>50925.89</v>
      </c>
      <c r="C795" s="1" t="str">
        <f>IF(OR(Table14[[#This Row],[USD_Spend]]&gt;($B$4+1.5*$B$8),Table14[[#This Row],[USD_Spend]]&lt;($B$6-1.5*$B$8)),"Outlier","Normal")</f>
        <v>Normal</v>
      </c>
      <c r="D795" s="1">
        <v>992486</v>
      </c>
      <c r="E795" s="1">
        <v>9596</v>
      </c>
      <c r="F795" s="15">
        <v>93934.51</v>
      </c>
      <c r="G795" s="15" t="str">
        <f>IF(OR(Table14[[#This Row],[Sales]]&gt;($B$5+1.5*$B$9),Table14[[#This Row],[Sales]]&lt;($B$7-1.5*$B$9)),"Outlier","Normal")</f>
        <v>Normal</v>
      </c>
      <c r="H795" s="22"/>
      <c r="I795" s="22">
        <f>Table1[[#This Row],[Sales]]/Table1[[#This Row],[USD_Spend]]</f>
        <v>11.745415043078232</v>
      </c>
    </row>
    <row r="796" spans="1:9" x14ac:dyDescent="0.35">
      <c r="A796" s="3" t="s">
        <v>92</v>
      </c>
      <c r="B796" s="15">
        <v>30221.87</v>
      </c>
      <c r="C796" s="1" t="str">
        <f>IF(OR(Table14[[#This Row],[USD_Spend]]&gt;($B$4+1.5*$B$8),Table14[[#This Row],[USD_Spend]]&lt;($B$6-1.5*$B$8)),"Outlier","Normal")</f>
        <v>Normal</v>
      </c>
      <c r="D796" s="1">
        <v>53993</v>
      </c>
      <c r="E796" s="1">
        <v>36368</v>
      </c>
      <c r="F796" s="15">
        <v>180752.64000000001</v>
      </c>
      <c r="G796" s="15" t="str">
        <f>IF(OR(Table14[[#This Row],[Sales]]&gt;($B$5+1.5*$B$9),Table14[[#This Row],[Sales]]&lt;($B$7-1.5*$B$9)),"Outlier","Normal")</f>
        <v>Normal</v>
      </c>
      <c r="H796" s="22"/>
      <c r="I796" s="22">
        <f>Table1[[#This Row],[Sales]]/Table1[[#This Row],[USD_Spend]]</f>
        <v>19.431948448667395</v>
      </c>
    </row>
    <row r="797" spans="1:9" x14ac:dyDescent="0.35">
      <c r="A797" s="3" t="s">
        <v>88</v>
      </c>
      <c r="B797" s="15">
        <v>4362.78</v>
      </c>
      <c r="C797" s="1" t="str">
        <f>IF(OR(Table14[[#This Row],[USD_Spend]]&gt;($B$4+1.5*$B$8),Table14[[#This Row],[USD_Spend]]&lt;($B$6-1.5*$B$8)),"Outlier","Normal")</f>
        <v>Normal</v>
      </c>
      <c r="D797" s="1">
        <v>454114</v>
      </c>
      <c r="E797" s="1">
        <v>24038</v>
      </c>
      <c r="F797" s="15">
        <v>90335.42</v>
      </c>
      <c r="G797" s="15" t="str">
        <f>IF(OR(Table14[[#This Row],[Sales]]&gt;($B$5+1.5*$B$9),Table14[[#This Row],[Sales]]&lt;($B$7-1.5*$B$9)),"Outlier","Normal")</f>
        <v>Normal</v>
      </c>
      <c r="H797" s="22"/>
      <c r="I797" s="22">
        <f>Table1[[#This Row],[Sales]]/Table1[[#This Row],[USD_Spend]]</f>
        <v>53.24786943868029</v>
      </c>
    </row>
    <row r="798" spans="1:9" x14ac:dyDescent="0.35">
      <c r="A798" s="3" t="s">
        <v>107</v>
      </c>
      <c r="B798" s="15">
        <v>15909.81</v>
      </c>
      <c r="C798" s="1" t="str">
        <f>IF(OR(Table14[[#This Row],[USD_Spend]]&gt;($B$4+1.5*$B$8),Table14[[#This Row],[USD_Spend]]&lt;($B$6-1.5*$B$8)),"Outlier","Normal")</f>
        <v>Normal</v>
      </c>
      <c r="D798" s="1">
        <v>274132</v>
      </c>
      <c r="E798" s="1">
        <v>12753</v>
      </c>
      <c r="F798" s="15">
        <v>13340.23</v>
      </c>
      <c r="G798" s="15" t="str">
        <f>IF(OR(Table14[[#This Row],[Sales]]&gt;($B$5+1.5*$B$9),Table14[[#This Row],[Sales]]&lt;($B$7-1.5*$B$9)),"Outlier","Normal")</f>
        <v>Normal</v>
      </c>
      <c r="H798" s="22"/>
      <c r="I798" s="22">
        <f>Table1[[#This Row],[Sales]]/Table1[[#This Row],[USD_Spend]]</f>
        <v>30.724684319143726</v>
      </c>
    </row>
    <row r="799" spans="1:9" x14ac:dyDescent="0.35">
      <c r="A799" s="3" t="s">
        <v>64</v>
      </c>
      <c r="B799" s="15">
        <v>3070.84</v>
      </c>
      <c r="C799" s="1" t="str">
        <f>IF(OR(Table14[[#This Row],[USD_Spend]]&gt;($B$4+1.5*$B$8),Table14[[#This Row],[USD_Spend]]&lt;($B$6-1.5*$B$8)),"Outlier","Normal")</f>
        <v>Normal</v>
      </c>
      <c r="D799" s="1">
        <v>291444</v>
      </c>
      <c r="E799" s="1">
        <v>32417</v>
      </c>
      <c r="F799" s="15">
        <v>40754.03</v>
      </c>
      <c r="G799" s="15" t="str">
        <f>IF(OR(Table14[[#This Row],[Sales]]&gt;($B$5+1.5*$B$9),Table14[[#This Row],[Sales]]&lt;($B$7-1.5*$B$9)),"Outlier","Normal")</f>
        <v>Normal</v>
      </c>
      <c r="H799" s="22"/>
      <c r="I799" s="22">
        <f>Table1[[#This Row],[Sales]]/Table1[[#This Row],[USD_Spend]]</f>
        <v>37.141610217886871</v>
      </c>
    </row>
    <row r="800" spans="1:9" x14ac:dyDescent="0.35">
      <c r="A800" s="3" t="s">
        <v>94</v>
      </c>
      <c r="B800" s="15">
        <v>33188.639999999999</v>
      </c>
      <c r="C800" s="1" t="str">
        <f>IF(OR(Table14[[#This Row],[USD_Spend]]&gt;($B$4+1.5*$B$8),Table14[[#This Row],[USD_Spend]]&lt;($B$6-1.5*$B$8)),"Outlier","Normal")</f>
        <v>Normal</v>
      </c>
      <c r="D800" s="1">
        <v>117022</v>
      </c>
      <c r="E800" s="1">
        <v>9752</v>
      </c>
      <c r="F800" s="15">
        <v>117933.75999999999</v>
      </c>
      <c r="G800" s="15" t="str">
        <f>IF(OR(Table14[[#This Row],[Sales]]&gt;($B$5+1.5*$B$9),Table14[[#This Row],[Sales]]&lt;($B$7-1.5*$B$9)),"Outlier","Normal")</f>
        <v>Normal</v>
      </c>
      <c r="H800" s="22"/>
      <c r="I800" s="22">
        <f>Table1[[#This Row],[Sales]]/Table1[[#This Row],[USD_Spend]]</f>
        <v>10.848079882674584</v>
      </c>
    </row>
    <row r="801" spans="1:9" x14ac:dyDescent="0.35">
      <c r="A801" s="3" t="s">
        <v>85</v>
      </c>
      <c r="B801" s="15">
        <v>28488.720000000001</v>
      </c>
      <c r="C801" s="1" t="str">
        <f>IF(OR(Table14[[#This Row],[USD_Spend]]&gt;($B$4+1.5*$B$8),Table14[[#This Row],[USD_Spend]]&lt;($B$6-1.5*$B$8)),"Outlier","Normal")</f>
        <v>Normal</v>
      </c>
      <c r="D801" s="1">
        <v>159600</v>
      </c>
      <c r="E801" s="1">
        <v>24925</v>
      </c>
      <c r="F801" s="15">
        <v>144052.39000000001</v>
      </c>
      <c r="G801" s="15" t="str">
        <f>IF(OR(Table14[[#This Row],[Sales]]&gt;($B$5+1.5*$B$9),Table14[[#This Row],[Sales]]&lt;($B$7-1.5*$B$9)),"Outlier","Normal")</f>
        <v>Normal</v>
      </c>
      <c r="H801" s="22"/>
      <c r="I801" s="22">
        <f>Table1[[#This Row],[Sales]]/Table1[[#This Row],[USD_Spend]]</f>
        <v>0.94854087232312201</v>
      </c>
    </row>
    <row r="802" spans="1:9" x14ac:dyDescent="0.35">
      <c r="A802" s="3" t="s">
        <v>110</v>
      </c>
      <c r="B802" s="15">
        <v>7429.27</v>
      </c>
      <c r="C802" s="1" t="str">
        <f>IF(OR(Table14[[#This Row],[USD_Spend]]&gt;($B$4+1.5*$B$8),Table14[[#This Row],[USD_Spend]]&lt;($B$6-1.5*$B$8)),"Outlier","Normal")</f>
        <v>Normal</v>
      </c>
      <c r="D802" s="1">
        <v>962424</v>
      </c>
      <c r="E802" s="1">
        <v>29648</v>
      </c>
      <c r="F802" s="15">
        <v>203094.52</v>
      </c>
      <c r="G802" s="15" t="str">
        <f>IF(OR(Table14[[#This Row],[Sales]]&gt;($B$5+1.5*$B$9),Table14[[#This Row],[Sales]]&lt;($B$7-1.5*$B$9)),"Outlier","Normal")</f>
        <v>Normal</v>
      </c>
      <c r="H802" s="22"/>
      <c r="I802" s="22">
        <f>Table1[[#This Row],[Sales]]/Table1[[#This Row],[USD_Spend]]</f>
        <v>9.8309843988966037</v>
      </c>
    </row>
    <row r="803" spans="1:9" x14ac:dyDescent="0.35">
      <c r="A803" s="3" t="s">
        <v>79</v>
      </c>
      <c r="B803" s="15">
        <v>3790.67</v>
      </c>
      <c r="C803" s="1" t="str">
        <f>IF(OR(Table14[[#This Row],[USD_Spend]]&gt;($B$4+1.5*$B$8),Table14[[#This Row],[USD_Spend]]&lt;($B$6-1.5*$B$8)),"Outlier","Normal")</f>
        <v>Normal</v>
      </c>
      <c r="D803" s="1">
        <v>55168</v>
      </c>
      <c r="E803" s="1">
        <v>7361</v>
      </c>
      <c r="F803" s="15">
        <v>16760.830000000002</v>
      </c>
      <c r="G803" s="15" t="str">
        <f>IF(OR(Table14[[#This Row],[Sales]]&gt;($B$5+1.5*$B$9),Table14[[#This Row],[Sales]]&lt;($B$7-1.5*$B$9)),"Outlier","Normal")</f>
        <v>Normal</v>
      </c>
      <c r="H803" s="22"/>
      <c r="I803" s="22">
        <f>Table1[[#This Row],[Sales]]/Table1[[#This Row],[USD_Spend]]</f>
        <v>25.635414028325837</v>
      </c>
    </row>
    <row r="804" spans="1:9" x14ac:dyDescent="0.35">
      <c r="A804" s="3" t="s">
        <v>50</v>
      </c>
      <c r="B804" s="15">
        <v>46349.81</v>
      </c>
      <c r="C804" s="1" t="str">
        <f>IF(OR(Table14[[#This Row],[USD_Spend]]&gt;($B$4+1.5*$B$8),Table14[[#This Row],[USD_Spend]]&lt;($B$6-1.5*$B$8)),"Outlier","Normal")</f>
        <v>Normal</v>
      </c>
      <c r="D804" s="1">
        <v>458324</v>
      </c>
      <c r="E804" s="1">
        <v>26633</v>
      </c>
      <c r="F804" s="15">
        <v>195172.61</v>
      </c>
      <c r="G804" s="15" t="str">
        <f>IF(OR(Table14[[#This Row],[Sales]]&gt;($B$5+1.5*$B$9),Table14[[#This Row],[Sales]]&lt;($B$7-1.5*$B$9)),"Outlier","Normal")</f>
        <v>Normal</v>
      </c>
      <c r="H804" s="22"/>
      <c r="I804" s="22">
        <f>Table1[[#This Row],[Sales]]/Table1[[#This Row],[USD_Spend]]</f>
        <v>9.0663060656261933</v>
      </c>
    </row>
    <row r="805" spans="1:9" x14ac:dyDescent="0.35">
      <c r="A805" s="3" t="s">
        <v>42</v>
      </c>
      <c r="B805" s="15">
        <v>16427.09</v>
      </c>
      <c r="C805" s="1" t="str">
        <f>IF(OR(Table14[[#This Row],[USD_Spend]]&gt;($B$4+1.5*$B$8),Table14[[#This Row],[USD_Spend]]&lt;($B$6-1.5*$B$8)),"Outlier","Normal")</f>
        <v>Normal</v>
      </c>
      <c r="D805" s="1">
        <v>61028</v>
      </c>
      <c r="E805" s="1">
        <v>24832</v>
      </c>
      <c r="F805" s="15">
        <v>192942.99</v>
      </c>
      <c r="G805" s="15" t="str">
        <f>IF(OR(Table14[[#This Row],[Sales]]&gt;($B$5+1.5*$B$9),Table14[[#This Row],[Sales]]&lt;($B$7-1.5*$B$9)),"Outlier","Normal")</f>
        <v>Normal</v>
      </c>
      <c r="H805" s="22"/>
      <c r="I805" s="22">
        <f>Table1[[#This Row],[Sales]]/Table1[[#This Row],[USD_Spend]]</f>
        <v>7.0005794476120284</v>
      </c>
    </row>
    <row r="806" spans="1:9" x14ac:dyDescent="0.35">
      <c r="A806" s="3" t="s">
        <v>109</v>
      </c>
      <c r="B806" s="15">
        <v>6697.79</v>
      </c>
      <c r="C806" s="1" t="str">
        <f>IF(OR(Table14[[#This Row],[USD_Spend]]&gt;($B$4+1.5*$B$8),Table14[[#This Row],[USD_Spend]]&lt;($B$6-1.5*$B$8)),"Outlier","Normal")</f>
        <v>Normal</v>
      </c>
      <c r="D806" s="1">
        <v>623015</v>
      </c>
      <c r="E806" s="1">
        <v>44298</v>
      </c>
      <c r="F806" s="15">
        <v>130151.11</v>
      </c>
      <c r="G806" s="15" t="str">
        <f>IF(OR(Table14[[#This Row],[Sales]]&gt;($B$5+1.5*$B$9),Table14[[#This Row],[Sales]]&lt;($B$7-1.5*$B$9)),"Outlier","Normal")</f>
        <v>Normal</v>
      </c>
      <c r="H806" s="22"/>
      <c r="I806" s="22">
        <f>Table1[[#This Row],[Sales]]/Table1[[#This Row],[USD_Spend]]</f>
        <v>1.4916820881350883</v>
      </c>
    </row>
    <row r="807" spans="1:9" x14ac:dyDescent="0.35">
      <c r="A807" s="3" t="s">
        <v>84</v>
      </c>
      <c r="B807" s="15">
        <v>1532.46</v>
      </c>
      <c r="C807" s="1" t="str">
        <f>IF(OR(Table14[[#This Row],[USD_Spend]]&gt;($B$4+1.5*$B$8),Table14[[#This Row],[USD_Spend]]&lt;($B$6-1.5*$B$8)),"Outlier","Normal")</f>
        <v>Normal</v>
      </c>
      <c r="D807" s="1">
        <v>446801</v>
      </c>
      <c r="E807" s="1">
        <v>45001</v>
      </c>
      <c r="F807" s="15">
        <v>81600.23</v>
      </c>
      <c r="G807" s="15" t="str">
        <f>IF(OR(Table14[[#This Row],[Sales]]&gt;($B$5+1.5*$B$9),Table14[[#This Row],[Sales]]&lt;($B$7-1.5*$B$9)),"Outlier","Normal")</f>
        <v>Normal</v>
      </c>
      <c r="H807" s="22"/>
      <c r="I807" s="22">
        <f>Table1[[#This Row],[Sales]]/Table1[[#This Row],[USD_Spend]]</f>
        <v>5.0372197551899642</v>
      </c>
    </row>
    <row r="808" spans="1:9" x14ac:dyDescent="0.35">
      <c r="A808" s="3" t="s">
        <v>100</v>
      </c>
      <c r="B808" s="15">
        <v>6289.58</v>
      </c>
      <c r="C808" s="1" t="str">
        <f>IF(OR(Table14[[#This Row],[USD_Spend]]&gt;($B$4+1.5*$B$8),Table14[[#This Row],[USD_Spend]]&lt;($B$6-1.5*$B$8)),"Outlier","Normal")</f>
        <v>Normal</v>
      </c>
      <c r="D808" s="1">
        <v>514098</v>
      </c>
      <c r="E808" s="1">
        <v>48241</v>
      </c>
      <c r="F808" s="15">
        <v>193245.36</v>
      </c>
      <c r="G808" s="15" t="str">
        <f>IF(OR(Table14[[#This Row],[Sales]]&gt;($B$5+1.5*$B$9),Table14[[#This Row],[Sales]]&lt;($B$7-1.5*$B$9)),"Outlier","Normal")</f>
        <v>Normal</v>
      </c>
      <c r="H808" s="22"/>
      <c r="I808" s="22">
        <f>Table1[[#This Row],[Sales]]/Table1[[#This Row],[USD_Spend]]</f>
        <v>34.106546978681649</v>
      </c>
    </row>
    <row r="809" spans="1:9" x14ac:dyDescent="0.35">
      <c r="A809" s="3" t="s">
        <v>98</v>
      </c>
      <c r="B809" s="15">
        <v>2153.87</v>
      </c>
      <c r="C809" s="1" t="str">
        <f>IF(OR(Table14[[#This Row],[USD_Spend]]&gt;($B$4+1.5*$B$8),Table14[[#This Row],[USD_Spend]]&lt;($B$6-1.5*$B$8)),"Outlier","Normal")</f>
        <v>Normal</v>
      </c>
      <c r="D809" s="1">
        <v>537786</v>
      </c>
      <c r="E809" s="1">
        <v>38679</v>
      </c>
      <c r="F809" s="15">
        <v>79998.2</v>
      </c>
      <c r="G809" s="15" t="str">
        <f>IF(OR(Table14[[#This Row],[Sales]]&gt;($B$5+1.5*$B$9),Table14[[#This Row],[Sales]]&lt;($B$7-1.5*$B$9)),"Outlier","Normal")</f>
        <v>Normal</v>
      </c>
      <c r="H809" s="22"/>
      <c r="I809" s="22">
        <f>Table1[[#This Row],[Sales]]/Table1[[#This Row],[USD_Spend]]</f>
        <v>11.824471738559803</v>
      </c>
    </row>
    <row r="810" spans="1:9" x14ac:dyDescent="0.35">
      <c r="A810" s="3" t="s">
        <v>64</v>
      </c>
      <c r="B810" s="15">
        <v>11046.2</v>
      </c>
      <c r="C810" s="1" t="str">
        <f>IF(OR(Table14[[#This Row],[USD_Spend]]&gt;($B$4+1.5*$B$8),Table14[[#This Row],[USD_Spend]]&lt;($B$6-1.5*$B$8)),"Outlier","Normal")</f>
        <v>Normal</v>
      </c>
      <c r="D810" s="1">
        <v>74076</v>
      </c>
      <c r="E810" s="1">
        <v>41058</v>
      </c>
      <c r="F810" s="15">
        <v>119830.06</v>
      </c>
      <c r="G810" s="15" t="str">
        <f>IF(OR(Table14[[#This Row],[Sales]]&gt;($B$5+1.5*$B$9),Table14[[#This Row],[Sales]]&lt;($B$7-1.5*$B$9)),"Outlier","Normal")</f>
        <v>Normal</v>
      </c>
      <c r="H810" s="22"/>
      <c r="I810" s="22">
        <f>Table1[[#This Row],[Sales]]/Table1[[#This Row],[USD_Spend]]</f>
        <v>10.287203717605376</v>
      </c>
    </row>
    <row r="811" spans="1:9" x14ac:dyDescent="0.35">
      <c r="A811" s="3" t="s">
        <v>78</v>
      </c>
      <c r="B811" s="15">
        <v>6627.59</v>
      </c>
      <c r="C811" s="1" t="str">
        <f>IF(OR(Table14[[#This Row],[USD_Spend]]&gt;($B$4+1.5*$B$8),Table14[[#This Row],[USD_Spend]]&lt;($B$6-1.5*$B$8)),"Outlier","Normal")</f>
        <v>Normal</v>
      </c>
      <c r="D811" s="1">
        <v>480392</v>
      </c>
      <c r="E811" s="1">
        <v>40427</v>
      </c>
      <c r="F811" s="15">
        <v>6286.54</v>
      </c>
      <c r="G811" s="15" t="str">
        <f>IF(OR(Table14[[#This Row],[Sales]]&gt;($B$5+1.5*$B$9),Table14[[#This Row],[Sales]]&lt;($B$7-1.5*$B$9)),"Outlier","Normal")</f>
        <v>Normal</v>
      </c>
      <c r="H811" s="22"/>
      <c r="I811" s="22">
        <f>Table1[[#This Row],[Sales]]/Table1[[#This Row],[USD_Spend]]</f>
        <v>14.595632380025991</v>
      </c>
    </row>
    <row r="812" spans="1:9" x14ac:dyDescent="0.35">
      <c r="A812" s="3" t="s">
        <v>108</v>
      </c>
      <c r="B812" s="15">
        <v>11422.91</v>
      </c>
      <c r="C812" s="1" t="str">
        <f>IF(OR(Table14[[#This Row],[USD_Spend]]&gt;($B$4+1.5*$B$8),Table14[[#This Row],[USD_Spend]]&lt;($B$6-1.5*$B$8)),"Outlier","Normal")</f>
        <v>Normal</v>
      </c>
      <c r="D812" s="1">
        <v>154462</v>
      </c>
      <c r="E812" s="1">
        <v>7674</v>
      </c>
      <c r="F812" s="15">
        <v>112298.45</v>
      </c>
      <c r="G812" s="15" t="str">
        <f>IF(OR(Table14[[#This Row],[Sales]]&gt;($B$5+1.5*$B$9),Table14[[#This Row],[Sales]]&lt;($B$7-1.5*$B$9)),"Outlier","Normal")</f>
        <v>Normal</v>
      </c>
      <c r="H812" s="22"/>
      <c r="I812" s="22">
        <f>Table1[[#This Row],[Sales]]/Table1[[#This Row],[USD_Spend]]</f>
        <v>10.507707708908319</v>
      </c>
    </row>
    <row r="813" spans="1:9" x14ac:dyDescent="0.35">
      <c r="A813" s="3" t="s">
        <v>105</v>
      </c>
      <c r="B813" s="15">
        <v>8172.75</v>
      </c>
      <c r="C813" s="1" t="str">
        <f>IF(OR(Table14[[#This Row],[USD_Spend]]&gt;($B$4+1.5*$B$8),Table14[[#This Row],[USD_Spend]]&lt;($B$6-1.5*$B$8)),"Outlier","Normal")</f>
        <v>Normal</v>
      </c>
      <c r="D813" s="1">
        <v>122537</v>
      </c>
      <c r="E813" s="1">
        <v>11952</v>
      </c>
      <c r="F813" s="15">
        <v>209511.83</v>
      </c>
      <c r="G813" s="15" t="str">
        <f>IF(OR(Table14[[#This Row],[Sales]]&gt;($B$5+1.5*$B$9),Table14[[#This Row],[Sales]]&lt;($B$7-1.5*$B$9)),"Outlier","Normal")</f>
        <v>Normal</v>
      </c>
      <c r="H813" s="22"/>
      <c r="I813" s="22">
        <f>Table1[[#This Row],[Sales]]/Table1[[#This Row],[USD_Spend]]</f>
        <v>10.848612217232906</v>
      </c>
    </row>
    <row r="814" spans="1:9" x14ac:dyDescent="0.35">
      <c r="A814" s="3" t="s">
        <v>117</v>
      </c>
      <c r="B814" s="15">
        <v>18356.39</v>
      </c>
      <c r="C814" s="1" t="str">
        <f>IF(OR(Table14[[#This Row],[USD_Spend]]&gt;($B$4+1.5*$B$8),Table14[[#This Row],[USD_Spend]]&lt;($B$6-1.5*$B$8)),"Outlier","Normal")</f>
        <v>Normal</v>
      </c>
      <c r="D814" s="1">
        <v>658388</v>
      </c>
      <c r="E814" s="1">
        <v>45069</v>
      </c>
      <c r="F814" s="15">
        <v>166424.65</v>
      </c>
      <c r="G814" s="15" t="str">
        <f>IF(OR(Table14[[#This Row],[Sales]]&gt;($B$5+1.5*$B$9),Table14[[#This Row],[Sales]]&lt;($B$7-1.5*$B$9)),"Outlier","Normal")</f>
        <v>Normal</v>
      </c>
      <c r="H814" s="22"/>
      <c r="I814" s="22">
        <f>Table1[[#This Row],[Sales]]/Table1[[#This Row],[USD_Spend]]</f>
        <v>1.3058726417391473</v>
      </c>
    </row>
    <row r="815" spans="1:9" x14ac:dyDescent="0.35">
      <c r="A815" s="3" t="s">
        <v>98</v>
      </c>
      <c r="B815" s="15">
        <v>17775.55</v>
      </c>
      <c r="C815" s="1" t="str">
        <f>IF(OR(Table14[[#This Row],[USD_Spend]]&gt;($B$4+1.5*$B$8),Table14[[#This Row],[USD_Spend]]&lt;($B$6-1.5*$B$8)),"Outlier","Normal")</f>
        <v>Normal</v>
      </c>
      <c r="D815" s="1">
        <v>350536</v>
      </c>
      <c r="E815" s="1">
        <v>29806</v>
      </c>
      <c r="F815" s="15">
        <v>124439.15</v>
      </c>
      <c r="G815" s="15" t="str">
        <f>IF(OR(Table14[[#This Row],[Sales]]&gt;($B$5+1.5*$B$9),Table14[[#This Row],[Sales]]&lt;($B$7-1.5*$B$9)),"Outlier","Normal")</f>
        <v>Normal</v>
      </c>
      <c r="H815" s="22"/>
      <c r="I815" s="22">
        <f>Table1[[#This Row],[Sales]]/Table1[[#This Row],[USD_Spend]]</f>
        <v>150.61100955546323</v>
      </c>
    </row>
    <row r="816" spans="1:9" x14ac:dyDescent="0.35">
      <c r="A816" s="3" t="s">
        <v>68</v>
      </c>
      <c r="B816" s="15">
        <v>13428.25</v>
      </c>
      <c r="C816" s="1" t="str">
        <f>IF(OR(Table14[[#This Row],[USD_Spend]]&gt;($B$4+1.5*$B$8),Table14[[#This Row],[USD_Spend]]&lt;($B$6-1.5*$B$8)),"Outlier","Normal")</f>
        <v>Normal</v>
      </c>
      <c r="D816" s="1">
        <v>456772</v>
      </c>
      <c r="E816" s="1">
        <v>31504</v>
      </c>
      <c r="F816" s="15">
        <v>20030.68</v>
      </c>
      <c r="G816" s="15" t="str">
        <f>IF(OR(Table14[[#This Row],[Sales]]&gt;($B$5+1.5*$B$9),Table14[[#This Row],[Sales]]&lt;($B$7-1.5*$B$9)),"Outlier","Normal")</f>
        <v>Normal</v>
      </c>
      <c r="H816" s="22"/>
      <c r="I816" s="22">
        <f>Table1[[#This Row],[Sales]]/Table1[[#This Row],[USD_Spend]]</f>
        <v>50.326785316727566</v>
      </c>
    </row>
    <row r="817" spans="1:9" x14ac:dyDescent="0.35">
      <c r="A817" s="3" t="s">
        <v>27</v>
      </c>
      <c r="B817" s="15">
        <v>18123.439999999999</v>
      </c>
      <c r="C817" s="1" t="str">
        <f>IF(OR(Table14[[#This Row],[USD_Spend]]&gt;($B$4+1.5*$B$8),Table14[[#This Row],[USD_Spend]]&lt;($B$6-1.5*$B$8)),"Outlier","Normal")</f>
        <v>Normal</v>
      </c>
      <c r="D817" s="1">
        <v>440321</v>
      </c>
      <c r="E817" s="1">
        <v>23150</v>
      </c>
      <c r="F817" s="15">
        <v>91291.75</v>
      </c>
      <c r="G817" s="15" t="str">
        <f>IF(OR(Table14[[#This Row],[Sales]]&gt;($B$5+1.5*$B$9),Table14[[#This Row],[Sales]]&lt;($B$7-1.5*$B$9)),"Outlier","Normal")</f>
        <v>Normal</v>
      </c>
      <c r="H817" s="22"/>
      <c r="I817" s="22">
        <f>Table1[[#This Row],[Sales]]/Table1[[#This Row],[USD_Spend]]</f>
        <v>2.3032070085754746</v>
      </c>
    </row>
    <row r="818" spans="1:9" x14ac:dyDescent="0.35">
      <c r="A818" s="3" t="s">
        <v>72</v>
      </c>
      <c r="B818" s="15">
        <v>5809.55</v>
      </c>
      <c r="C818" s="1" t="str">
        <f>IF(OR(Table14[[#This Row],[USD_Spend]]&gt;($B$4+1.5*$B$8),Table14[[#This Row],[USD_Spend]]&lt;($B$6-1.5*$B$8)),"Outlier","Normal")</f>
        <v>Normal</v>
      </c>
      <c r="D818" s="1">
        <v>580871</v>
      </c>
      <c r="E818" s="1">
        <v>41018</v>
      </c>
      <c r="F818" s="15">
        <v>198143.69</v>
      </c>
      <c r="G818" s="15" t="str">
        <f>IF(OR(Table14[[#This Row],[Sales]]&gt;($B$5+1.5*$B$9),Table14[[#This Row],[Sales]]&lt;($B$7-1.5*$B$9)),"Outlier","Normal")</f>
        <v>Normal</v>
      </c>
      <c r="H818" s="22"/>
      <c r="I818" s="22">
        <f>Table1[[#This Row],[Sales]]/Table1[[#This Row],[USD_Spend]]</f>
        <v>7.0570650346358184</v>
      </c>
    </row>
    <row r="819" spans="1:9" x14ac:dyDescent="0.35">
      <c r="A819" s="3" t="s">
        <v>94</v>
      </c>
      <c r="B819" s="15">
        <v>9143.2000000000007</v>
      </c>
      <c r="C819" s="1" t="str">
        <f>IF(OR(Table14[[#This Row],[USD_Spend]]&gt;($B$4+1.5*$B$8),Table14[[#This Row],[USD_Spend]]&lt;($B$6-1.5*$B$8)),"Outlier","Normal")</f>
        <v>Normal</v>
      </c>
      <c r="D819" s="1">
        <v>19756</v>
      </c>
      <c r="E819" s="1">
        <v>19833</v>
      </c>
      <c r="F819" s="15">
        <v>108113.51</v>
      </c>
      <c r="G819" s="15" t="str">
        <f>IF(OR(Table14[[#This Row],[Sales]]&gt;($B$5+1.5*$B$9),Table14[[#This Row],[Sales]]&lt;($B$7-1.5*$B$9)),"Outlier","Normal")</f>
        <v>Normal</v>
      </c>
      <c r="H819" s="22"/>
      <c r="I819" s="22">
        <f>Table1[[#This Row],[Sales]]/Table1[[#This Row],[USD_Spend]]</f>
        <v>112.48948180616364</v>
      </c>
    </row>
    <row r="820" spans="1:9" x14ac:dyDescent="0.35">
      <c r="A820" s="3" t="s">
        <v>99</v>
      </c>
      <c r="B820" s="15">
        <v>19248.95</v>
      </c>
      <c r="C820" s="1" t="str">
        <f>IF(OR(Table14[[#This Row],[USD_Spend]]&gt;($B$4+1.5*$B$8),Table14[[#This Row],[USD_Spend]]&lt;($B$6-1.5*$B$8)),"Outlier","Normal")</f>
        <v>Normal</v>
      </c>
      <c r="D820" s="1">
        <v>978790</v>
      </c>
      <c r="E820" s="1">
        <v>17437</v>
      </c>
      <c r="F820" s="15">
        <v>198017.87</v>
      </c>
      <c r="G820" s="15" t="str">
        <f>IF(OR(Table14[[#This Row],[Sales]]&gt;($B$5+1.5*$B$9),Table14[[#This Row],[Sales]]&lt;($B$7-1.5*$B$9)),"Outlier","Normal")</f>
        <v>Normal</v>
      </c>
      <c r="H820" s="22"/>
      <c r="I820" s="22">
        <f>Table1[[#This Row],[Sales]]/Table1[[#This Row],[USD_Spend]]</f>
        <v>18.314725155888031</v>
      </c>
    </row>
    <row r="821" spans="1:9" x14ac:dyDescent="0.35">
      <c r="A821" s="3" t="s">
        <v>118</v>
      </c>
      <c r="B821" s="15">
        <v>10033.84</v>
      </c>
      <c r="C821" s="1" t="str">
        <f>IF(OR(Table14[[#This Row],[USD_Spend]]&gt;($B$4+1.5*$B$8),Table14[[#This Row],[USD_Spend]]&lt;($B$6-1.5*$B$8)),"Outlier","Normal")</f>
        <v>Normal</v>
      </c>
      <c r="D821" s="1">
        <v>858014</v>
      </c>
      <c r="E821" s="1">
        <v>4200</v>
      </c>
      <c r="F821" s="15">
        <v>146450.23999999999</v>
      </c>
      <c r="G821" s="15" t="str">
        <f>IF(OR(Table14[[#This Row],[Sales]]&gt;($B$5+1.5*$B$9),Table14[[#This Row],[Sales]]&lt;($B$7-1.5*$B$9)),"Outlier","Normal")</f>
        <v>Normal</v>
      </c>
      <c r="H821" s="22"/>
      <c r="I821" s="22">
        <f>Table1[[#This Row],[Sales]]/Table1[[#This Row],[USD_Spend]]</f>
        <v>47.785346181626402</v>
      </c>
    </row>
    <row r="822" spans="1:9" x14ac:dyDescent="0.35">
      <c r="A822" s="3" t="s">
        <v>57</v>
      </c>
      <c r="B822" s="15">
        <v>23344.81</v>
      </c>
      <c r="C822" s="1" t="str">
        <f>IF(OR(Table14[[#This Row],[USD_Spend]]&gt;($B$4+1.5*$B$8),Table14[[#This Row],[USD_Spend]]&lt;($B$6-1.5*$B$8)),"Outlier","Normal")</f>
        <v>Normal</v>
      </c>
      <c r="D822" s="1">
        <v>840884</v>
      </c>
      <c r="E822" s="1">
        <v>42830</v>
      </c>
      <c r="F822" s="15">
        <v>245300.44</v>
      </c>
      <c r="G822" s="15" t="str">
        <f>IF(OR(Table14[[#This Row],[Sales]]&gt;($B$5+1.5*$B$9),Table14[[#This Row],[Sales]]&lt;($B$7-1.5*$B$9)),"Outlier","Normal")</f>
        <v>Normal</v>
      </c>
      <c r="H822" s="22"/>
      <c r="I822" s="22">
        <f>Table1[[#This Row],[Sales]]/Table1[[#This Row],[USD_Spend]]</f>
        <v>7.6262877677335279</v>
      </c>
    </row>
    <row r="823" spans="1:9" x14ac:dyDescent="0.35">
      <c r="A823" s="3" t="s">
        <v>85</v>
      </c>
      <c r="B823" s="15">
        <v>11803</v>
      </c>
      <c r="C823" s="1" t="str">
        <f>IF(OR(Table14[[#This Row],[USD_Spend]]&gt;($B$4+1.5*$B$8),Table14[[#This Row],[USD_Spend]]&lt;($B$6-1.5*$B$8)),"Outlier","Normal")</f>
        <v>Normal</v>
      </c>
      <c r="D823" s="1">
        <v>847255</v>
      </c>
      <c r="E823" s="1">
        <v>30814</v>
      </c>
      <c r="F823" s="15">
        <v>128046.17</v>
      </c>
      <c r="G823" s="15" t="str">
        <f>IF(OR(Table14[[#This Row],[Sales]]&gt;($B$5+1.5*$B$9),Table14[[#This Row],[Sales]]&lt;($B$7-1.5*$B$9)),"Outlier","Normal")</f>
        <v>Normal</v>
      </c>
      <c r="H823" s="22"/>
      <c r="I823" s="22">
        <f>Table1[[#This Row],[Sales]]/Table1[[#This Row],[USD_Spend]]</f>
        <v>3.166685223781406</v>
      </c>
    </row>
    <row r="824" spans="1:9" x14ac:dyDescent="0.35">
      <c r="A824" s="3" t="s">
        <v>94</v>
      </c>
      <c r="B824" s="15">
        <v>24641.040000000001</v>
      </c>
      <c r="C824" s="1" t="str">
        <f>IF(OR(Table14[[#This Row],[USD_Spend]]&gt;($B$4+1.5*$B$8),Table14[[#This Row],[USD_Spend]]&lt;($B$6-1.5*$B$8)),"Outlier","Normal")</f>
        <v>Normal</v>
      </c>
      <c r="D824" s="1">
        <v>489341</v>
      </c>
      <c r="E824" s="1">
        <v>49629</v>
      </c>
      <c r="F824" s="15">
        <v>32178.06</v>
      </c>
      <c r="G824" s="15" t="str">
        <f>IF(OR(Table14[[#This Row],[Sales]]&gt;($B$5+1.5*$B$9),Table14[[#This Row],[Sales]]&lt;($B$7-1.5*$B$9)),"Outlier","Normal")</f>
        <v>Normal</v>
      </c>
      <c r="H824" s="22"/>
      <c r="I824" s="22">
        <f>Table1[[#This Row],[Sales]]/Table1[[#This Row],[USD_Spend]]</f>
        <v>6.8622836488322765</v>
      </c>
    </row>
    <row r="825" spans="1:9" x14ac:dyDescent="0.35">
      <c r="A825" s="3" t="s">
        <v>87</v>
      </c>
      <c r="B825" s="15">
        <v>1203.5</v>
      </c>
      <c r="C825" s="1" t="str">
        <f>IF(OR(Table14[[#This Row],[USD_Spend]]&gt;($B$4+1.5*$B$8),Table14[[#This Row],[USD_Spend]]&lt;($B$6-1.5*$B$8)),"Outlier","Normal")</f>
        <v>Normal</v>
      </c>
      <c r="D825" s="1">
        <v>574607</v>
      </c>
      <c r="E825" s="1">
        <v>45113</v>
      </c>
      <c r="F825" s="15">
        <v>181260.35</v>
      </c>
      <c r="G825" s="15" t="str">
        <f>IF(OR(Table14[[#This Row],[Sales]]&gt;($B$5+1.5*$B$9),Table14[[#This Row],[Sales]]&lt;($B$7-1.5*$B$9)),"Outlier","Normal")</f>
        <v>Normal</v>
      </c>
      <c r="H825" s="22"/>
      <c r="I825" s="22">
        <f>Table1[[#This Row],[Sales]]/Table1[[#This Row],[USD_Spend]]</f>
        <v>4.0629103783508471</v>
      </c>
    </row>
    <row r="826" spans="1:9" x14ac:dyDescent="0.35">
      <c r="A826" s="3" t="s">
        <v>72</v>
      </c>
      <c r="B826" s="15">
        <v>3817.95</v>
      </c>
      <c r="C826" s="1" t="str">
        <f>IF(OR(Table14[[#This Row],[USD_Spend]]&gt;($B$4+1.5*$B$8),Table14[[#This Row],[USD_Spend]]&lt;($B$6-1.5*$B$8)),"Outlier","Normal")</f>
        <v>Normal</v>
      </c>
      <c r="D826" s="1">
        <v>404220</v>
      </c>
      <c r="E826" s="1">
        <v>43117</v>
      </c>
      <c r="F826" s="15">
        <v>192145.15</v>
      </c>
      <c r="G826" s="15" t="str">
        <f>IF(OR(Table14[[#This Row],[Sales]]&gt;($B$5+1.5*$B$9),Table14[[#This Row],[Sales]]&lt;($B$7-1.5*$B$9)),"Outlier","Normal")</f>
        <v>Normal</v>
      </c>
      <c r="H826" s="22"/>
      <c r="I826" s="22">
        <f>Table1[[#This Row],[Sales]]/Table1[[#This Row],[USD_Spend]]</f>
        <v>4.3742237354668001</v>
      </c>
    </row>
    <row r="827" spans="1:9" x14ac:dyDescent="0.35">
      <c r="A827" s="3" t="s">
        <v>66</v>
      </c>
      <c r="B827" s="15">
        <v>10148.709999999999</v>
      </c>
      <c r="C827" s="1" t="str">
        <f>IF(OR(Table14[[#This Row],[USD_Spend]]&gt;($B$4+1.5*$B$8),Table14[[#This Row],[USD_Spend]]&lt;($B$6-1.5*$B$8)),"Outlier","Normal")</f>
        <v>Normal</v>
      </c>
      <c r="D827" s="1">
        <v>650037</v>
      </c>
      <c r="E827" s="1">
        <v>39872</v>
      </c>
      <c r="F827" s="15">
        <v>23374.58</v>
      </c>
      <c r="G827" s="15" t="str">
        <f>IF(OR(Table14[[#This Row],[Sales]]&gt;($B$5+1.5*$B$9),Table14[[#This Row],[Sales]]&lt;($B$7-1.5*$B$9)),"Outlier","Normal")</f>
        <v>Normal</v>
      </c>
      <c r="H827" s="22"/>
      <c r="I827" s="22">
        <f>Table1[[#This Row],[Sales]]/Table1[[#This Row],[USD_Spend]]</f>
        <v>1.6103412421681025</v>
      </c>
    </row>
    <row r="828" spans="1:9" x14ac:dyDescent="0.35">
      <c r="A828" s="3" t="s">
        <v>57</v>
      </c>
      <c r="B828" s="15">
        <v>10705.68</v>
      </c>
      <c r="C828" s="1" t="str">
        <f>IF(OR(Table14[[#This Row],[USD_Spend]]&gt;($B$4+1.5*$B$8),Table14[[#This Row],[USD_Spend]]&lt;($B$6-1.5*$B$8)),"Outlier","Normal")</f>
        <v>Normal</v>
      </c>
      <c r="D828" s="1">
        <v>830114</v>
      </c>
      <c r="E828" s="1">
        <v>17545</v>
      </c>
      <c r="F828" s="15">
        <v>75550.679999999993</v>
      </c>
      <c r="G828" s="15" t="str">
        <f>IF(OR(Table14[[#This Row],[Sales]]&gt;($B$5+1.5*$B$9),Table14[[#This Row],[Sales]]&lt;($B$7-1.5*$B$9)),"Outlier","Normal")</f>
        <v>Normal</v>
      </c>
      <c r="H828" s="22"/>
      <c r="I828" s="22">
        <f>Table1[[#This Row],[Sales]]/Table1[[#This Row],[USD_Spend]]</f>
        <v>24.893420440711267</v>
      </c>
    </row>
    <row r="829" spans="1:9" x14ac:dyDescent="0.35">
      <c r="A829" s="3" t="s">
        <v>83</v>
      </c>
      <c r="B829" s="15">
        <v>1989.41</v>
      </c>
      <c r="C829" s="1" t="str">
        <f>IF(OR(Table14[[#This Row],[USD_Spend]]&gt;($B$4+1.5*$B$8),Table14[[#This Row],[USD_Spend]]&lt;($B$6-1.5*$B$8)),"Outlier","Normal")</f>
        <v>Normal</v>
      </c>
      <c r="D829" s="1">
        <v>159380</v>
      </c>
      <c r="E829" s="1">
        <v>27154</v>
      </c>
      <c r="F829" s="15">
        <v>223787.7</v>
      </c>
      <c r="G829" s="15" t="str">
        <f>IF(OR(Table14[[#This Row],[Sales]]&gt;($B$5+1.5*$B$9),Table14[[#This Row],[Sales]]&lt;($B$7-1.5*$B$9)),"Outlier","Normal")</f>
        <v>Normal</v>
      </c>
      <c r="H829" s="22"/>
      <c r="I829" s="22">
        <f>Table1[[#This Row],[Sales]]/Table1[[#This Row],[USD_Spend]]</f>
        <v>10.217906090969331</v>
      </c>
    </row>
    <row r="830" spans="1:9" x14ac:dyDescent="0.35">
      <c r="A830" s="3" t="s">
        <v>100</v>
      </c>
      <c r="B830" s="15">
        <v>8063.48</v>
      </c>
      <c r="C830" s="1" t="str">
        <f>IF(OR(Table14[[#This Row],[USD_Spend]]&gt;($B$4+1.5*$B$8),Table14[[#This Row],[USD_Spend]]&lt;($B$6-1.5*$B$8)),"Outlier","Normal")</f>
        <v>Normal</v>
      </c>
      <c r="D830" s="1">
        <v>353772</v>
      </c>
      <c r="E830" s="1">
        <v>33946</v>
      </c>
      <c r="F830" s="15">
        <v>147680.42000000001</v>
      </c>
      <c r="G830" s="15" t="str">
        <f>IF(OR(Table14[[#This Row],[Sales]]&gt;($B$5+1.5*$B$9),Table14[[#This Row],[Sales]]&lt;($B$7-1.5*$B$9)),"Outlier","Normal")</f>
        <v>Normal</v>
      </c>
      <c r="H830" s="22"/>
      <c r="I830" s="22">
        <f>Table1[[#This Row],[Sales]]/Table1[[#This Row],[USD_Spend]]</f>
        <v>1.435603721053982</v>
      </c>
    </row>
    <row r="831" spans="1:9" x14ac:dyDescent="0.35">
      <c r="A831" s="3" t="s">
        <v>18</v>
      </c>
      <c r="B831" s="15">
        <v>3488.92</v>
      </c>
      <c r="C831" s="1" t="str">
        <f>IF(OR(Table14[[#This Row],[USD_Spend]]&gt;($B$4+1.5*$B$8),Table14[[#This Row],[USD_Spend]]&lt;($B$6-1.5*$B$8)),"Outlier","Normal")</f>
        <v>Normal</v>
      </c>
      <c r="D831" s="1">
        <v>717814</v>
      </c>
      <c r="E831" s="1">
        <v>32248</v>
      </c>
      <c r="F831" s="15">
        <v>166719.25</v>
      </c>
      <c r="G831" s="15" t="str">
        <f>IF(OR(Table14[[#This Row],[Sales]]&gt;($B$5+1.5*$B$9),Table14[[#This Row],[Sales]]&lt;($B$7-1.5*$B$9)),"Outlier","Normal")</f>
        <v>Normal</v>
      </c>
      <c r="H831" s="22"/>
      <c r="I831" s="22">
        <f>Table1[[#This Row],[Sales]]/Table1[[#This Row],[USD_Spend]]</f>
        <v>6.2697070016271432</v>
      </c>
    </row>
    <row r="832" spans="1:9" x14ac:dyDescent="0.35">
      <c r="A832" s="3" t="s">
        <v>95</v>
      </c>
      <c r="B832" s="15">
        <v>3929.28</v>
      </c>
      <c r="C832" s="1" t="str">
        <f>IF(OR(Table14[[#This Row],[USD_Spend]]&gt;($B$4+1.5*$B$8),Table14[[#This Row],[USD_Spend]]&lt;($B$6-1.5*$B$8)),"Outlier","Normal")</f>
        <v>Normal</v>
      </c>
      <c r="D832" s="1">
        <v>667711</v>
      </c>
      <c r="E832" s="1">
        <v>16015</v>
      </c>
      <c r="F832" s="15">
        <v>29965.82</v>
      </c>
      <c r="G832" s="15" t="str">
        <f>IF(OR(Table14[[#This Row],[Sales]]&gt;($B$5+1.5*$B$9),Table14[[#This Row],[Sales]]&lt;($B$7-1.5*$B$9)),"Outlier","Normal")</f>
        <v>Normal</v>
      </c>
      <c r="H832" s="22"/>
      <c r="I832" s="22">
        <f>Table1[[#This Row],[Sales]]/Table1[[#This Row],[USD_Spend]]</f>
        <v>6.7443662742235446</v>
      </c>
    </row>
    <row r="833" spans="1:9" x14ac:dyDescent="0.35">
      <c r="A833" s="3" t="s">
        <v>72</v>
      </c>
      <c r="B833" s="15">
        <v>45984.160000000003</v>
      </c>
      <c r="C833" s="1" t="str">
        <f>IF(OR(Table14[[#This Row],[USD_Spend]]&gt;($B$4+1.5*$B$8),Table14[[#This Row],[USD_Spend]]&lt;($B$6-1.5*$B$8)),"Outlier","Normal")</f>
        <v>Normal</v>
      </c>
      <c r="D833" s="1">
        <v>713956</v>
      </c>
      <c r="E833" s="1">
        <v>5003</v>
      </c>
      <c r="F833" s="15">
        <v>145617.35999999999</v>
      </c>
      <c r="G833" s="15" t="str">
        <f>IF(OR(Table14[[#This Row],[Sales]]&gt;($B$5+1.5*$B$9),Table14[[#This Row],[Sales]]&lt;($B$7-1.5*$B$9)),"Outlier","Normal")</f>
        <v>Normal</v>
      </c>
      <c r="H833" s="22"/>
      <c r="I833" s="22">
        <f>Table1[[#This Row],[Sales]]/Table1[[#This Row],[USD_Spend]]</f>
        <v>2.4418079642801911</v>
      </c>
    </row>
    <row r="834" spans="1:9" x14ac:dyDescent="0.35">
      <c r="A834" s="3" t="s">
        <v>104</v>
      </c>
      <c r="B834" s="15">
        <v>20951.47</v>
      </c>
      <c r="C834" s="1" t="str">
        <f>IF(OR(Table14[[#This Row],[USD_Spend]]&gt;($B$4+1.5*$B$8),Table14[[#This Row],[USD_Spend]]&lt;($B$6-1.5*$B$8)),"Outlier","Normal")</f>
        <v>Normal</v>
      </c>
      <c r="D834" s="1">
        <v>296643</v>
      </c>
      <c r="E834" s="1">
        <v>4508</v>
      </c>
      <c r="F834" s="15">
        <v>143774.93</v>
      </c>
      <c r="G834" s="15" t="str">
        <f>IF(OR(Table14[[#This Row],[Sales]]&gt;($B$5+1.5*$B$9),Table14[[#This Row],[Sales]]&lt;($B$7-1.5*$B$9)),"Outlier","Normal")</f>
        <v>Normal</v>
      </c>
      <c r="H834" s="22"/>
      <c r="I834" s="22">
        <f>Table1[[#This Row],[Sales]]/Table1[[#This Row],[USD_Spend]]</f>
        <v>1.2695712236160264</v>
      </c>
    </row>
    <row r="835" spans="1:9" x14ac:dyDescent="0.35">
      <c r="A835" s="3" t="s">
        <v>77</v>
      </c>
      <c r="B835" s="15">
        <v>43350.239999999998</v>
      </c>
      <c r="C835" s="1" t="str">
        <f>IF(OR(Table14[[#This Row],[USD_Spend]]&gt;($B$4+1.5*$B$8),Table14[[#This Row],[USD_Spend]]&lt;($B$6-1.5*$B$8)),"Outlier","Normal")</f>
        <v>Normal</v>
      </c>
      <c r="D835" s="1">
        <v>874446</v>
      </c>
      <c r="E835" s="1">
        <v>10608</v>
      </c>
      <c r="F835" s="15">
        <v>176128.14</v>
      </c>
      <c r="G835" s="15" t="str">
        <f>IF(OR(Table14[[#This Row],[Sales]]&gt;($B$5+1.5*$B$9),Table14[[#This Row],[Sales]]&lt;($B$7-1.5*$B$9)),"Outlier","Normal")</f>
        <v>Normal</v>
      </c>
      <c r="H835" s="22"/>
      <c r="I835" s="22">
        <f>Table1[[#This Row],[Sales]]/Table1[[#This Row],[USD_Spend]]</f>
        <v>10.351762785294948</v>
      </c>
    </row>
    <row r="836" spans="1:9" x14ac:dyDescent="0.35">
      <c r="A836" s="3" t="s">
        <v>42</v>
      </c>
      <c r="B836" s="15">
        <v>38416.35</v>
      </c>
      <c r="C836" s="1" t="str">
        <f>IF(OR(Table14[[#This Row],[USD_Spend]]&gt;($B$4+1.5*$B$8),Table14[[#This Row],[USD_Spend]]&lt;($B$6-1.5*$B$8)),"Outlier","Normal")</f>
        <v>Normal</v>
      </c>
      <c r="D836" s="1">
        <v>713176</v>
      </c>
      <c r="E836" s="1">
        <v>8167</v>
      </c>
      <c r="F836" s="15">
        <v>168041.71</v>
      </c>
      <c r="G836" s="15" t="str">
        <f>IF(OR(Table14[[#This Row],[Sales]]&gt;($B$5+1.5*$B$9),Table14[[#This Row],[Sales]]&lt;($B$7-1.5*$B$9)),"Outlier","Normal")</f>
        <v>Normal</v>
      </c>
      <c r="H836" s="22"/>
      <c r="I836" s="22">
        <f>Table1[[#This Row],[Sales]]/Table1[[#This Row],[USD_Spend]]</f>
        <v>7.1058194977977953</v>
      </c>
    </row>
    <row r="837" spans="1:9" x14ac:dyDescent="0.35">
      <c r="A837" s="3" t="s">
        <v>34</v>
      </c>
      <c r="B837" s="15">
        <v>26775.119999999999</v>
      </c>
      <c r="C837" s="1" t="str">
        <f>IF(OR(Table14[[#This Row],[USD_Spend]]&gt;($B$4+1.5*$B$8),Table14[[#This Row],[USD_Spend]]&lt;($B$6-1.5*$B$8)),"Outlier","Normal")</f>
        <v>Normal</v>
      </c>
      <c r="D837" s="1">
        <v>99083</v>
      </c>
      <c r="E837" s="1">
        <v>3547</v>
      </c>
      <c r="F837" s="15">
        <v>43117.08</v>
      </c>
      <c r="G837" s="15" t="str">
        <f>IF(OR(Table14[[#This Row],[Sales]]&gt;($B$5+1.5*$B$9),Table14[[#This Row],[Sales]]&lt;($B$7-1.5*$B$9)),"Outlier","Normal")</f>
        <v>Normal</v>
      </c>
      <c r="H837" s="22"/>
      <c r="I837" s="22">
        <f>Table1[[#This Row],[Sales]]/Table1[[#This Row],[USD_Spend]]</f>
        <v>2.8542998868245721</v>
      </c>
    </row>
    <row r="838" spans="1:9" x14ac:dyDescent="0.35">
      <c r="A838" s="3" t="s">
        <v>55</v>
      </c>
      <c r="B838" s="15">
        <v>6300.27</v>
      </c>
      <c r="C838" s="1" t="str">
        <f>IF(OR(Table14[[#This Row],[USD_Spend]]&gt;($B$4+1.5*$B$8),Table14[[#This Row],[USD_Spend]]&lt;($B$6-1.5*$B$8)),"Outlier","Normal")</f>
        <v>Normal</v>
      </c>
      <c r="D838" s="1">
        <v>669580</v>
      </c>
      <c r="E838" s="1">
        <v>47363</v>
      </c>
      <c r="F838" s="15">
        <v>156835.26999999999</v>
      </c>
      <c r="G838" s="15" t="str">
        <f>IF(OR(Table14[[#This Row],[Sales]]&gt;($B$5+1.5*$B$9),Table14[[#This Row],[Sales]]&lt;($B$7-1.5*$B$9)),"Outlier","Normal")</f>
        <v>Normal</v>
      </c>
      <c r="H838" s="22"/>
      <c r="I838" s="22">
        <f>Table1[[#This Row],[Sales]]/Table1[[#This Row],[USD_Spend]]</f>
        <v>2.5417411346691972</v>
      </c>
    </row>
    <row r="839" spans="1:9" x14ac:dyDescent="0.35">
      <c r="A839" s="3" t="s">
        <v>120</v>
      </c>
      <c r="B839" s="15">
        <v>15498.19</v>
      </c>
      <c r="C839" s="1" t="str">
        <f>IF(OR(Table14[[#This Row],[USD_Spend]]&gt;($B$4+1.5*$B$8),Table14[[#This Row],[USD_Spend]]&lt;($B$6-1.5*$B$8)),"Outlier","Normal")</f>
        <v>Normal</v>
      </c>
      <c r="D839" s="1">
        <v>350404</v>
      </c>
      <c r="E839" s="1">
        <v>3852</v>
      </c>
      <c r="F839" s="15">
        <v>158359.04999999999</v>
      </c>
      <c r="G839" s="15" t="str">
        <f>IF(OR(Table14[[#This Row],[Sales]]&gt;($B$5+1.5*$B$9),Table14[[#This Row],[Sales]]&lt;($B$7-1.5*$B$9)),"Outlier","Normal")</f>
        <v>Normal</v>
      </c>
      <c r="H839" s="22"/>
      <c r="I839" s="22">
        <f>Table1[[#This Row],[Sales]]/Table1[[#This Row],[USD_Spend]]</f>
        <v>11.169871858318324</v>
      </c>
    </row>
    <row r="840" spans="1:9" x14ac:dyDescent="0.35">
      <c r="A840" s="3" t="s">
        <v>120</v>
      </c>
      <c r="B840" s="15">
        <v>29466.92</v>
      </c>
      <c r="C840" s="1" t="str">
        <f>IF(OR(Table14[[#This Row],[USD_Spend]]&gt;($B$4+1.5*$B$8),Table14[[#This Row],[USD_Spend]]&lt;($B$6-1.5*$B$8)),"Outlier","Normal")</f>
        <v>Normal</v>
      </c>
      <c r="D840" s="1">
        <v>544117</v>
      </c>
      <c r="E840" s="1">
        <v>5591</v>
      </c>
      <c r="F840" s="15">
        <v>42302.82</v>
      </c>
      <c r="G840" s="15" t="str">
        <f>IF(OR(Table14[[#This Row],[Sales]]&gt;($B$5+1.5*$B$9),Table14[[#This Row],[Sales]]&lt;($B$7-1.5*$B$9)),"Outlier","Normal")</f>
        <v>Normal</v>
      </c>
      <c r="H840" s="22"/>
      <c r="I840" s="22">
        <f>Table1[[#This Row],[Sales]]/Table1[[#This Row],[USD_Spend]]</f>
        <v>10.063601524290911</v>
      </c>
    </row>
    <row r="841" spans="1:9" x14ac:dyDescent="0.35">
      <c r="A841" s="3" t="s">
        <v>105</v>
      </c>
      <c r="B841" s="15">
        <v>9777.8700000000008</v>
      </c>
      <c r="C841" s="1" t="str">
        <f>IF(OR(Table14[[#This Row],[USD_Spend]]&gt;($B$4+1.5*$B$8),Table14[[#This Row],[USD_Spend]]&lt;($B$6-1.5*$B$8)),"Outlier","Normal")</f>
        <v>Normal</v>
      </c>
      <c r="D841" s="1">
        <v>629284</v>
      </c>
      <c r="E841" s="1">
        <v>4611</v>
      </c>
      <c r="F841" s="15">
        <v>61304.38</v>
      </c>
      <c r="G841" s="15" t="str">
        <f>IF(OR(Table14[[#This Row],[Sales]]&gt;($B$5+1.5*$B$9),Table14[[#This Row],[Sales]]&lt;($B$7-1.5*$B$9)),"Outlier","Normal")</f>
        <v>Normal</v>
      </c>
      <c r="H841" s="22"/>
      <c r="I841" s="22">
        <f>Table1[[#This Row],[Sales]]/Table1[[#This Row],[USD_Spend]]</f>
        <v>4.2978053287850315</v>
      </c>
    </row>
    <row r="842" spans="1:9" x14ac:dyDescent="0.35">
      <c r="A842" s="3" t="s">
        <v>97</v>
      </c>
      <c r="B842" s="15">
        <v>30987.93</v>
      </c>
      <c r="C842" s="1" t="str">
        <f>IF(OR(Table14[[#This Row],[USD_Spend]]&gt;($B$4+1.5*$B$8),Table14[[#This Row],[USD_Spend]]&lt;($B$6-1.5*$B$8)),"Outlier","Normal")</f>
        <v>Normal</v>
      </c>
      <c r="D842" s="1">
        <v>306745</v>
      </c>
      <c r="E842" s="1">
        <v>6688</v>
      </c>
      <c r="F842" s="15">
        <v>208993.95</v>
      </c>
      <c r="G842" s="15" t="str">
        <f>IF(OR(Table14[[#This Row],[Sales]]&gt;($B$5+1.5*$B$9),Table14[[#This Row],[Sales]]&lt;($B$7-1.5*$B$9)),"Outlier","Normal")</f>
        <v>Normal</v>
      </c>
      <c r="H842" s="22"/>
      <c r="I842" s="22">
        <f>Table1[[#This Row],[Sales]]/Table1[[#This Row],[USD_Spend]]</f>
        <v>24.550497073781592</v>
      </c>
    </row>
    <row r="843" spans="1:9" x14ac:dyDescent="0.35">
      <c r="A843" s="3" t="s">
        <v>118</v>
      </c>
      <c r="B843" s="15">
        <v>52699.05</v>
      </c>
      <c r="C843" s="1" t="str">
        <f>IF(OR(Table14[[#This Row],[USD_Spend]]&gt;($B$4+1.5*$B$8),Table14[[#This Row],[USD_Spend]]&lt;($B$6-1.5*$B$8)),"Outlier","Normal")</f>
        <v>Normal</v>
      </c>
      <c r="D843" s="1">
        <v>231092</v>
      </c>
      <c r="E843" s="1">
        <v>40106</v>
      </c>
      <c r="F843" s="15">
        <v>128680.96000000001</v>
      </c>
      <c r="G843" s="15" t="str">
        <f>IF(OR(Table14[[#This Row],[Sales]]&gt;($B$5+1.5*$B$9),Table14[[#This Row],[Sales]]&lt;($B$7-1.5*$B$9)),"Outlier","Normal")</f>
        <v>Normal</v>
      </c>
      <c r="H843" s="22"/>
      <c r="I843" s="22">
        <f>Table1[[#This Row],[Sales]]/Table1[[#This Row],[USD_Spend]]</f>
        <v>337.56337165074802</v>
      </c>
    </row>
    <row r="844" spans="1:9" x14ac:dyDescent="0.35">
      <c r="A844" s="3" t="s">
        <v>114</v>
      </c>
      <c r="B844" s="15">
        <v>12392.94</v>
      </c>
      <c r="C844" s="1" t="str">
        <f>IF(OR(Table14[[#This Row],[USD_Spend]]&gt;($B$4+1.5*$B$8),Table14[[#This Row],[USD_Spend]]&lt;($B$6-1.5*$B$8)),"Outlier","Normal")</f>
        <v>Normal</v>
      </c>
      <c r="D844" s="1">
        <v>765781</v>
      </c>
      <c r="E844" s="1">
        <v>10171</v>
      </c>
      <c r="F844" s="15">
        <v>15733.72</v>
      </c>
      <c r="G844" s="15" t="str">
        <f>IF(OR(Table14[[#This Row],[Sales]]&gt;($B$5+1.5*$B$9),Table14[[#This Row],[Sales]]&lt;($B$7-1.5*$B$9)),"Outlier","Normal")</f>
        <v>Normal</v>
      </c>
      <c r="H844" s="22"/>
      <c r="I844" s="22">
        <f>Table1[[#This Row],[Sales]]/Table1[[#This Row],[USD_Spend]]</f>
        <v>1.8553970881116553</v>
      </c>
    </row>
    <row r="845" spans="1:9" x14ac:dyDescent="0.35">
      <c r="A845" s="3" t="s">
        <v>99</v>
      </c>
      <c r="B845" s="15">
        <v>6370.6</v>
      </c>
      <c r="C845" s="1" t="str">
        <f>IF(OR(Table14[[#This Row],[USD_Spend]]&gt;($B$4+1.5*$B$8),Table14[[#This Row],[USD_Spend]]&lt;($B$6-1.5*$B$8)),"Outlier","Normal")</f>
        <v>Normal</v>
      </c>
      <c r="D845" s="1">
        <v>561752</v>
      </c>
      <c r="E845" s="1">
        <v>43149</v>
      </c>
      <c r="F845" s="15">
        <v>65946.94</v>
      </c>
      <c r="G845" s="15" t="str">
        <f>IF(OR(Table14[[#This Row],[Sales]]&gt;($B$5+1.5*$B$9),Table14[[#This Row],[Sales]]&lt;($B$7-1.5*$B$9)),"Outlier","Normal")</f>
        <v>Normal</v>
      </c>
      <c r="H845" s="22"/>
      <c r="I845" s="22">
        <f>Table1[[#This Row],[Sales]]/Table1[[#This Row],[USD_Spend]]</f>
        <v>5.7254162550299998</v>
      </c>
    </row>
    <row r="846" spans="1:9" x14ac:dyDescent="0.35">
      <c r="A846" s="3" t="s">
        <v>34</v>
      </c>
      <c r="B846" s="15">
        <v>32719.49</v>
      </c>
      <c r="C846" s="1" t="str">
        <f>IF(OR(Table14[[#This Row],[USD_Spend]]&gt;($B$4+1.5*$B$8),Table14[[#This Row],[USD_Spend]]&lt;($B$6-1.5*$B$8)),"Outlier","Normal")</f>
        <v>Normal</v>
      </c>
      <c r="D846" s="1">
        <v>830628</v>
      </c>
      <c r="E846" s="1">
        <v>47890</v>
      </c>
      <c r="F846" s="15">
        <v>232498.79</v>
      </c>
      <c r="G846" s="15" t="str">
        <f>IF(OR(Table14[[#This Row],[Sales]]&gt;($B$5+1.5*$B$9),Table14[[#This Row],[Sales]]&lt;($B$7-1.5*$B$9)),"Outlier","Normal")</f>
        <v>Normal</v>
      </c>
      <c r="H846" s="22"/>
      <c r="I846" s="22">
        <f>Table1[[#This Row],[Sales]]/Table1[[#This Row],[USD_Spend]]</f>
        <v>10.355369614544758</v>
      </c>
    </row>
    <row r="847" spans="1:9" x14ac:dyDescent="0.35">
      <c r="A847" s="3" t="s">
        <v>83</v>
      </c>
      <c r="B847" s="15">
        <v>6414.82</v>
      </c>
      <c r="C847" s="1" t="str">
        <f>IF(OR(Table14[[#This Row],[USD_Spend]]&gt;($B$4+1.5*$B$8),Table14[[#This Row],[USD_Spend]]&lt;($B$6-1.5*$B$8)),"Outlier","Normal")</f>
        <v>Normal</v>
      </c>
      <c r="D847" s="1">
        <v>892725</v>
      </c>
      <c r="E847" s="1">
        <v>22714</v>
      </c>
      <c r="F847" s="15">
        <v>18309.82</v>
      </c>
      <c r="G847" s="15" t="str">
        <f>IF(OR(Table14[[#This Row],[Sales]]&gt;($B$5+1.5*$B$9),Table14[[#This Row],[Sales]]&lt;($B$7-1.5*$B$9)),"Outlier","Normal")</f>
        <v>Normal</v>
      </c>
      <c r="H847" s="22"/>
      <c r="I847" s="22">
        <f>Table1[[#This Row],[Sales]]/Table1[[#This Row],[USD_Spend]]</f>
        <v>11.043019467828895</v>
      </c>
    </row>
    <row r="848" spans="1:9" x14ac:dyDescent="0.35">
      <c r="A848" s="3" t="s">
        <v>87</v>
      </c>
      <c r="B848" s="15">
        <v>41225.760000000002</v>
      </c>
      <c r="C848" s="1" t="str">
        <f>IF(OR(Table14[[#This Row],[USD_Spend]]&gt;($B$4+1.5*$B$8),Table14[[#This Row],[USD_Spend]]&lt;($B$6-1.5*$B$8)),"Outlier","Normal")</f>
        <v>Normal</v>
      </c>
      <c r="D848" s="1">
        <v>112110</v>
      </c>
      <c r="E848" s="1">
        <v>21813</v>
      </c>
      <c r="F848" s="15">
        <v>104785.21</v>
      </c>
      <c r="G848" s="15" t="str">
        <f>IF(OR(Table14[[#This Row],[Sales]]&gt;($B$5+1.5*$B$9),Table14[[#This Row],[Sales]]&lt;($B$7-1.5*$B$9)),"Outlier","Normal")</f>
        <v>Normal</v>
      </c>
      <c r="H848" s="22"/>
      <c r="I848" s="22">
        <f>Table1[[#This Row],[Sales]]/Table1[[#This Row],[USD_Spend]]</f>
        <v>5.0014218025599249</v>
      </c>
    </row>
    <row r="849" spans="1:9" x14ac:dyDescent="0.35">
      <c r="A849" s="3" t="s">
        <v>110</v>
      </c>
      <c r="B849" s="15">
        <v>6062.04</v>
      </c>
      <c r="C849" s="1" t="str">
        <f>IF(OR(Table14[[#This Row],[USD_Spend]]&gt;($B$4+1.5*$B$8),Table14[[#This Row],[USD_Spend]]&lt;($B$6-1.5*$B$8)),"Outlier","Normal")</f>
        <v>Normal</v>
      </c>
      <c r="D849" s="1">
        <v>117798</v>
      </c>
      <c r="E849" s="1">
        <v>9697</v>
      </c>
      <c r="F849" s="15">
        <v>67712.210000000006</v>
      </c>
      <c r="G849" s="15" t="str">
        <f>IF(OR(Table14[[#This Row],[Sales]]&gt;($B$5+1.5*$B$9),Table14[[#This Row],[Sales]]&lt;($B$7-1.5*$B$9)),"Outlier","Normal")</f>
        <v>Normal</v>
      </c>
      <c r="H849" s="22"/>
      <c r="I849" s="22">
        <f>Table1[[#This Row],[Sales]]/Table1[[#This Row],[USD_Spend]]</f>
        <v>4.8514260144696308</v>
      </c>
    </row>
    <row r="850" spans="1:9" x14ac:dyDescent="0.35">
      <c r="A850" s="3" t="s">
        <v>117</v>
      </c>
      <c r="B850" s="15">
        <v>5555.37</v>
      </c>
      <c r="C850" s="1" t="str">
        <f>IF(OR(Table14[[#This Row],[USD_Spend]]&gt;($B$4+1.5*$B$8),Table14[[#This Row],[USD_Spend]]&lt;($B$6-1.5*$B$8)),"Outlier","Normal")</f>
        <v>Normal</v>
      </c>
      <c r="D850" s="1">
        <v>100259</v>
      </c>
      <c r="E850" s="1">
        <v>9513</v>
      </c>
      <c r="F850" s="15">
        <v>55907.03</v>
      </c>
      <c r="G850" s="15" t="str">
        <f>IF(OR(Table14[[#This Row],[Sales]]&gt;($B$5+1.5*$B$9),Table14[[#This Row],[Sales]]&lt;($B$7-1.5*$B$9)),"Outlier","Normal")</f>
        <v>Normal</v>
      </c>
      <c r="H850" s="22"/>
      <c r="I850" s="22">
        <f>Table1[[#This Row],[Sales]]/Table1[[#This Row],[USD_Spend]]</f>
        <v>3.3331344050974594</v>
      </c>
    </row>
    <row r="851" spans="1:9" x14ac:dyDescent="0.35">
      <c r="A851" s="3" t="s">
        <v>78</v>
      </c>
      <c r="B851" s="15">
        <v>27667.47</v>
      </c>
      <c r="C851" s="1" t="str">
        <f>IF(OR(Table14[[#This Row],[USD_Spend]]&gt;($B$4+1.5*$B$8),Table14[[#This Row],[USD_Spend]]&lt;($B$6-1.5*$B$8)),"Outlier","Normal")</f>
        <v>Normal</v>
      </c>
      <c r="D851" s="1">
        <v>797042</v>
      </c>
      <c r="E851" s="1">
        <v>18412</v>
      </c>
      <c r="F851" s="15">
        <v>118909.4</v>
      </c>
      <c r="G851" s="15" t="str">
        <f>IF(OR(Table14[[#This Row],[Sales]]&gt;($B$5+1.5*$B$9),Table14[[#This Row],[Sales]]&lt;($B$7-1.5*$B$9)),"Outlier","Normal")</f>
        <v>Normal</v>
      </c>
      <c r="H851" s="22"/>
      <c r="I851" s="22">
        <f>Table1[[#This Row],[Sales]]/Table1[[#This Row],[USD_Spend]]</f>
        <v>478.20382428088686</v>
      </c>
    </row>
    <row r="852" spans="1:9" x14ac:dyDescent="0.35">
      <c r="A852" s="3" t="s">
        <v>106</v>
      </c>
      <c r="B852" s="15">
        <v>1956.45</v>
      </c>
      <c r="C852" s="1" t="str">
        <f>IF(OR(Table14[[#This Row],[USD_Spend]]&gt;($B$4+1.5*$B$8),Table14[[#This Row],[USD_Spend]]&lt;($B$6-1.5*$B$8)),"Outlier","Normal")</f>
        <v>Normal</v>
      </c>
      <c r="D852" s="1">
        <v>793790</v>
      </c>
      <c r="E852" s="1">
        <v>27330</v>
      </c>
      <c r="F852" s="15">
        <v>48031.82</v>
      </c>
      <c r="G852" s="15" t="str">
        <f>IF(OR(Table14[[#This Row],[Sales]]&gt;($B$5+1.5*$B$9),Table14[[#This Row],[Sales]]&lt;($B$7-1.5*$B$9)),"Outlier","Normal")</f>
        <v>Normal</v>
      </c>
      <c r="H852" s="22"/>
      <c r="I852" s="22">
        <f>Table1[[#This Row],[Sales]]/Table1[[#This Row],[USD_Spend]]</f>
        <v>4.174445538024453</v>
      </c>
    </row>
    <row r="853" spans="1:9" x14ac:dyDescent="0.35">
      <c r="A853" s="3" t="s">
        <v>100</v>
      </c>
      <c r="B853" s="15">
        <v>473.24</v>
      </c>
      <c r="C853" s="1" t="str">
        <f>IF(OR(Table14[[#This Row],[USD_Spend]]&gt;($B$4+1.5*$B$8),Table14[[#This Row],[USD_Spend]]&lt;($B$6-1.5*$B$8)),"Outlier","Normal")</f>
        <v>Normal</v>
      </c>
      <c r="D853" s="1">
        <v>29535</v>
      </c>
      <c r="E853" s="1">
        <v>33338</v>
      </c>
      <c r="F853" s="15">
        <v>159748.49</v>
      </c>
      <c r="G853" s="15" t="str">
        <f>IF(OR(Table14[[#This Row],[Sales]]&gt;($B$5+1.5*$B$9),Table14[[#This Row],[Sales]]&lt;($B$7-1.5*$B$9)),"Outlier","Normal")</f>
        <v>Normal</v>
      </c>
      <c r="H853" s="22"/>
      <c r="I853" s="22">
        <f>Table1[[#This Row],[Sales]]/Table1[[#This Row],[USD_Spend]]</f>
        <v>14.826053468124133</v>
      </c>
    </row>
    <row r="854" spans="1:9" x14ac:dyDescent="0.35">
      <c r="A854" s="3" t="s">
        <v>94</v>
      </c>
      <c r="B854" s="15">
        <v>50105.63</v>
      </c>
      <c r="C854" s="1" t="str">
        <f>IF(OR(Table14[[#This Row],[USD_Spend]]&gt;($B$4+1.5*$B$8),Table14[[#This Row],[USD_Spend]]&lt;($B$6-1.5*$B$8)),"Outlier","Normal")</f>
        <v>Normal</v>
      </c>
      <c r="D854" s="1">
        <v>642829</v>
      </c>
      <c r="E854" s="1">
        <v>8704</v>
      </c>
      <c r="F854" s="15">
        <v>92965.84</v>
      </c>
      <c r="G854" s="15" t="str">
        <f>IF(OR(Table14[[#This Row],[Sales]]&gt;($B$5+1.5*$B$9),Table14[[#This Row],[Sales]]&lt;($B$7-1.5*$B$9)),"Outlier","Normal")</f>
        <v>Normal</v>
      </c>
      <c r="H854" s="22"/>
      <c r="I854" s="22">
        <f>Table1[[#This Row],[Sales]]/Table1[[#This Row],[USD_Spend]]</f>
        <v>3.8950115102543359</v>
      </c>
    </row>
    <row r="855" spans="1:9" x14ac:dyDescent="0.35">
      <c r="A855" s="3" t="s">
        <v>83</v>
      </c>
      <c r="B855" s="15">
        <v>10790.26</v>
      </c>
      <c r="C855" s="1" t="str">
        <f>IF(OR(Table14[[#This Row],[USD_Spend]]&gt;($B$4+1.5*$B$8),Table14[[#This Row],[USD_Spend]]&lt;($B$6-1.5*$B$8)),"Outlier","Normal")</f>
        <v>Normal</v>
      </c>
      <c r="D855" s="1">
        <v>239448</v>
      </c>
      <c r="E855" s="1">
        <v>32058</v>
      </c>
      <c r="F855" s="15">
        <v>61778.73</v>
      </c>
      <c r="G855" s="15" t="str">
        <f>IF(OR(Table14[[#This Row],[Sales]]&gt;($B$5+1.5*$B$9),Table14[[#This Row],[Sales]]&lt;($B$7-1.5*$B$9)),"Outlier","Normal")</f>
        <v>Normal</v>
      </c>
      <c r="H855" s="22"/>
      <c r="I855" s="22">
        <f>Table1[[#This Row],[Sales]]/Table1[[#This Row],[USD_Spend]]</f>
        <v>108.87440171787819</v>
      </c>
    </row>
    <row r="856" spans="1:9" x14ac:dyDescent="0.35">
      <c r="A856" s="3" t="s">
        <v>85</v>
      </c>
      <c r="B856" s="15">
        <v>19664.54</v>
      </c>
      <c r="C856" s="1" t="str">
        <f>IF(OR(Table14[[#This Row],[USD_Spend]]&gt;($B$4+1.5*$B$8),Table14[[#This Row],[USD_Spend]]&lt;($B$6-1.5*$B$8)),"Outlier","Normal")</f>
        <v>Normal</v>
      </c>
      <c r="D856" s="1">
        <v>712448</v>
      </c>
      <c r="E856" s="1">
        <v>48272</v>
      </c>
      <c r="F856" s="15">
        <v>203633.58</v>
      </c>
      <c r="G856" s="15" t="str">
        <f>IF(OR(Table14[[#This Row],[Sales]]&gt;($B$5+1.5*$B$9),Table14[[#This Row],[Sales]]&lt;($B$7-1.5*$B$9)),"Outlier","Normal")</f>
        <v>Normal</v>
      </c>
      <c r="H856" s="22"/>
      <c r="I856" s="22">
        <f>Table1[[#This Row],[Sales]]/Table1[[#This Row],[USD_Spend]]</f>
        <v>16.254568109410791</v>
      </c>
    </row>
    <row r="857" spans="1:9" x14ac:dyDescent="0.35">
      <c r="A857" s="3" t="s">
        <v>109</v>
      </c>
      <c r="B857" s="15">
        <v>15989.97</v>
      </c>
      <c r="C857" s="1" t="str">
        <f>IF(OR(Table14[[#This Row],[USD_Spend]]&gt;($B$4+1.5*$B$8),Table14[[#This Row],[USD_Spend]]&lt;($B$6-1.5*$B$8)),"Outlier","Normal")</f>
        <v>Normal</v>
      </c>
      <c r="D857" s="1">
        <v>488472</v>
      </c>
      <c r="E857" s="1">
        <v>22826</v>
      </c>
      <c r="F857" s="15">
        <v>176577.55</v>
      </c>
      <c r="G857" s="15" t="str">
        <f>IF(OR(Table14[[#This Row],[Sales]]&gt;($B$5+1.5*$B$9),Table14[[#This Row],[Sales]]&lt;($B$7-1.5*$B$9)),"Outlier","Normal")</f>
        <v>Normal</v>
      </c>
      <c r="H857" s="22"/>
      <c r="I857" s="22">
        <f>Table1[[#This Row],[Sales]]/Table1[[#This Row],[USD_Spend]]</f>
        <v>1.2953381423405441</v>
      </c>
    </row>
    <row r="858" spans="1:9" x14ac:dyDescent="0.35">
      <c r="A858" s="3" t="s">
        <v>71</v>
      </c>
      <c r="B858" s="15">
        <v>2939.93</v>
      </c>
      <c r="C858" s="1" t="str">
        <f>IF(OR(Table14[[#This Row],[USD_Spend]]&gt;($B$4+1.5*$B$8),Table14[[#This Row],[USD_Spend]]&lt;($B$6-1.5*$B$8)),"Outlier","Normal")</f>
        <v>Normal</v>
      </c>
      <c r="D858" s="1">
        <v>835198</v>
      </c>
      <c r="E858" s="1">
        <v>49939</v>
      </c>
      <c r="F858" s="15">
        <v>14703.83</v>
      </c>
      <c r="G858" s="15" t="str">
        <f>IF(OR(Table14[[#This Row],[Sales]]&gt;($B$5+1.5*$B$9),Table14[[#This Row],[Sales]]&lt;($B$7-1.5*$B$9)),"Outlier","Normal")</f>
        <v>Normal</v>
      </c>
      <c r="H858" s="22"/>
      <c r="I858" s="22">
        <f>Table1[[#This Row],[Sales]]/Table1[[#This Row],[USD_Spend]]</f>
        <v>99.26597615089284</v>
      </c>
    </row>
    <row r="859" spans="1:9" x14ac:dyDescent="0.35">
      <c r="A859" s="3" t="s">
        <v>64</v>
      </c>
      <c r="B859" s="15">
        <v>35443.89</v>
      </c>
      <c r="C859" s="1" t="str">
        <f>IF(OR(Table14[[#This Row],[USD_Spend]]&gt;($B$4+1.5*$B$8),Table14[[#This Row],[USD_Spend]]&lt;($B$6-1.5*$B$8)),"Outlier","Normal")</f>
        <v>Normal</v>
      </c>
      <c r="D859" s="1">
        <v>188501</v>
      </c>
      <c r="E859" s="1">
        <v>20751</v>
      </c>
      <c r="F859" s="15">
        <v>171953.41</v>
      </c>
      <c r="G859" s="15" t="str">
        <f>IF(OR(Table14[[#This Row],[Sales]]&gt;($B$5+1.5*$B$9),Table14[[#This Row],[Sales]]&lt;($B$7-1.5*$B$9)),"Outlier","Normal")</f>
        <v>Normal</v>
      </c>
      <c r="H859" s="22"/>
      <c r="I859" s="22">
        <f>Table1[[#This Row],[Sales]]/Table1[[#This Row],[USD_Spend]]</f>
        <v>2.9510170265635356</v>
      </c>
    </row>
    <row r="860" spans="1:9" x14ac:dyDescent="0.35">
      <c r="A860" s="3" t="s">
        <v>90</v>
      </c>
      <c r="B860" s="15">
        <v>21783.4</v>
      </c>
      <c r="C860" s="1" t="str">
        <f>IF(OR(Table14[[#This Row],[USD_Spend]]&gt;($B$4+1.5*$B$8),Table14[[#This Row],[USD_Spend]]&lt;($B$6-1.5*$B$8)),"Outlier","Normal")</f>
        <v>Normal</v>
      </c>
      <c r="D860" s="1">
        <v>259825</v>
      </c>
      <c r="E860" s="1">
        <v>42714</v>
      </c>
      <c r="F860" s="15">
        <v>72607</v>
      </c>
      <c r="G860" s="15" t="str">
        <f>IF(OR(Table14[[#This Row],[Sales]]&gt;($B$5+1.5*$B$9),Table14[[#This Row],[Sales]]&lt;($B$7-1.5*$B$9)),"Outlier","Normal")</f>
        <v>Normal</v>
      </c>
      <c r="H860" s="22"/>
      <c r="I860" s="22">
        <f>Table1[[#This Row],[Sales]]/Table1[[#This Row],[USD_Spend]]</f>
        <v>2.0297532178264506</v>
      </c>
    </row>
    <row r="861" spans="1:9" x14ac:dyDescent="0.35">
      <c r="A861" s="3" t="s">
        <v>98</v>
      </c>
      <c r="B861" s="15">
        <v>363.99</v>
      </c>
      <c r="C861" s="1" t="str">
        <f>IF(OR(Table14[[#This Row],[USD_Spend]]&gt;($B$4+1.5*$B$8),Table14[[#This Row],[USD_Spend]]&lt;($B$6-1.5*$B$8)),"Outlier","Normal")</f>
        <v>Normal</v>
      </c>
      <c r="D861" s="1">
        <v>462376</v>
      </c>
      <c r="E861" s="1">
        <v>1668</v>
      </c>
      <c r="F861" s="15">
        <v>174061.41</v>
      </c>
      <c r="G861" s="15" t="str">
        <f>IF(OR(Table14[[#This Row],[Sales]]&gt;($B$5+1.5*$B$9),Table14[[#This Row],[Sales]]&lt;($B$7-1.5*$B$9)),"Outlier","Normal")</f>
        <v>Normal</v>
      </c>
      <c r="H861" s="22"/>
      <c r="I861" s="22">
        <f>Table1[[#This Row],[Sales]]/Table1[[#This Row],[USD_Spend]]</f>
        <v>14.677193941450216</v>
      </c>
    </row>
    <row r="862" spans="1:9" x14ac:dyDescent="0.35">
      <c r="A862" s="3" t="s">
        <v>62</v>
      </c>
      <c r="B862" s="15">
        <v>24638.75</v>
      </c>
      <c r="C862" s="1" t="str">
        <f>IF(OR(Table14[[#This Row],[USD_Spend]]&gt;($B$4+1.5*$B$8),Table14[[#This Row],[USD_Spend]]&lt;($B$6-1.5*$B$8)),"Outlier","Normal")</f>
        <v>Normal</v>
      </c>
      <c r="D862" s="1">
        <v>459245</v>
      </c>
      <c r="E862" s="1">
        <v>38342</v>
      </c>
      <c r="F862" s="15">
        <v>102853.12</v>
      </c>
      <c r="G862" s="15" t="str">
        <f>IF(OR(Table14[[#This Row],[Sales]]&gt;($B$5+1.5*$B$9),Table14[[#This Row],[Sales]]&lt;($B$7-1.5*$B$9)),"Outlier","Normal")</f>
        <v>Normal</v>
      </c>
      <c r="H862" s="22"/>
      <c r="I862" s="22">
        <f>Table1[[#This Row],[Sales]]/Table1[[#This Row],[USD_Spend]]</f>
        <v>8.6327961250673315</v>
      </c>
    </row>
    <row r="863" spans="1:9" x14ac:dyDescent="0.35">
      <c r="A863" s="3" t="s">
        <v>96</v>
      </c>
      <c r="B863" s="15">
        <v>6024.15</v>
      </c>
      <c r="C863" s="1" t="str">
        <f>IF(OR(Table14[[#This Row],[USD_Spend]]&gt;($B$4+1.5*$B$8),Table14[[#This Row],[USD_Spend]]&lt;($B$6-1.5*$B$8)),"Outlier","Normal")</f>
        <v>Normal</v>
      </c>
      <c r="D863" s="1">
        <v>594572</v>
      </c>
      <c r="E863" s="1">
        <v>16989</v>
      </c>
      <c r="F863" s="15">
        <v>89314.37</v>
      </c>
      <c r="G863" s="15" t="str">
        <f>IF(OR(Table14[[#This Row],[Sales]]&gt;($B$5+1.5*$B$9),Table14[[#This Row],[Sales]]&lt;($B$7-1.5*$B$9)),"Outlier","Normal")</f>
        <v>Normal</v>
      </c>
      <c r="H863" s="22"/>
      <c r="I863" s="22">
        <f>Table1[[#This Row],[Sales]]/Table1[[#This Row],[USD_Spend]]</f>
        <v>8.6741568380598988</v>
      </c>
    </row>
    <row r="864" spans="1:9" x14ac:dyDescent="0.35">
      <c r="A864" s="3" t="s">
        <v>106</v>
      </c>
      <c r="B864" s="15">
        <v>39278.019999999997</v>
      </c>
      <c r="C864" s="1" t="str">
        <f>IF(OR(Table14[[#This Row],[USD_Spend]]&gt;($B$4+1.5*$B$8),Table14[[#This Row],[USD_Spend]]&lt;($B$6-1.5*$B$8)),"Outlier","Normal")</f>
        <v>Normal</v>
      </c>
      <c r="D864" s="1">
        <v>209903</v>
      </c>
      <c r="E864" s="1">
        <v>46344</v>
      </c>
      <c r="F864" s="15">
        <v>152988.34</v>
      </c>
      <c r="G864" s="15" t="str">
        <f>IF(OR(Table14[[#This Row],[Sales]]&gt;($B$5+1.5*$B$9),Table14[[#This Row],[Sales]]&lt;($B$7-1.5*$B$9)),"Outlier","Normal")</f>
        <v>Normal</v>
      </c>
      <c r="H864" s="22"/>
      <c r="I864" s="22">
        <f>Table1[[#This Row],[Sales]]/Table1[[#This Row],[USD_Spend]]</f>
        <v>2.7897252178844196</v>
      </c>
    </row>
    <row r="865" spans="1:9" x14ac:dyDescent="0.35">
      <c r="A865" s="3" t="s">
        <v>93</v>
      </c>
      <c r="B865" s="15">
        <v>1159.57</v>
      </c>
      <c r="C865" s="1" t="str">
        <f>IF(OR(Table14[[#This Row],[USD_Spend]]&gt;($B$4+1.5*$B$8),Table14[[#This Row],[USD_Spend]]&lt;($B$6-1.5*$B$8)),"Outlier","Normal")</f>
        <v>Normal</v>
      </c>
      <c r="D865" s="1">
        <v>951529</v>
      </c>
      <c r="E865" s="1">
        <v>15785</v>
      </c>
      <c r="F865" s="15">
        <v>126247.49</v>
      </c>
      <c r="G865" s="15" t="str">
        <f>IF(OR(Table14[[#This Row],[Sales]]&gt;($B$5+1.5*$B$9),Table14[[#This Row],[Sales]]&lt;($B$7-1.5*$B$9)),"Outlier","Normal")</f>
        <v>Normal</v>
      </c>
      <c r="H865" s="22"/>
      <c r="I865" s="22">
        <f>Table1[[#This Row],[Sales]]/Table1[[#This Row],[USD_Spend]]</f>
        <v>28.191988492928605</v>
      </c>
    </row>
    <row r="866" spans="1:9" x14ac:dyDescent="0.35">
      <c r="A866" s="3" t="s">
        <v>77</v>
      </c>
      <c r="B866" s="15">
        <v>2680.54</v>
      </c>
      <c r="C866" s="1" t="str">
        <f>IF(OR(Table14[[#This Row],[USD_Spend]]&gt;($B$4+1.5*$B$8),Table14[[#This Row],[USD_Spend]]&lt;($B$6-1.5*$B$8)),"Outlier","Normal")</f>
        <v>Normal</v>
      </c>
      <c r="D866" s="1">
        <v>537276</v>
      </c>
      <c r="E866" s="1">
        <v>34907</v>
      </c>
      <c r="F866" s="15">
        <v>43571.02</v>
      </c>
      <c r="G866" s="15" t="str">
        <f>IF(OR(Table14[[#This Row],[Sales]]&gt;($B$5+1.5*$B$9),Table14[[#This Row],[Sales]]&lt;($B$7-1.5*$B$9)),"Outlier","Normal")</f>
        <v>Normal</v>
      </c>
      <c r="H866" s="22"/>
      <c r="I866" s="22">
        <f>Table1[[#This Row],[Sales]]/Table1[[#This Row],[USD_Spend]]</f>
        <v>86.103453732016362</v>
      </c>
    </row>
    <row r="867" spans="1:9" x14ac:dyDescent="0.35">
      <c r="A867" s="3" t="s">
        <v>101</v>
      </c>
      <c r="B867" s="15">
        <v>18013.419999999998</v>
      </c>
      <c r="C867" s="1" t="str">
        <f>IF(OR(Table14[[#This Row],[USD_Spend]]&gt;($B$4+1.5*$B$8),Table14[[#This Row],[USD_Spend]]&lt;($B$6-1.5*$B$8)),"Outlier","Normal")</f>
        <v>Normal</v>
      </c>
      <c r="D867" s="1">
        <v>678169</v>
      </c>
      <c r="E867" s="1">
        <v>25944</v>
      </c>
      <c r="F867" s="15">
        <v>23333.47</v>
      </c>
      <c r="G867" s="15" t="str">
        <f>IF(OR(Table14[[#This Row],[Sales]]&gt;($B$5+1.5*$B$9),Table14[[#This Row],[Sales]]&lt;($B$7-1.5*$B$9)),"Outlier","Normal")</f>
        <v>Normal</v>
      </c>
      <c r="H867" s="22"/>
      <c r="I867" s="22">
        <f>Table1[[#This Row],[Sales]]/Table1[[#This Row],[USD_Spend]]</f>
        <v>7.8114839623144787</v>
      </c>
    </row>
    <row r="868" spans="1:9" x14ac:dyDescent="0.35">
      <c r="A868" s="3" t="s">
        <v>94</v>
      </c>
      <c r="B868" s="15">
        <v>1672.18</v>
      </c>
      <c r="C868" s="1" t="str">
        <f>IF(OR(Table14[[#This Row],[USD_Spend]]&gt;($B$4+1.5*$B$8),Table14[[#This Row],[USD_Spend]]&lt;($B$6-1.5*$B$8)),"Outlier","Normal")</f>
        <v>Normal</v>
      </c>
      <c r="D868" s="1">
        <v>262838</v>
      </c>
      <c r="E868" s="1">
        <v>48134</v>
      </c>
      <c r="F868" s="15">
        <v>165990.57999999999</v>
      </c>
      <c r="G868" s="15" t="str">
        <f>IF(OR(Table14[[#This Row],[Sales]]&gt;($B$5+1.5*$B$9),Table14[[#This Row],[Sales]]&lt;($B$7-1.5*$B$9)),"Outlier","Normal")</f>
        <v>Normal</v>
      </c>
      <c r="H868" s="22"/>
      <c r="I868" s="22">
        <f>Table1[[#This Row],[Sales]]/Table1[[#This Row],[USD_Spend]]</f>
        <v>7.7620272835103865</v>
      </c>
    </row>
    <row r="869" spans="1:9" x14ac:dyDescent="0.35">
      <c r="A869" s="3" t="s">
        <v>94</v>
      </c>
      <c r="B869" s="15">
        <v>48847.79</v>
      </c>
      <c r="C869" s="1" t="str">
        <f>IF(OR(Table14[[#This Row],[USD_Spend]]&gt;($B$4+1.5*$B$8),Table14[[#This Row],[USD_Spend]]&lt;($B$6-1.5*$B$8)),"Outlier","Normal")</f>
        <v>Normal</v>
      </c>
      <c r="D869" s="1">
        <v>19717</v>
      </c>
      <c r="E869" s="1">
        <v>19655</v>
      </c>
      <c r="F869" s="15">
        <v>144150.66</v>
      </c>
      <c r="G869" s="15" t="str">
        <f>IF(OR(Table14[[#This Row],[Sales]]&gt;($B$5+1.5*$B$9),Table14[[#This Row],[Sales]]&lt;($B$7-1.5*$B$9)),"Outlier","Normal")</f>
        <v>Normal</v>
      </c>
      <c r="H869" s="22"/>
      <c r="I869" s="22">
        <f>Table1[[#This Row],[Sales]]/Table1[[#This Row],[USD_Spend]]</f>
        <v>11.329772954200131</v>
      </c>
    </row>
    <row r="870" spans="1:9" x14ac:dyDescent="0.35">
      <c r="A870" s="3" t="s">
        <v>120</v>
      </c>
      <c r="B870" s="15">
        <v>28100.49</v>
      </c>
      <c r="C870" s="1" t="str">
        <f>IF(OR(Table14[[#This Row],[USD_Spend]]&gt;($B$4+1.5*$B$8),Table14[[#This Row],[USD_Spend]]&lt;($B$6-1.5*$B$8)),"Outlier","Normal")</f>
        <v>Normal</v>
      </c>
      <c r="D870" s="1">
        <v>705350</v>
      </c>
      <c r="E870" s="1">
        <v>38482</v>
      </c>
      <c r="F870" s="15">
        <v>57037.06</v>
      </c>
      <c r="G870" s="15" t="str">
        <f>IF(OR(Table14[[#This Row],[Sales]]&gt;($B$5+1.5*$B$9),Table14[[#This Row],[Sales]]&lt;($B$7-1.5*$B$9)),"Outlier","Normal")</f>
        <v>Normal</v>
      </c>
      <c r="H870" s="22"/>
      <c r="I870" s="22">
        <f>Table1[[#This Row],[Sales]]/Table1[[#This Row],[USD_Spend]]</f>
        <v>14.055914167478868</v>
      </c>
    </row>
    <row r="871" spans="1:9" x14ac:dyDescent="0.35">
      <c r="A871" s="3" t="s">
        <v>81</v>
      </c>
      <c r="B871" s="15">
        <v>9549.48</v>
      </c>
      <c r="C871" s="1" t="str">
        <f>IF(OR(Table14[[#This Row],[USD_Spend]]&gt;($B$4+1.5*$B$8),Table14[[#This Row],[USD_Spend]]&lt;($B$6-1.5*$B$8)),"Outlier","Normal")</f>
        <v>Normal</v>
      </c>
      <c r="D871" s="1">
        <v>720737</v>
      </c>
      <c r="E871" s="1">
        <v>34944</v>
      </c>
      <c r="F871" s="15">
        <v>140159.57</v>
      </c>
      <c r="G871" s="15" t="str">
        <f>IF(OR(Table14[[#This Row],[Sales]]&gt;($B$5+1.5*$B$9),Table14[[#This Row],[Sales]]&lt;($B$7-1.5*$B$9)),"Outlier","Normal")</f>
        <v>Normal</v>
      </c>
      <c r="H871" s="22"/>
      <c r="I871" s="22">
        <f>Table1[[#This Row],[Sales]]/Table1[[#This Row],[USD_Spend]]</f>
        <v>15.561022954415893</v>
      </c>
    </row>
    <row r="872" spans="1:9" x14ac:dyDescent="0.35">
      <c r="A872" s="3" t="s">
        <v>67</v>
      </c>
      <c r="B872" s="15">
        <v>14332.12</v>
      </c>
      <c r="C872" s="1" t="str">
        <f>IF(OR(Table14[[#This Row],[USD_Spend]]&gt;($B$4+1.5*$B$8),Table14[[#This Row],[USD_Spend]]&lt;($B$6-1.5*$B$8)),"Outlier","Normal")</f>
        <v>Normal</v>
      </c>
      <c r="D872" s="1">
        <v>825451</v>
      </c>
      <c r="E872" s="1">
        <v>34263</v>
      </c>
      <c r="F872" s="15">
        <v>123726.27</v>
      </c>
      <c r="G872" s="15" t="str">
        <f>IF(OR(Table14[[#This Row],[Sales]]&gt;($B$5+1.5*$B$9),Table14[[#This Row],[Sales]]&lt;($B$7-1.5*$B$9)),"Outlier","Normal")</f>
        <v>Normal</v>
      </c>
      <c r="H872" s="22"/>
      <c r="I872" s="22">
        <f>Table1[[#This Row],[Sales]]/Table1[[#This Row],[USD_Spend]]</f>
        <v>8.0838984758818704</v>
      </c>
    </row>
    <row r="873" spans="1:9" x14ac:dyDescent="0.35">
      <c r="A873" s="3" t="s">
        <v>92</v>
      </c>
      <c r="B873" s="15">
        <v>21732.48</v>
      </c>
      <c r="C873" s="1" t="str">
        <f>IF(OR(Table14[[#This Row],[USD_Spend]]&gt;($B$4+1.5*$B$8),Table14[[#This Row],[USD_Spend]]&lt;($B$6-1.5*$B$8)),"Outlier","Normal")</f>
        <v>Normal</v>
      </c>
      <c r="D873" s="1">
        <v>503152</v>
      </c>
      <c r="E873" s="1">
        <v>1370</v>
      </c>
      <c r="F873" s="15">
        <v>188510.94</v>
      </c>
      <c r="G873" s="15" t="str">
        <f>IF(OR(Table14[[#This Row],[Sales]]&gt;($B$5+1.5*$B$9),Table14[[#This Row],[Sales]]&lt;($B$7-1.5*$B$9)),"Outlier","Normal")</f>
        <v>Normal</v>
      </c>
      <c r="H873" s="22"/>
      <c r="I873" s="22">
        <f>Table1[[#This Row],[Sales]]/Table1[[#This Row],[USD_Spend]]</f>
        <v>30.455957431791266</v>
      </c>
    </row>
    <row r="874" spans="1:9" x14ac:dyDescent="0.35">
      <c r="A874" s="3" t="s">
        <v>72</v>
      </c>
      <c r="B874" s="15">
        <v>28496.76</v>
      </c>
      <c r="C874" s="1" t="str">
        <f>IF(OR(Table14[[#This Row],[USD_Spend]]&gt;($B$4+1.5*$B$8),Table14[[#This Row],[USD_Spend]]&lt;($B$6-1.5*$B$8)),"Outlier","Normal")</f>
        <v>Normal</v>
      </c>
      <c r="D874" s="1">
        <v>901090</v>
      </c>
      <c r="E874" s="1">
        <v>46603</v>
      </c>
      <c r="F874" s="15">
        <v>79498.13</v>
      </c>
      <c r="G874" s="15" t="str">
        <f>IF(OR(Table14[[#This Row],[Sales]]&gt;($B$5+1.5*$B$9),Table14[[#This Row],[Sales]]&lt;($B$7-1.5*$B$9)),"Outlier","Normal")</f>
        <v>Normal</v>
      </c>
      <c r="H874" s="22"/>
      <c r="I874" s="22">
        <f>Table1[[#This Row],[Sales]]/Table1[[#This Row],[USD_Spend]]</f>
        <v>12.761490493826072</v>
      </c>
    </row>
    <row r="875" spans="1:9" x14ac:dyDescent="0.35">
      <c r="A875" s="3" t="s">
        <v>34</v>
      </c>
      <c r="B875" s="15">
        <v>3775.07</v>
      </c>
      <c r="C875" s="1" t="str">
        <f>IF(OR(Table14[[#This Row],[USD_Spend]]&gt;($B$4+1.5*$B$8),Table14[[#This Row],[USD_Spend]]&lt;($B$6-1.5*$B$8)),"Outlier","Normal")</f>
        <v>Normal</v>
      </c>
      <c r="D875" s="1">
        <v>370491</v>
      </c>
      <c r="E875" s="1">
        <v>35584</v>
      </c>
      <c r="F875" s="15">
        <v>106426.73</v>
      </c>
      <c r="G875" s="15" t="str">
        <f>IF(OR(Table14[[#This Row],[Sales]]&gt;($B$5+1.5*$B$9),Table14[[#This Row],[Sales]]&lt;($B$7-1.5*$B$9)),"Outlier","Normal")</f>
        <v>Normal</v>
      </c>
      <c r="H875" s="22"/>
      <c r="I875" s="22">
        <f>Table1[[#This Row],[Sales]]/Table1[[#This Row],[USD_Spend]]</f>
        <v>48.858502734652632</v>
      </c>
    </row>
    <row r="876" spans="1:9" x14ac:dyDescent="0.35">
      <c r="A876" s="3" t="s">
        <v>87</v>
      </c>
      <c r="B876" s="15">
        <v>2527.9899999999998</v>
      </c>
      <c r="C876" s="1" t="str">
        <f>IF(OR(Table14[[#This Row],[USD_Spend]]&gt;($B$4+1.5*$B$8),Table14[[#This Row],[USD_Spend]]&lt;($B$6-1.5*$B$8)),"Outlier","Normal")</f>
        <v>Normal</v>
      </c>
      <c r="D876" s="1">
        <v>117458</v>
      </c>
      <c r="E876" s="1">
        <v>40477</v>
      </c>
      <c r="F876" s="15">
        <v>217668.67</v>
      </c>
      <c r="G876" s="15" t="str">
        <f>IF(OR(Table14[[#This Row],[Sales]]&gt;($B$5+1.5*$B$9),Table14[[#This Row],[Sales]]&lt;($B$7-1.5*$B$9)),"Outlier","Normal")</f>
        <v>Normal</v>
      </c>
      <c r="H876" s="22"/>
      <c r="I876" s="22">
        <f>Table1[[#This Row],[Sales]]/Table1[[#This Row],[USD_Spend]]</f>
        <v>63.231495487022741</v>
      </c>
    </row>
    <row r="877" spans="1:9" x14ac:dyDescent="0.35">
      <c r="A877" s="3" t="s">
        <v>107</v>
      </c>
      <c r="B877" s="15">
        <v>20806.93</v>
      </c>
      <c r="C877" s="1" t="str">
        <f>IF(OR(Table14[[#This Row],[USD_Spend]]&gt;($B$4+1.5*$B$8),Table14[[#This Row],[USD_Spend]]&lt;($B$6-1.5*$B$8)),"Outlier","Normal")</f>
        <v>Normal</v>
      </c>
      <c r="D877" s="1">
        <v>979045</v>
      </c>
      <c r="E877" s="1">
        <v>37094</v>
      </c>
      <c r="F877" s="15">
        <v>162533</v>
      </c>
      <c r="G877" s="15" t="str">
        <f>IF(OR(Table14[[#This Row],[Sales]]&gt;($B$5+1.5*$B$9),Table14[[#This Row],[Sales]]&lt;($B$7-1.5*$B$9)),"Outlier","Normal")</f>
        <v>Normal</v>
      </c>
      <c r="H877" s="22"/>
      <c r="I877" s="22">
        <f>Table1[[#This Row],[Sales]]/Table1[[#This Row],[USD_Spend]]</f>
        <v>4.3090619008989233</v>
      </c>
    </row>
    <row r="878" spans="1:9" x14ac:dyDescent="0.35">
      <c r="A878" s="3" t="s">
        <v>84</v>
      </c>
      <c r="B878" s="15">
        <v>26860.18</v>
      </c>
      <c r="C878" s="1" t="str">
        <f>IF(OR(Table14[[#This Row],[USD_Spend]]&gt;($B$4+1.5*$B$8),Table14[[#This Row],[USD_Spend]]&lt;($B$6-1.5*$B$8)),"Outlier","Normal")</f>
        <v>Normal</v>
      </c>
      <c r="D878" s="1">
        <v>539298</v>
      </c>
      <c r="E878" s="1">
        <v>28066</v>
      </c>
      <c r="F878" s="15">
        <v>208489.45</v>
      </c>
      <c r="G878" s="15" t="str">
        <f>IF(OR(Table14[[#This Row],[Sales]]&gt;($B$5+1.5*$B$9),Table14[[#This Row],[Sales]]&lt;($B$7-1.5*$B$9)),"Outlier","Normal")</f>
        <v>Normal</v>
      </c>
      <c r="H878" s="22"/>
      <c r="I878" s="22">
        <f>Table1[[#This Row],[Sales]]/Table1[[#This Row],[USD_Spend]]</f>
        <v>8.9106363890722662</v>
      </c>
    </row>
    <row r="879" spans="1:9" x14ac:dyDescent="0.35">
      <c r="A879" s="3" t="s">
        <v>106</v>
      </c>
      <c r="B879" s="15">
        <v>11517.5</v>
      </c>
      <c r="C879" s="1" t="str">
        <f>IF(OR(Table14[[#This Row],[USD_Spend]]&gt;($B$4+1.5*$B$8),Table14[[#This Row],[USD_Spend]]&lt;($B$6-1.5*$B$8)),"Outlier","Normal")</f>
        <v>Normal</v>
      </c>
      <c r="D879" s="1">
        <v>264432</v>
      </c>
      <c r="E879" s="1">
        <v>38132</v>
      </c>
      <c r="F879" s="15">
        <v>130490.66</v>
      </c>
      <c r="G879" s="15" t="str">
        <f>IF(OR(Table14[[#This Row],[Sales]]&gt;($B$5+1.5*$B$9),Table14[[#This Row],[Sales]]&lt;($B$7-1.5*$B$9)),"Outlier","Normal")</f>
        <v>Normal</v>
      </c>
      <c r="H879" s="22"/>
      <c r="I879" s="22">
        <f>Table1[[#This Row],[Sales]]/Table1[[#This Row],[USD_Spend]]</f>
        <v>192.29933412222468</v>
      </c>
    </row>
    <row r="880" spans="1:9" x14ac:dyDescent="0.35">
      <c r="A880" s="3" t="s">
        <v>108</v>
      </c>
      <c r="B880" s="15">
        <v>2503.48</v>
      </c>
      <c r="C880" s="1" t="str">
        <f>IF(OR(Table14[[#This Row],[USD_Spend]]&gt;($B$4+1.5*$B$8),Table14[[#This Row],[USD_Spend]]&lt;($B$6-1.5*$B$8)),"Outlier","Normal")</f>
        <v>Normal</v>
      </c>
      <c r="D880" s="1">
        <v>714791</v>
      </c>
      <c r="E880" s="1">
        <v>38688</v>
      </c>
      <c r="F880" s="15">
        <v>35188.699999999997</v>
      </c>
      <c r="G880" s="15" t="str">
        <f>IF(OR(Table14[[#This Row],[Sales]]&gt;($B$5+1.5*$B$9),Table14[[#This Row],[Sales]]&lt;($B$7-1.5*$B$9)),"Outlier","Normal")</f>
        <v>Normal</v>
      </c>
      <c r="H880" s="22"/>
      <c r="I880" s="22">
        <f>Table1[[#This Row],[Sales]]/Table1[[#This Row],[USD_Spend]]</f>
        <v>206.67581743272066</v>
      </c>
    </row>
    <row r="881" spans="1:9" x14ac:dyDescent="0.35">
      <c r="A881" s="3" t="s">
        <v>90</v>
      </c>
      <c r="B881" s="15">
        <v>4157.37</v>
      </c>
      <c r="C881" s="1" t="str">
        <f>IF(OR(Table14[[#This Row],[USD_Spend]]&gt;($B$4+1.5*$B$8),Table14[[#This Row],[USD_Spend]]&lt;($B$6-1.5*$B$8)),"Outlier","Normal")</f>
        <v>Normal</v>
      </c>
      <c r="D881" s="1">
        <v>183021</v>
      </c>
      <c r="E881" s="1">
        <v>28848</v>
      </c>
      <c r="F881" s="15">
        <v>64692.93</v>
      </c>
      <c r="G881" s="15" t="str">
        <f>IF(OR(Table14[[#This Row],[Sales]]&gt;($B$5+1.5*$B$9),Table14[[#This Row],[Sales]]&lt;($B$7-1.5*$B$9)),"Outlier","Normal")</f>
        <v>Normal</v>
      </c>
      <c r="H881" s="22"/>
      <c r="I881" s="22">
        <f>Table1[[#This Row],[Sales]]/Table1[[#This Row],[USD_Spend]]</f>
        <v>5.4175502225361836</v>
      </c>
    </row>
    <row r="882" spans="1:9" x14ac:dyDescent="0.35">
      <c r="A882" s="3" t="s">
        <v>117</v>
      </c>
      <c r="B882" s="15">
        <v>26743.99</v>
      </c>
      <c r="C882" s="1" t="str">
        <f>IF(OR(Table14[[#This Row],[USD_Spend]]&gt;($B$4+1.5*$B$8),Table14[[#This Row],[USD_Spend]]&lt;($B$6-1.5*$B$8)),"Outlier","Normal")</f>
        <v>Normal</v>
      </c>
      <c r="D882" s="1">
        <v>493100</v>
      </c>
      <c r="E882" s="1">
        <v>38558</v>
      </c>
      <c r="F882" s="15">
        <v>216195.7</v>
      </c>
      <c r="G882" s="15" t="str">
        <f>IF(OR(Table14[[#This Row],[Sales]]&gt;($B$5+1.5*$B$9),Table14[[#This Row],[Sales]]&lt;($B$7-1.5*$B$9)),"Outlier","Normal")</f>
        <v>Normal</v>
      </c>
      <c r="H882" s="22"/>
      <c r="I882" s="22">
        <f>Table1[[#This Row],[Sales]]/Table1[[#This Row],[USD_Spend]]</f>
        <v>94.605755967690442</v>
      </c>
    </row>
    <row r="883" spans="1:9" x14ac:dyDescent="0.35">
      <c r="A883" s="3" t="s">
        <v>66</v>
      </c>
      <c r="B883" s="15">
        <v>2550.2600000000002</v>
      </c>
      <c r="C883" s="1" t="str">
        <f>IF(OR(Table14[[#This Row],[USD_Spend]]&gt;($B$4+1.5*$B$8),Table14[[#This Row],[USD_Spend]]&lt;($B$6-1.5*$B$8)),"Outlier","Normal")</f>
        <v>Normal</v>
      </c>
      <c r="D883" s="1">
        <v>402716</v>
      </c>
      <c r="E883" s="1">
        <v>32784</v>
      </c>
      <c r="F883" s="15">
        <v>77670.61</v>
      </c>
      <c r="G883" s="15" t="str">
        <f>IF(OR(Table14[[#This Row],[Sales]]&gt;($B$5+1.5*$B$9),Table14[[#This Row],[Sales]]&lt;($B$7-1.5*$B$9)),"Outlier","Normal")</f>
        <v>Normal</v>
      </c>
      <c r="H883" s="22"/>
      <c r="I883" s="22">
        <f>Table1[[#This Row],[Sales]]/Table1[[#This Row],[USD_Spend]]</f>
        <v>4.612283113033433</v>
      </c>
    </row>
    <row r="884" spans="1:9" x14ac:dyDescent="0.35">
      <c r="A884" s="3" t="s">
        <v>34</v>
      </c>
      <c r="B884" s="15">
        <v>4525.4799999999996</v>
      </c>
      <c r="C884" s="1" t="str">
        <f>IF(OR(Table14[[#This Row],[USD_Spend]]&gt;($B$4+1.5*$B$8),Table14[[#This Row],[USD_Spend]]&lt;($B$6-1.5*$B$8)),"Outlier","Normal")</f>
        <v>Normal</v>
      </c>
      <c r="D884" s="1">
        <v>301369</v>
      </c>
      <c r="E884" s="1">
        <v>10289</v>
      </c>
      <c r="F884" s="15">
        <v>57751.87</v>
      </c>
      <c r="G884" s="15" t="str">
        <f>IF(OR(Table14[[#This Row],[Sales]]&gt;($B$5+1.5*$B$9),Table14[[#This Row],[Sales]]&lt;($B$7-1.5*$B$9)),"Outlier","Normal")</f>
        <v>Normal</v>
      </c>
      <c r="H884" s="22"/>
      <c r="I884" s="22">
        <f>Table1[[#This Row],[Sales]]/Table1[[#This Row],[USD_Spend]]</f>
        <v>4.2259786396629098</v>
      </c>
    </row>
    <row r="885" spans="1:9" x14ac:dyDescent="0.35">
      <c r="A885" s="3" t="s">
        <v>97</v>
      </c>
      <c r="B885" s="15">
        <v>4938.47</v>
      </c>
      <c r="C885" s="1" t="str">
        <f>IF(OR(Table14[[#This Row],[USD_Spend]]&gt;($B$4+1.5*$B$8),Table14[[#This Row],[USD_Spend]]&lt;($B$6-1.5*$B$8)),"Outlier","Normal")</f>
        <v>Normal</v>
      </c>
      <c r="D885" s="1">
        <v>880196</v>
      </c>
      <c r="E885" s="1">
        <v>41627</v>
      </c>
      <c r="F885" s="15">
        <v>241286.25</v>
      </c>
      <c r="G885" s="15" t="str">
        <f>IF(OR(Table14[[#This Row],[Sales]]&gt;($B$5+1.5*$B$9),Table14[[#This Row],[Sales]]&lt;($B$7-1.5*$B$9)),"Outlier","Normal")</f>
        <v>Normal</v>
      </c>
      <c r="H885" s="22"/>
      <c r="I885" s="22">
        <f>Table1[[#This Row],[Sales]]/Table1[[#This Row],[USD_Spend]]</f>
        <v>2.8399646672683247</v>
      </c>
    </row>
    <row r="886" spans="1:9" x14ac:dyDescent="0.35">
      <c r="A886" s="3" t="s">
        <v>82</v>
      </c>
      <c r="B886" s="15">
        <v>3827.85</v>
      </c>
      <c r="C886" s="1" t="str">
        <f>IF(OR(Table14[[#This Row],[USD_Spend]]&gt;($B$4+1.5*$B$8),Table14[[#This Row],[USD_Spend]]&lt;($B$6-1.5*$B$8)),"Outlier","Normal")</f>
        <v>Normal</v>
      </c>
      <c r="D886" s="1">
        <v>591409</v>
      </c>
      <c r="E886" s="1">
        <v>2677</v>
      </c>
      <c r="F886" s="15">
        <v>242040.68</v>
      </c>
      <c r="G886" s="15" t="str">
        <f>IF(OR(Table14[[#This Row],[Sales]]&gt;($B$5+1.5*$B$9),Table14[[#This Row],[Sales]]&lt;($B$7-1.5*$B$9)),"Outlier","Normal")</f>
        <v>Normal</v>
      </c>
      <c r="H886" s="22"/>
      <c r="I886" s="22">
        <f>Table1[[#This Row],[Sales]]/Table1[[#This Row],[USD_Spend]]</f>
        <v>2.7446823167719345</v>
      </c>
    </row>
    <row r="887" spans="1:9" x14ac:dyDescent="0.35">
      <c r="A887" s="3" t="s">
        <v>68</v>
      </c>
      <c r="B887" s="15">
        <v>8517.9699999999993</v>
      </c>
      <c r="C887" s="1" t="str">
        <f>IF(OR(Table14[[#This Row],[USD_Spend]]&gt;($B$4+1.5*$B$8),Table14[[#This Row],[USD_Spend]]&lt;($B$6-1.5*$B$8)),"Outlier","Normal")</f>
        <v>Normal</v>
      </c>
      <c r="D887" s="1">
        <v>523358</v>
      </c>
      <c r="E887" s="1">
        <v>5869</v>
      </c>
      <c r="F887" s="15">
        <v>36704.46</v>
      </c>
      <c r="G887" s="15" t="str">
        <f>IF(OR(Table14[[#This Row],[Sales]]&gt;($B$5+1.5*$B$9),Table14[[#This Row],[Sales]]&lt;($B$7-1.5*$B$9)),"Outlier","Normal")</f>
        <v>Normal</v>
      </c>
      <c r="H887" s="22"/>
      <c r="I887" s="22">
        <f>Table1[[#This Row],[Sales]]/Table1[[#This Row],[USD_Spend]]</f>
        <v>53.983863067886531</v>
      </c>
    </row>
    <row r="888" spans="1:9" x14ac:dyDescent="0.35">
      <c r="A888" s="3" t="s">
        <v>18</v>
      </c>
      <c r="B888" s="15">
        <v>20086.14</v>
      </c>
      <c r="C888" s="1" t="str">
        <f>IF(OR(Table14[[#This Row],[USD_Spend]]&gt;($B$4+1.5*$B$8),Table14[[#This Row],[USD_Spend]]&lt;($B$6-1.5*$B$8)),"Outlier","Normal")</f>
        <v>Normal</v>
      </c>
      <c r="D888" s="1">
        <v>998464</v>
      </c>
      <c r="E888" s="1">
        <v>43822</v>
      </c>
      <c r="F888" s="15">
        <v>178980.29</v>
      </c>
      <c r="G888" s="15" t="str">
        <f>IF(OR(Table14[[#This Row],[Sales]]&gt;($B$5+1.5*$B$9),Table14[[#This Row],[Sales]]&lt;($B$7-1.5*$B$9)),"Outlier","Normal")</f>
        <v>Normal</v>
      </c>
      <c r="H888" s="22"/>
      <c r="I888" s="22">
        <f>Table1[[#This Row],[Sales]]/Table1[[#This Row],[USD_Spend]]</f>
        <v>15.165272762608421</v>
      </c>
    </row>
    <row r="889" spans="1:9" x14ac:dyDescent="0.35">
      <c r="A889" s="3" t="s">
        <v>109</v>
      </c>
      <c r="B889" s="15">
        <v>997.18</v>
      </c>
      <c r="C889" s="1" t="str">
        <f>IF(OR(Table14[[#This Row],[USD_Spend]]&gt;($B$4+1.5*$B$8),Table14[[#This Row],[USD_Spend]]&lt;($B$6-1.5*$B$8)),"Outlier","Normal")</f>
        <v>Normal</v>
      </c>
      <c r="D889" s="1">
        <v>152514</v>
      </c>
      <c r="E889" s="1">
        <v>32593</v>
      </c>
      <c r="F889" s="15">
        <v>191757.05</v>
      </c>
      <c r="G889" s="15" t="str">
        <f>IF(OR(Table14[[#This Row],[Sales]]&gt;($B$5+1.5*$B$9),Table14[[#This Row],[Sales]]&lt;($B$7-1.5*$B$9)),"Outlier","Normal")</f>
        <v>Normal</v>
      </c>
      <c r="H889" s="22"/>
      <c r="I889" s="22">
        <f>Table1[[#This Row],[Sales]]/Table1[[#This Row],[USD_Spend]]</f>
        <v>5.4342820002075927</v>
      </c>
    </row>
    <row r="890" spans="1:9" x14ac:dyDescent="0.35">
      <c r="A890" s="3" t="s">
        <v>77</v>
      </c>
      <c r="B890" s="15">
        <v>684.46</v>
      </c>
      <c r="C890" s="1" t="str">
        <f>IF(OR(Table14[[#This Row],[USD_Spend]]&gt;($B$4+1.5*$B$8),Table14[[#This Row],[USD_Spend]]&lt;($B$6-1.5*$B$8)),"Outlier","Normal")</f>
        <v>Normal</v>
      </c>
      <c r="D890" s="1">
        <v>461914</v>
      </c>
      <c r="E890" s="1">
        <v>29515</v>
      </c>
      <c r="F890" s="15">
        <v>141461.32999999999</v>
      </c>
      <c r="G890" s="15" t="str">
        <f>IF(OR(Table14[[#This Row],[Sales]]&gt;($B$5+1.5*$B$9),Table14[[#This Row],[Sales]]&lt;($B$7-1.5*$B$9)),"Outlier","Normal")</f>
        <v>Normal</v>
      </c>
      <c r="H890" s="22"/>
      <c r="I890" s="22">
        <f>Table1[[#This Row],[Sales]]/Table1[[#This Row],[USD_Spend]]</f>
        <v>5.730418137166402</v>
      </c>
    </row>
    <row r="891" spans="1:9" x14ac:dyDescent="0.35">
      <c r="A891" s="3" t="s">
        <v>104</v>
      </c>
      <c r="B891" s="15">
        <v>24688.12</v>
      </c>
      <c r="C891" s="1" t="str">
        <f>IF(OR(Table14[[#This Row],[USD_Spend]]&gt;($B$4+1.5*$B$8),Table14[[#This Row],[USD_Spend]]&lt;($B$6-1.5*$B$8)),"Outlier","Normal")</f>
        <v>Normal</v>
      </c>
      <c r="D891" s="1">
        <v>835618</v>
      </c>
      <c r="E891" s="1">
        <v>5465</v>
      </c>
      <c r="F891" s="15">
        <v>133749.13</v>
      </c>
      <c r="G891" s="15" t="str">
        <f>IF(OR(Table14[[#This Row],[Sales]]&gt;($B$5+1.5*$B$9),Table14[[#This Row],[Sales]]&lt;($B$7-1.5*$B$9)),"Outlier","Normal")</f>
        <v>Normal</v>
      </c>
      <c r="H891" s="22"/>
      <c r="I891" s="22">
        <f>Table1[[#This Row],[Sales]]/Table1[[#This Row],[USD_Spend]]</f>
        <v>141.73793893777764</v>
      </c>
    </row>
    <row r="892" spans="1:9" x14ac:dyDescent="0.35">
      <c r="A892" s="3" t="s">
        <v>57</v>
      </c>
      <c r="B892" s="15">
        <v>1660.19</v>
      </c>
      <c r="C892" s="1" t="str">
        <f>IF(OR(Table14[[#This Row],[USD_Spend]]&gt;($B$4+1.5*$B$8),Table14[[#This Row],[USD_Spend]]&lt;($B$6-1.5*$B$8)),"Outlier","Normal")</f>
        <v>Normal</v>
      </c>
      <c r="D892" s="1">
        <v>515719</v>
      </c>
      <c r="E892" s="1">
        <v>24426</v>
      </c>
      <c r="F892" s="15">
        <v>157063.53</v>
      </c>
      <c r="G892" s="15" t="str">
        <f>IF(OR(Table14[[#This Row],[Sales]]&gt;($B$5+1.5*$B$9),Table14[[#This Row],[Sales]]&lt;($B$7-1.5*$B$9)),"Outlier","Normal")</f>
        <v>Normal</v>
      </c>
      <c r="H892" s="22"/>
      <c r="I892" s="22">
        <f>Table1[[#This Row],[Sales]]/Table1[[#This Row],[USD_Spend]]</f>
        <v>7.7429169967558007</v>
      </c>
    </row>
    <row r="893" spans="1:9" x14ac:dyDescent="0.35">
      <c r="A893" s="3" t="s">
        <v>94</v>
      </c>
      <c r="B893" s="15">
        <v>23769.87</v>
      </c>
      <c r="C893" s="1" t="str">
        <f>IF(OR(Table14[[#This Row],[USD_Spend]]&gt;($B$4+1.5*$B$8),Table14[[#This Row],[USD_Spend]]&lt;($B$6-1.5*$B$8)),"Outlier","Normal")</f>
        <v>Normal</v>
      </c>
      <c r="D893" s="1">
        <v>746677</v>
      </c>
      <c r="E893" s="1">
        <v>43697</v>
      </c>
      <c r="F893" s="15">
        <v>109633.37</v>
      </c>
      <c r="G893" s="15" t="str">
        <f>IF(OR(Table14[[#This Row],[Sales]]&gt;($B$5+1.5*$B$9),Table14[[#This Row],[Sales]]&lt;($B$7-1.5*$B$9)),"Outlier","Normal")</f>
        <v>Normal</v>
      </c>
      <c r="H893" s="22"/>
      <c r="I893" s="22">
        <f>Table1[[#This Row],[Sales]]/Table1[[#This Row],[USD_Spend]]</f>
        <v>4.1718523664461094</v>
      </c>
    </row>
    <row r="894" spans="1:9" x14ac:dyDescent="0.35">
      <c r="A894" s="3" t="s">
        <v>114</v>
      </c>
      <c r="B894" s="15">
        <v>22175.68</v>
      </c>
      <c r="C894" s="1" t="str">
        <f>IF(OR(Table14[[#This Row],[USD_Spend]]&gt;($B$4+1.5*$B$8),Table14[[#This Row],[USD_Spend]]&lt;($B$6-1.5*$B$8)),"Outlier","Normal")</f>
        <v>Normal</v>
      </c>
      <c r="D894" s="1">
        <v>553842</v>
      </c>
      <c r="E894" s="1">
        <v>13892</v>
      </c>
      <c r="F894" s="15">
        <v>93713.95</v>
      </c>
      <c r="G894" s="15" t="str">
        <f>IF(OR(Table14[[#This Row],[Sales]]&gt;($B$5+1.5*$B$9),Table14[[#This Row],[Sales]]&lt;($B$7-1.5*$B$9)),"Outlier","Normal")</f>
        <v>Normal</v>
      </c>
      <c r="H894" s="22"/>
      <c r="I894" s="22">
        <f>Table1[[#This Row],[Sales]]/Table1[[#This Row],[USD_Spend]]</f>
        <v>4.0430375032807655</v>
      </c>
    </row>
    <row r="895" spans="1:9" x14ac:dyDescent="0.35">
      <c r="A895" s="3" t="s">
        <v>85</v>
      </c>
      <c r="B895" s="15">
        <v>58427.41</v>
      </c>
      <c r="C895" s="1" t="str">
        <f>IF(OR(Table14[[#This Row],[USD_Spend]]&gt;($B$4+1.5*$B$8),Table14[[#This Row],[USD_Spend]]&lt;($B$6-1.5*$B$8)),"Outlier","Normal")</f>
        <v>Outlier</v>
      </c>
      <c r="D895" s="1">
        <v>114998</v>
      </c>
      <c r="E895" s="1">
        <v>16343</v>
      </c>
      <c r="F895" s="15">
        <v>165931.78</v>
      </c>
      <c r="G895" s="15" t="str">
        <f>IF(OR(Table14[[#This Row],[Sales]]&gt;($B$5+1.5*$B$9),Table14[[#This Row],[Sales]]&lt;($B$7-1.5*$B$9)),"Outlier","Normal")</f>
        <v>Normal</v>
      </c>
      <c r="H895" s="22"/>
      <c r="I895" s="22">
        <f>Table1[[#This Row],[Sales]]/Table1[[#This Row],[USD_Spend]]</f>
        <v>8.4940915912001067</v>
      </c>
    </row>
    <row r="896" spans="1:9" x14ac:dyDescent="0.35">
      <c r="A896" s="3" t="s">
        <v>89</v>
      </c>
      <c r="B896" s="15">
        <v>5080.6899999999996</v>
      </c>
      <c r="C896" s="1" t="str">
        <f>IF(OR(Table14[[#This Row],[USD_Spend]]&gt;($B$4+1.5*$B$8),Table14[[#This Row],[USD_Spend]]&lt;($B$6-1.5*$B$8)),"Outlier","Normal")</f>
        <v>Normal</v>
      </c>
      <c r="D896" s="1">
        <v>364280</v>
      </c>
      <c r="E896" s="1">
        <v>9970</v>
      </c>
      <c r="F896" s="15">
        <v>13944.88</v>
      </c>
      <c r="G896" s="15" t="str">
        <f>IF(OR(Table14[[#This Row],[Sales]]&gt;($B$5+1.5*$B$9),Table14[[#This Row],[Sales]]&lt;($B$7-1.5*$B$9)),"Outlier","Normal")</f>
        <v>Normal</v>
      </c>
      <c r="H896" s="22"/>
      <c r="I896" s="22">
        <f>Table1[[#This Row],[Sales]]/Table1[[#This Row],[USD_Spend]]</f>
        <v>86.297709824502149</v>
      </c>
    </row>
    <row r="897" spans="1:9" x14ac:dyDescent="0.35">
      <c r="A897" s="3" t="s">
        <v>86</v>
      </c>
      <c r="B897" s="15">
        <v>2674.61</v>
      </c>
      <c r="C897" s="1" t="str">
        <f>IF(OR(Table14[[#This Row],[USD_Spend]]&gt;($B$4+1.5*$B$8),Table14[[#This Row],[USD_Spend]]&lt;($B$6-1.5*$B$8)),"Outlier","Normal")</f>
        <v>Normal</v>
      </c>
      <c r="D897" s="1">
        <v>425287</v>
      </c>
      <c r="E897" s="1">
        <v>47574</v>
      </c>
      <c r="F897" s="15">
        <v>144385.78</v>
      </c>
      <c r="G897" s="15" t="str">
        <f>IF(OR(Table14[[#This Row],[Sales]]&gt;($B$5+1.5*$B$9),Table14[[#This Row],[Sales]]&lt;($B$7-1.5*$B$9)),"Outlier","Normal")</f>
        <v>Normal</v>
      </c>
      <c r="H897" s="22"/>
      <c r="I897" s="22">
        <f>Table1[[#This Row],[Sales]]/Table1[[#This Row],[USD_Spend]]</f>
        <v>4.5087535680304471</v>
      </c>
    </row>
    <row r="898" spans="1:9" x14ac:dyDescent="0.35">
      <c r="A898" s="3" t="s">
        <v>70</v>
      </c>
      <c r="B898" s="15">
        <v>12246.18</v>
      </c>
      <c r="C898" s="1" t="str">
        <f>IF(OR(Table14[[#This Row],[USD_Spend]]&gt;($B$4+1.5*$B$8),Table14[[#This Row],[USD_Spend]]&lt;($B$6-1.5*$B$8)),"Outlier","Normal")</f>
        <v>Normal</v>
      </c>
      <c r="D898" s="1">
        <v>474478</v>
      </c>
      <c r="E898" s="1">
        <v>16298</v>
      </c>
      <c r="F898" s="15">
        <v>185716.66</v>
      </c>
      <c r="G898" s="15" t="str">
        <f>IF(OR(Table14[[#This Row],[Sales]]&gt;($B$5+1.5*$B$9),Table14[[#This Row],[Sales]]&lt;($B$7-1.5*$B$9)),"Outlier","Normal")</f>
        <v>Normal</v>
      </c>
      <c r="H898" s="22"/>
      <c r="I898" s="22">
        <f>Table1[[#This Row],[Sales]]/Table1[[#This Row],[USD_Spend]]</f>
        <v>7.3236793755646525</v>
      </c>
    </row>
    <row r="899" spans="1:9" x14ac:dyDescent="0.35">
      <c r="A899" s="3" t="s">
        <v>79</v>
      </c>
      <c r="B899" s="15">
        <v>24278.28</v>
      </c>
      <c r="C899" s="1" t="str">
        <f>IF(OR(Table14[[#This Row],[USD_Spend]]&gt;($B$4+1.5*$B$8),Table14[[#This Row],[USD_Spend]]&lt;($B$6-1.5*$B$8)),"Outlier","Normal")</f>
        <v>Normal</v>
      </c>
      <c r="D899" s="1">
        <v>68104</v>
      </c>
      <c r="E899" s="1">
        <v>8237</v>
      </c>
      <c r="F899" s="15">
        <v>131935.01999999999</v>
      </c>
      <c r="G899" s="15" t="str">
        <f>IF(OR(Table14[[#This Row],[Sales]]&gt;($B$5+1.5*$B$9),Table14[[#This Row],[Sales]]&lt;($B$7-1.5*$B$9)),"Outlier","Normal")</f>
        <v>Normal</v>
      </c>
      <c r="H899" s="22"/>
      <c r="I899" s="22">
        <f>Table1[[#This Row],[Sales]]/Table1[[#This Row],[USD_Spend]]</f>
        <v>3.6981745694685166</v>
      </c>
    </row>
    <row r="900" spans="1:9" x14ac:dyDescent="0.35">
      <c r="A900" s="3" t="s">
        <v>91</v>
      </c>
      <c r="B900" s="15">
        <v>4043.41</v>
      </c>
      <c r="C900" s="1" t="str">
        <f>IF(OR(Table14[[#This Row],[USD_Spend]]&gt;($B$4+1.5*$B$8),Table14[[#This Row],[USD_Spend]]&lt;($B$6-1.5*$B$8)),"Outlier","Normal")</f>
        <v>Normal</v>
      </c>
      <c r="D900" s="1">
        <v>342427</v>
      </c>
      <c r="E900" s="1">
        <v>42196</v>
      </c>
      <c r="F900" s="15">
        <v>23170.43</v>
      </c>
      <c r="G900" s="15" t="str">
        <f>IF(OR(Table14[[#This Row],[Sales]]&gt;($B$5+1.5*$B$9),Table14[[#This Row],[Sales]]&lt;($B$7-1.5*$B$9)),"Outlier","Normal")</f>
        <v>Normal</v>
      </c>
      <c r="H900" s="22"/>
      <c r="I900" s="22">
        <f>Table1[[#This Row],[Sales]]/Table1[[#This Row],[USD_Spend]]</f>
        <v>47.028453683512808</v>
      </c>
    </row>
    <row r="901" spans="1:9" x14ac:dyDescent="0.35">
      <c r="A901" s="3" t="s">
        <v>75</v>
      </c>
      <c r="B901" s="15">
        <v>706.82</v>
      </c>
      <c r="C901" s="1" t="str">
        <f>IF(OR(Table14[[#This Row],[USD_Spend]]&gt;($B$4+1.5*$B$8),Table14[[#This Row],[USD_Spend]]&lt;($B$6-1.5*$B$8)),"Outlier","Normal")</f>
        <v>Normal</v>
      </c>
      <c r="D901" s="1">
        <v>228337</v>
      </c>
      <c r="E901" s="1">
        <v>10778</v>
      </c>
      <c r="F901" s="15">
        <v>100183.21</v>
      </c>
      <c r="G901" s="15" t="str">
        <f>IF(OR(Table14[[#This Row],[Sales]]&gt;($B$5+1.5*$B$9),Table14[[#This Row],[Sales]]&lt;($B$7-1.5*$B$9)),"Outlier","Normal")</f>
        <v>Normal</v>
      </c>
      <c r="H901" s="22"/>
      <c r="I901" s="22">
        <f>Table1[[#This Row],[Sales]]/Table1[[#This Row],[USD_Spend]]</f>
        <v>10.481943824447429</v>
      </c>
    </row>
    <row r="902" spans="1:9" x14ac:dyDescent="0.35">
      <c r="A902" s="3" t="s">
        <v>89</v>
      </c>
      <c r="B902" s="15">
        <v>22430.81</v>
      </c>
      <c r="C902" s="1" t="str">
        <f>IF(OR(Table14[[#This Row],[USD_Spend]]&gt;($B$4+1.5*$B$8),Table14[[#This Row],[USD_Spend]]&lt;($B$6-1.5*$B$8)),"Outlier","Normal")</f>
        <v>Normal</v>
      </c>
      <c r="D902" s="1">
        <v>522357</v>
      </c>
      <c r="E902" s="1">
        <v>41714</v>
      </c>
      <c r="F902" s="15">
        <v>173679.9</v>
      </c>
      <c r="G902" s="15" t="str">
        <f>IF(OR(Table14[[#This Row],[Sales]]&gt;($B$5+1.5*$B$9),Table14[[#This Row],[Sales]]&lt;($B$7-1.5*$B$9)),"Outlier","Normal")</f>
        <v>Normal</v>
      </c>
      <c r="H902" s="22"/>
      <c r="I902" s="22">
        <f>Table1[[#This Row],[Sales]]/Table1[[#This Row],[USD_Spend]]</f>
        <v>109.03928578910251</v>
      </c>
    </row>
    <row r="903" spans="1:9" x14ac:dyDescent="0.35">
      <c r="A903" s="3" t="s">
        <v>105</v>
      </c>
      <c r="B903" s="15">
        <v>43961.279999999999</v>
      </c>
      <c r="C903" s="1" t="str">
        <f>IF(OR(Table14[[#This Row],[USD_Spend]]&gt;($B$4+1.5*$B$8),Table14[[#This Row],[USD_Spend]]&lt;($B$6-1.5*$B$8)),"Outlier","Normal")</f>
        <v>Normal</v>
      </c>
      <c r="D903" s="1">
        <v>120553</v>
      </c>
      <c r="E903" s="1">
        <v>11503</v>
      </c>
      <c r="F903" s="15">
        <v>183399.97</v>
      </c>
      <c r="G903" s="15" t="str">
        <f>IF(OR(Table14[[#This Row],[Sales]]&gt;($B$5+1.5*$B$9),Table14[[#This Row],[Sales]]&lt;($B$7-1.5*$B$9)),"Outlier","Normal")</f>
        <v>Normal</v>
      </c>
      <c r="H903" s="22"/>
      <c r="I903" s="22">
        <f>Table1[[#This Row],[Sales]]/Table1[[#This Row],[USD_Spend]]</f>
        <v>6.8773981199781895</v>
      </c>
    </row>
    <row r="904" spans="1:9" x14ac:dyDescent="0.35">
      <c r="A904" s="3" t="s">
        <v>82</v>
      </c>
      <c r="B904" s="15">
        <v>43930.29</v>
      </c>
      <c r="C904" s="1" t="str">
        <f>IF(OR(Table14[[#This Row],[USD_Spend]]&gt;($B$4+1.5*$B$8),Table14[[#This Row],[USD_Spend]]&lt;($B$6-1.5*$B$8)),"Outlier","Normal")</f>
        <v>Normal</v>
      </c>
      <c r="D904" s="1">
        <v>86054</v>
      </c>
      <c r="E904" s="1">
        <v>24583</v>
      </c>
      <c r="F904" s="15">
        <v>177611.81</v>
      </c>
      <c r="G904" s="15" t="str">
        <f>IF(OR(Table14[[#This Row],[Sales]]&gt;($B$5+1.5*$B$9),Table14[[#This Row],[Sales]]&lt;($B$7-1.5*$B$9)),"Outlier","Normal")</f>
        <v>Normal</v>
      </c>
      <c r="H904" s="22"/>
      <c r="I904" s="22">
        <f>Table1[[#This Row],[Sales]]/Table1[[#This Row],[USD_Spend]]</f>
        <v>7.6717964798867904</v>
      </c>
    </row>
    <row r="905" spans="1:9" x14ac:dyDescent="0.35">
      <c r="A905" s="3" t="s">
        <v>68</v>
      </c>
      <c r="B905" s="15">
        <v>20711.16</v>
      </c>
      <c r="C905" s="1" t="str">
        <f>IF(OR(Table14[[#This Row],[USD_Spend]]&gt;($B$4+1.5*$B$8),Table14[[#This Row],[USD_Spend]]&lt;($B$6-1.5*$B$8)),"Outlier","Normal")</f>
        <v>Normal</v>
      </c>
      <c r="D905" s="1">
        <v>398368</v>
      </c>
      <c r="E905" s="1">
        <v>2946</v>
      </c>
      <c r="F905" s="15">
        <v>175922.49</v>
      </c>
      <c r="G905" s="15" t="str">
        <f>IF(OR(Table14[[#This Row],[Sales]]&gt;($B$5+1.5*$B$9),Table14[[#This Row],[Sales]]&lt;($B$7-1.5*$B$9)),"Outlier","Normal")</f>
        <v>Normal</v>
      </c>
      <c r="H905" s="22"/>
      <c r="I905" s="22">
        <f>Table1[[#This Row],[Sales]]/Table1[[#This Row],[USD_Spend]]</f>
        <v>17.930209017401477</v>
      </c>
    </row>
    <row r="906" spans="1:9" x14ac:dyDescent="0.35">
      <c r="A906" s="3" t="s">
        <v>77</v>
      </c>
      <c r="B906" s="15">
        <v>2309.4299999999998</v>
      </c>
      <c r="C906" s="1" t="str">
        <f>IF(OR(Table14[[#This Row],[USD_Spend]]&gt;($B$4+1.5*$B$8),Table14[[#This Row],[USD_Spend]]&lt;($B$6-1.5*$B$8)),"Outlier","Normal")</f>
        <v>Normal</v>
      </c>
      <c r="D906" s="1">
        <v>123054</v>
      </c>
      <c r="E906" s="1">
        <v>2249</v>
      </c>
      <c r="F906" s="15">
        <v>199298.52</v>
      </c>
      <c r="G906" s="15" t="str">
        <f>IF(OR(Table14[[#This Row],[Sales]]&gt;($B$5+1.5*$B$9),Table14[[#This Row],[Sales]]&lt;($B$7-1.5*$B$9)),"Outlier","Normal")</f>
        <v>Normal</v>
      </c>
      <c r="H906" s="22"/>
      <c r="I906" s="22">
        <f>Table1[[#This Row],[Sales]]/Table1[[#This Row],[USD_Spend]]</f>
        <v>13.976624308311301</v>
      </c>
    </row>
    <row r="907" spans="1:9" x14ac:dyDescent="0.35">
      <c r="A907" s="3" t="s">
        <v>70</v>
      </c>
      <c r="B907" s="15">
        <v>1156.0999999999999</v>
      </c>
      <c r="C907" s="1" t="str">
        <f>IF(OR(Table14[[#This Row],[USD_Spend]]&gt;($B$4+1.5*$B$8),Table14[[#This Row],[USD_Spend]]&lt;($B$6-1.5*$B$8)),"Outlier","Normal")</f>
        <v>Normal</v>
      </c>
      <c r="D907" s="1">
        <v>694578</v>
      </c>
      <c r="E907" s="1">
        <v>42065</v>
      </c>
      <c r="F907" s="15">
        <v>5212.57</v>
      </c>
      <c r="G907" s="15" t="str">
        <f>IF(OR(Table14[[#This Row],[Sales]]&gt;($B$5+1.5*$B$9),Table14[[#This Row],[Sales]]&lt;($B$7-1.5*$B$9)),"Outlier","Normal")</f>
        <v>Normal</v>
      </c>
      <c r="H907" s="22"/>
      <c r="I907" s="22">
        <f>Table1[[#This Row],[Sales]]/Table1[[#This Row],[USD_Spend]]</f>
        <v>4.8174694957503812</v>
      </c>
    </row>
    <row r="908" spans="1:9" x14ac:dyDescent="0.35">
      <c r="A908" s="3" t="s">
        <v>102</v>
      </c>
      <c r="B908" s="15">
        <v>27306.59</v>
      </c>
      <c r="C908" s="1" t="str">
        <f>IF(OR(Table14[[#This Row],[USD_Spend]]&gt;($B$4+1.5*$B$8),Table14[[#This Row],[USD_Spend]]&lt;($B$6-1.5*$B$8)),"Outlier","Normal")</f>
        <v>Normal</v>
      </c>
      <c r="D908" s="1">
        <v>644960</v>
      </c>
      <c r="E908" s="1">
        <v>17157</v>
      </c>
      <c r="F908" s="15">
        <v>199984.71</v>
      </c>
      <c r="G908" s="15" t="str">
        <f>IF(OR(Table14[[#This Row],[Sales]]&gt;($B$5+1.5*$B$9),Table14[[#This Row],[Sales]]&lt;($B$7-1.5*$B$9)),"Outlier","Normal")</f>
        <v>Normal</v>
      </c>
      <c r="H908" s="22"/>
      <c r="I908" s="22">
        <f>Table1[[#This Row],[Sales]]/Table1[[#This Row],[USD_Spend]]</f>
        <v>3.9463546162817513</v>
      </c>
    </row>
    <row r="909" spans="1:9" x14ac:dyDescent="0.35">
      <c r="A909" s="3" t="s">
        <v>62</v>
      </c>
      <c r="B909" s="15">
        <v>7840.89</v>
      </c>
      <c r="C909" s="1" t="str">
        <f>IF(OR(Table14[[#This Row],[USD_Spend]]&gt;($B$4+1.5*$B$8),Table14[[#This Row],[USD_Spend]]&lt;($B$6-1.5*$B$8)),"Outlier","Normal")</f>
        <v>Normal</v>
      </c>
      <c r="D909" s="1">
        <v>296939</v>
      </c>
      <c r="E909" s="1">
        <v>746</v>
      </c>
      <c r="F909" s="15">
        <v>28996.98</v>
      </c>
      <c r="G909" s="15" t="str">
        <f>IF(OR(Table14[[#This Row],[Sales]]&gt;($B$5+1.5*$B$9),Table14[[#This Row],[Sales]]&lt;($B$7-1.5*$B$9)),"Outlier","Normal")</f>
        <v>Normal</v>
      </c>
      <c r="H909" s="22"/>
      <c r="I909" s="22">
        <f>Table1[[#This Row],[Sales]]/Table1[[#This Row],[USD_Spend]]</f>
        <v>11.577077724846495</v>
      </c>
    </row>
    <row r="910" spans="1:9" x14ac:dyDescent="0.35">
      <c r="A910" s="3" t="s">
        <v>78</v>
      </c>
      <c r="B910" s="15">
        <v>1040.99</v>
      </c>
      <c r="C910" s="1" t="str">
        <f>IF(OR(Table14[[#This Row],[USD_Spend]]&gt;($B$4+1.5*$B$8),Table14[[#This Row],[USD_Spend]]&lt;($B$6-1.5*$B$8)),"Outlier","Normal")</f>
        <v>Normal</v>
      </c>
      <c r="D910" s="1">
        <v>16658</v>
      </c>
      <c r="E910" s="1">
        <v>573</v>
      </c>
      <c r="F910" s="15">
        <v>48956.15</v>
      </c>
      <c r="G910" s="15" t="str">
        <f>IF(OR(Table14[[#This Row],[Sales]]&gt;($B$5+1.5*$B$9),Table14[[#This Row],[Sales]]&lt;($B$7-1.5*$B$9)),"Outlier","Normal")</f>
        <v>Normal</v>
      </c>
      <c r="H910" s="22"/>
      <c r="I910" s="22">
        <f>Table1[[#This Row],[Sales]]/Table1[[#This Row],[USD_Spend]]</f>
        <v>2.4379720951998252</v>
      </c>
    </row>
    <row r="911" spans="1:9" x14ac:dyDescent="0.35">
      <c r="A911" s="3" t="s">
        <v>84</v>
      </c>
      <c r="B911" s="15">
        <v>11335.18</v>
      </c>
      <c r="C911" s="1" t="str">
        <f>IF(OR(Table14[[#This Row],[USD_Spend]]&gt;($B$4+1.5*$B$8),Table14[[#This Row],[USD_Spend]]&lt;($B$6-1.5*$B$8)),"Outlier","Normal")</f>
        <v>Normal</v>
      </c>
      <c r="D911" s="1">
        <v>739716</v>
      </c>
      <c r="E911" s="1">
        <v>34044</v>
      </c>
      <c r="F911" s="15">
        <v>118814.72</v>
      </c>
      <c r="G911" s="15" t="str">
        <f>IF(OR(Table14[[#This Row],[Sales]]&gt;($B$5+1.5*$B$9),Table14[[#This Row],[Sales]]&lt;($B$7-1.5*$B$9)),"Outlier","Normal")</f>
        <v>Normal</v>
      </c>
      <c r="H911" s="22"/>
      <c r="I911" s="22">
        <f>Table1[[#This Row],[Sales]]/Table1[[#This Row],[USD_Spend]]</f>
        <v>59.193277252815264</v>
      </c>
    </row>
    <row r="912" spans="1:9" x14ac:dyDescent="0.35">
      <c r="A912" s="3" t="s">
        <v>50</v>
      </c>
      <c r="B912" s="15">
        <v>1432.07</v>
      </c>
      <c r="C912" s="1" t="str">
        <f>IF(OR(Table14[[#This Row],[USD_Spend]]&gt;($B$4+1.5*$B$8),Table14[[#This Row],[USD_Spend]]&lt;($B$6-1.5*$B$8)),"Outlier","Normal")</f>
        <v>Normal</v>
      </c>
      <c r="D912" s="1">
        <v>809484</v>
      </c>
      <c r="E912" s="1">
        <v>40206</v>
      </c>
      <c r="F912" s="15">
        <v>156151.89000000001</v>
      </c>
      <c r="G912" s="15" t="str">
        <f>IF(OR(Table14[[#This Row],[Sales]]&gt;($B$5+1.5*$B$9),Table14[[#This Row],[Sales]]&lt;($B$7-1.5*$B$9)),"Outlier","Normal")</f>
        <v>Normal</v>
      </c>
      <c r="H912" s="22"/>
      <c r="I912" s="22">
        <f>Table1[[#This Row],[Sales]]/Table1[[#This Row],[USD_Spend]]</f>
        <v>1408.0153043478263</v>
      </c>
    </row>
    <row r="913" spans="1:9" x14ac:dyDescent="0.35">
      <c r="A913" s="3" t="s">
        <v>27</v>
      </c>
      <c r="B913" s="15">
        <v>12086.03</v>
      </c>
      <c r="C913" s="1" t="str">
        <f>IF(OR(Table14[[#This Row],[USD_Spend]]&gt;($B$4+1.5*$B$8),Table14[[#This Row],[USD_Spend]]&lt;($B$6-1.5*$B$8)),"Outlier","Normal")</f>
        <v>Normal</v>
      </c>
      <c r="D913" s="1">
        <v>562436</v>
      </c>
      <c r="E913" s="1">
        <v>17633</v>
      </c>
      <c r="F913" s="15">
        <v>83120.44</v>
      </c>
      <c r="G913" s="15" t="str">
        <f>IF(OR(Table14[[#This Row],[Sales]]&gt;($B$5+1.5*$B$9),Table14[[#This Row],[Sales]]&lt;($B$7-1.5*$B$9)),"Outlier","Normal")</f>
        <v>Normal</v>
      </c>
      <c r="H913" s="22"/>
      <c r="I913" s="22">
        <f>Table1[[#This Row],[Sales]]/Table1[[#This Row],[USD_Spend]]</f>
        <v>8.1774540732885406</v>
      </c>
    </row>
    <row r="914" spans="1:9" x14ac:dyDescent="0.35">
      <c r="A914" s="3" t="s">
        <v>78</v>
      </c>
      <c r="B914" s="15">
        <v>14924.52</v>
      </c>
      <c r="C914" s="1" t="str">
        <f>IF(OR(Table14[[#This Row],[USD_Spend]]&gt;($B$4+1.5*$B$8),Table14[[#This Row],[USD_Spend]]&lt;($B$6-1.5*$B$8)),"Outlier","Normal")</f>
        <v>Normal</v>
      </c>
      <c r="D914" s="1">
        <v>521174</v>
      </c>
      <c r="E914" s="1">
        <v>48368</v>
      </c>
      <c r="F914" s="15">
        <v>114497.88</v>
      </c>
      <c r="G914" s="15" t="str">
        <f>IF(OR(Table14[[#This Row],[Sales]]&gt;($B$5+1.5*$B$9),Table14[[#This Row],[Sales]]&lt;($B$7-1.5*$B$9)),"Outlier","Normal")</f>
        <v>Normal</v>
      </c>
      <c r="H914" s="22"/>
      <c r="I914" s="22">
        <f>Table1[[#This Row],[Sales]]/Table1[[#This Row],[USD_Spend]]</f>
        <v>149.88795781057925</v>
      </c>
    </row>
    <row r="915" spans="1:9" x14ac:dyDescent="0.35">
      <c r="A915" s="3" t="s">
        <v>70</v>
      </c>
      <c r="B915" s="15">
        <v>12319.07</v>
      </c>
      <c r="C915" s="1" t="str">
        <f>IF(OR(Table14[[#This Row],[USD_Spend]]&gt;($B$4+1.5*$B$8),Table14[[#This Row],[USD_Spend]]&lt;($B$6-1.5*$B$8)),"Outlier","Normal")</f>
        <v>Normal</v>
      </c>
      <c r="D915" s="1">
        <v>173459</v>
      </c>
      <c r="E915" s="1">
        <v>4032</v>
      </c>
      <c r="F915" s="15">
        <v>220883.5</v>
      </c>
      <c r="G915" s="15" t="str">
        <f>IF(OR(Table14[[#This Row],[Sales]]&gt;($B$5+1.5*$B$9),Table14[[#This Row],[Sales]]&lt;($B$7-1.5*$B$9)),"Outlier","Normal")</f>
        <v>Normal</v>
      </c>
      <c r="H915" s="22"/>
      <c r="I915" s="22">
        <f>Table1[[#This Row],[Sales]]/Table1[[#This Row],[USD_Spend]]</f>
        <v>141.67024270137179</v>
      </c>
    </row>
    <row r="916" spans="1:9" x14ac:dyDescent="0.35">
      <c r="A916" s="3" t="s">
        <v>57</v>
      </c>
      <c r="B916" s="15">
        <v>11959.86</v>
      </c>
      <c r="C916" s="1" t="str">
        <f>IF(OR(Table14[[#This Row],[USD_Spend]]&gt;($B$4+1.5*$B$8),Table14[[#This Row],[USD_Spend]]&lt;($B$6-1.5*$B$8)),"Outlier","Normal")</f>
        <v>Normal</v>
      </c>
      <c r="D916" s="1">
        <v>775990</v>
      </c>
      <c r="E916" s="1">
        <v>36522</v>
      </c>
      <c r="F916" s="15">
        <v>167158.47</v>
      </c>
      <c r="G916" s="15" t="str">
        <f>IF(OR(Table14[[#This Row],[Sales]]&gt;($B$5+1.5*$B$9),Table14[[#This Row],[Sales]]&lt;($B$7-1.5*$B$9)),"Outlier","Normal")</f>
        <v>Normal</v>
      </c>
      <c r="H916" s="22"/>
      <c r="I916" s="22">
        <f>Table1[[#This Row],[Sales]]/Table1[[#This Row],[USD_Spend]]</f>
        <v>64.422742982969595</v>
      </c>
    </row>
    <row r="917" spans="1:9" x14ac:dyDescent="0.35">
      <c r="A917" s="3" t="s">
        <v>77</v>
      </c>
      <c r="B917" s="15">
        <v>4505.1099999999997</v>
      </c>
      <c r="C917" s="1" t="str">
        <f>IF(OR(Table14[[#This Row],[USD_Spend]]&gt;($B$4+1.5*$B$8),Table14[[#This Row],[USD_Spend]]&lt;($B$6-1.5*$B$8)),"Outlier","Normal")</f>
        <v>Normal</v>
      </c>
      <c r="D917" s="1">
        <v>202800</v>
      </c>
      <c r="E917" s="1">
        <v>34218</v>
      </c>
      <c r="F917" s="15">
        <v>21703.23</v>
      </c>
      <c r="G917" s="15" t="str">
        <f>IF(OR(Table14[[#This Row],[Sales]]&gt;($B$5+1.5*$B$9),Table14[[#This Row],[Sales]]&lt;($B$7-1.5*$B$9)),"Outlier","Normal")</f>
        <v>Normal</v>
      </c>
      <c r="H917" s="22"/>
      <c r="I917" s="22">
        <f>Table1[[#This Row],[Sales]]/Table1[[#This Row],[USD_Spend]]</f>
        <v>5.0706878366021693</v>
      </c>
    </row>
    <row r="918" spans="1:9" x14ac:dyDescent="0.35">
      <c r="A918" s="3" t="s">
        <v>82</v>
      </c>
      <c r="B918" s="15">
        <v>12012.59</v>
      </c>
      <c r="C918" s="1" t="str">
        <f>IF(OR(Table14[[#This Row],[USD_Spend]]&gt;($B$4+1.5*$B$8),Table14[[#This Row],[USD_Spend]]&lt;($B$6-1.5*$B$8)),"Outlier","Normal")</f>
        <v>Normal</v>
      </c>
      <c r="D918" s="1">
        <v>737851</v>
      </c>
      <c r="E918" s="1">
        <v>15576</v>
      </c>
      <c r="F918" s="15">
        <v>47405.94</v>
      </c>
      <c r="G918" s="15" t="str">
        <f>IF(OR(Table14[[#This Row],[Sales]]&gt;($B$5+1.5*$B$9),Table14[[#This Row],[Sales]]&lt;($B$7-1.5*$B$9)),"Outlier","Normal")</f>
        <v>Normal</v>
      </c>
      <c r="H918" s="22"/>
      <c r="I918" s="22">
        <f>Table1[[#This Row],[Sales]]/Table1[[#This Row],[USD_Spend]]</f>
        <v>13.801119606106646</v>
      </c>
    </row>
    <row r="919" spans="1:9" x14ac:dyDescent="0.35">
      <c r="A919" s="3" t="s">
        <v>34</v>
      </c>
      <c r="B919" s="15">
        <v>8398.73</v>
      </c>
      <c r="C919" s="1" t="str">
        <f>IF(OR(Table14[[#This Row],[USD_Spend]]&gt;($B$4+1.5*$B$8),Table14[[#This Row],[USD_Spend]]&lt;($B$6-1.5*$B$8)),"Outlier","Normal")</f>
        <v>Normal</v>
      </c>
      <c r="D919" s="1">
        <v>166466</v>
      </c>
      <c r="E919" s="1">
        <v>19753</v>
      </c>
      <c r="F919" s="15">
        <v>97232.75</v>
      </c>
      <c r="G919" s="15" t="str">
        <f>IF(OR(Table14[[#This Row],[Sales]]&gt;($B$5+1.5*$B$9),Table14[[#This Row],[Sales]]&lt;($B$7-1.5*$B$9)),"Outlier","Normal")</f>
        <v>Normal</v>
      </c>
      <c r="H919" s="22"/>
      <c r="I919" s="22">
        <f>Table1[[#This Row],[Sales]]/Table1[[#This Row],[USD_Spend]]</f>
        <v>11.749102738952089</v>
      </c>
    </row>
    <row r="920" spans="1:9" x14ac:dyDescent="0.35">
      <c r="A920" s="3" t="s">
        <v>114</v>
      </c>
      <c r="B920" s="15">
        <v>5897.91</v>
      </c>
      <c r="C920" s="1" t="str">
        <f>IF(OR(Table14[[#This Row],[USD_Spend]]&gt;($B$4+1.5*$B$8),Table14[[#This Row],[USD_Spend]]&lt;($B$6-1.5*$B$8)),"Outlier","Normal")</f>
        <v>Normal</v>
      </c>
      <c r="D920" s="1">
        <v>84814</v>
      </c>
      <c r="E920" s="1">
        <v>23708</v>
      </c>
      <c r="F920" s="15">
        <v>14378.94</v>
      </c>
      <c r="G920" s="15" t="str">
        <f>IF(OR(Table14[[#This Row],[Sales]]&gt;($B$5+1.5*$B$9),Table14[[#This Row],[Sales]]&lt;($B$7-1.5*$B$9)),"Outlier","Normal")</f>
        <v>Normal</v>
      </c>
      <c r="H920" s="22"/>
      <c r="I920" s="22">
        <f>Table1[[#This Row],[Sales]]/Table1[[#This Row],[USD_Spend]]</f>
        <v>1.7662077506330076</v>
      </c>
    </row>
    <row r="921" spans="1:9" x14ac:dyDescent="0.35">
      <c r="A921" s="3" t="s">
        <v>97</v>
      </c>
      <c r="B921" s="15">
        <v>2892.27</v>
      </c>
      <c r="C921" s="1" t="str">
        <f>IF(OR(Table14[[#This Row],[USD_Spend]]&gt;($B$4+1.5*$B$8),Table14[[#This Row],[USD_Spend]]&lt;($B$6-1.5*$B$8)),"Outlier","Normal")</f>
        <v>Normal</v>
      </c>
      <c r="D921" s="1">
        <v>109096</v>
      </c>
      <c r="E921" s="1">
        <v>36666</v>
      </c>
      <c r="F921" s="15">
        <v>171202.94</v>
      </c>
      <c r="G921" s="15" t="str">
        <f>IF(OR(Table14[[#This Row],[Sales]]&gt;($B$5+1.5*$B$9),Table14[[#This Row],[Sales]]&lt;($B$7-1.5*$B$9)),"Outlier","Normal")</f>
        <v>Normal</v>
      </c>
      <c r="H921" s="22"/>
      <c r="I921" s="22">
        <f>Table1[[#This Row],[Sales]]/Table1[[#This Row],[USD_Spend]]</f>
        <v>239.07870452528837</v>
      </c>
    </row>
    <row r="922" spans="1:9" x14ac:dyDescent="0.35">
      <c r="A922" s="3" t="s">
        <v>50</v>
      </c>
      <c r="B922" s="15">
        <v>86.25</v>
      </c>
      <c r="C922" s="1" t="str">
        <f>IF(OR(Table14[[#This Row],[USD_Spend]]&gt;($B$4+1.5*$B$8),Table14[[#This Row],[USD_Spend]]&lt;($B$6-1.5*$B$8)),"Outlier","Normal")</f>
        <v>Normal</v>
      </c>
      <c r="D922" s="1">
        <v>831533</v>
      </c>
      <c r="E922" s="1">
        <v>45369</v>
      </c>
      <c r="F922" s="15">
        <v>121441.32</v>
      </c>
      <c r="G922" s="15" t="str">
        <f>IF(OR(Table14[[#This Row],[Sales]]&gt;($B$5+1.5*$B$9),Table14[[#This Row],[Sales]]&lt;($B$7-1.5*$B$9)),"Outlier","Normal")</f>
        <v>Normal</v>
      </c>
      <c r="H922" s="22"/>
      <c r="I922" s="22">
        <f>Table1[[#This Row],[Sales]]/Table1[[#This Row],[USD_Spend]]</f>
        <v>13.95265060077878</v>
      </c>
    </row>
    <row r="923" spans="1:9" x14ac:dyDescent="0.35">
      <c r="A923" s="3" t="s">
        <v>108</v>
      </c>
      <c r="B923" s="15">
        <v>26261.95</v>
      </c>
      <c r="C923" s="1" t="str">
        <f>IF(OR(Table14[[#This Row],[USD_Spend]]&gt;($B$4+1.5*$B$8),Table14[[#This Row],[USD_Spend]]&lt;($B$6-1.5*$B$8)),"Outlier","Normal")</f>
        <v>Normal</v>
      </c>
      <c r="D923" s="1">
        <v>194019</v>
      </c>
      <c r="E923" s="1">
        <v>40139</v>
      </c>
      <c r="F923" s="15">
        <v>214755.89</v>
      </c>
      <c r="G923" s="15" t="str">
        <f>IF(OR(Table14[[#This Row],[Sales]]&gt;($B$5+1.5*$B$9),Table14[[#This Row],[Sales]]&lt;($B$7-1.5*$B$9)),"Outlier","Normal")</f>
        <v>Normal</v>
      </c>
      <c r="H923" s="22"/>
      <c r="I923" s="22">
        <f>Table1[[#This Row],[Sales]]/Table1[[#This Row],[USD_Spend]]</f>
        <v>19.366438844111066</v>
      </c>
    </row>
    <row r="924" spans="1:9" x14ac:dyDescent="0.35">
      <c r="A924" s="3" t="s">
        <v>89</v>
      </c>
      <c r="B924" s="15">
        <v>1065.67</v>
      </c>
      <c r="C924" s="1" t="str">
        <f>IF(OR(Table14[[#This Row],[USD_Spend]]&gt;($B$4+1.5*$B$8),Table14[[#This Row],[USD_Spend]]&lt;($B$6-1.5*$B$8)),"Outlier","Normal")</f>
        <v>Normal</v>
      </c>
      <c r="D924" s="1">
        <v>35422</v>
      </c>
      <c r="E924" s="1">
        <v>15173</v>
      </c>
      <c r="F924" s="15">
        <v>159731.1</v>
      </c>
      <c r="G924" s="15" t="str">
        <f>IF(OR(Table14[[#This Row],[Sales]]&gt;($B$5+1.5*$B$9),Table14[[#This Row],[Sales]]&lt;($B$7-1.5*$B$9)),"Outlier","Normal")</f>
        <v>Normal</v>
      </c>
      <c r="H924" s="22"/>
      <c r="I924" s="22">
        <f>Table1[[#This Row],[Sales]]/Table1[[#This Row],[USD_Spend]]</f>
        <v>10.006812570851388</v>
      </c>
    </row>
    <row r="925" spans="1:9" x14ac:dyDescent="0.35">
      <c r="A925" s="3" t="s">
        <v>62</v>
      </c>
      <c r="B925" s="15">
        <v>796.04</v>
      </c>
      <c r="C925" s="1" t="str">
        <f>IF(OR(Table14[[#This Row],[USD_Spend]]&gt;($B$4+1.5*$B$8),Table14[[#This Row],[USD_Spend]]&lt;($B$6-1.5*$B$8)),"Outlier","Normal")</f>
        <v>Normal</v>
      </c>
      <c r="D925" s="1">
        <v>934879</v>
      </c>
      <c r="E925" s="1">
        <v>9207</v>
      </c>
      <c r="F925" s="15">
        <v>112775.18</v>
      </c>
      <c r="G925" s="15" t="str">
        <f>IF(OR(Table14[[#This Row],[Sales]]&gt;($B$5+1.5*$B$9),Table14[[#This Row],[Sales]]&lt;($B$7-1.5*$B$9)),"Outlier","Normal")</f>
        <v>Normal</v>
      </c>
      <c r="H925" s="22"/>
      <c r="I925" s="22">
        <f>Table1[[#This Row],[Sales]]/Table1[[#This Row],[USD_Spend]]</f>
        <v>226.61263602583384</v>
      </c>
    </row>
    <row r="926" spans="1:9" x14ac:dyDescent="0.35">
      <c r="A926" s="3" t="s">
        <v>55</v>
      </c>
      <c r="B926" s="15">
        <v>2870.16</v>
      </c>
      <c r="C926" s="1" t="str">
        <f>IF(OR(Table14[[#This Row],[USD_Spend]]&gt;($B$4+1.5*$B$8),Table14[[#This Row],[USD_Spend]]&lt;($B$6-1.5*$B$8)),"Outlier","Normal")</f>
        <v>Normal</v>
      </c>
      <c r="D926" s="1">
        <v>564718</v>
      </c>
      <c r="E926" s="1">
        <v>2764</v>
      </c>
      <c r="F926" s="15">
        <v>184903.58</v>
      </c>
      <c r="G926" s="15" t="str">
        <f>IF(OR(Table14[[#This Row],[Sales]]&gt;($B$5+1.5*$B$9),Table14[[#This Row],[Sales]]&lt;($B$7-1.5*$B$9)),"Outlier","Normal")</f>
        <v>Normal</v>
      </c>
      <c r="H926" s="22"/>
      <c r="I926" s="22">
        <f>Table1[[#This Row],[Sales]]/Table1[[#This Row],[USD_Spend]]</f>
        <v>23.101995082654938</v>
      </c>
    </row>
    <row r="927" spans="1:9" x14ac:dyDescent="0.35">
      <c r="A927" s="3" t="s">
        <v>81</v>
      </c>
      <c r="B927" s="15">
        <v>15387.23</v>
      </c>
      <c r="C927" s="1" t="str">
        <f>IF(OR(Table14[[#This Row],[USD_Spend]]&gt;($B$4+1.5*$B$8),Table14[[#This Row],[USD_Spend]]&lt;($B$6-1.5*$B$8)),"Outlier","Normal")</f>
        <v>Normal</v>
      </c>
      <c r="D927" s="1">
        <v>674845</v>
      </c>
      <c r="E927" s="1">
        <v>9542</v>
      </c>
      <c r="F927" s="15">
        <v>78023.839999999997</v>
      </c>
      <c r="G927" s="15" t="str">
        <f>IF(OR(Table14[[#This Row],[Sales]]&gt;($B$5+1.5*$B$9),Table14[[#This Row],[Sales]]&lt;($B$7-1.5*$B$9)),"Outlier","Normal")</f>
        <v>Normal</v>
      </c>
      <c r="H927" s="22"/>
      <c r="I927" s="22">
        <f>Table1[[#This Row],[Sales]]/Table1[[#This Row],[USD_Spend]]</f>
        <v>6.3778461241521684</v>
      </c>
    </row>
    <row r="928" spans="1:9" x14ac:dyDescent="0.35">
      <c r="A928" s="3" t="s">
        <v>87</v>
      </c>
      <c r="B928" s="15">
        <v>7384.74</v>
      </c>
      <c r="C928" s="1" t="str">
        <f>IF(OR(Table14[[#This Row],[USD_Spend]]&gt;($B$4+1.5*$B$8),Table14[[#This Row],[USD_Spend]]&lt;($B$6-1.5*$B$8)),"Outlier","Normal")</f>
        <v>Normal</v>
      </c>
      <c r="D928" s="1">
        <v>699237</v>
      </c>
      <c r="E928" s="1">
        <v>28420</v>
      </c>
      <c r="F928" s="15">
        <v>101917.68</v>
      </c>
      <c r="G928" s="15" t="str">
        <f>IF(OR(Table14[[#This Row],[Sales]]&gt;($B$5+1.5*$B$9),Table14[[#This Row],[Sales]]&lt;($B$7-1.5*$B$9)),"Outlier","Normal")</f>
        <v>Normal</v>
      </c>
      <c r="H928" s="22"/>
      <c r="I928" s="22">
        <f>Table1[[#This Row],[Sales]]/Table1[[#This Row],[USD_Spend]]</f>
        <v>66.869778143396999</v>
      </c>
    </row>
    <row r="929" spans="1:9" x14ac:dyDescent="0.35">
      <c r="A929" s="3" t="s">
        <v>27</v>
      </c>
      <c r="B929" s="15">
        <v>19027.349999999999</v>
      </c>
      <c r="C929" s="1" t="str">
        <f>IF(OR(Table14[[#This Row],[USD_Spend]]&gt;($B$4+1.5*$B$8),Table14[[#This Row],[USD_Spend]]&lt;($B$6-1.5*$B$8)),"Outlier","Normal")</f>
        <v>Normal</v>
      </c>
      <c r="D929" s="1">
        <v>667667</v>
      </c>
      <c r="E929" s="1">
        <v>30287</v>
      </c>
      <c r="F929" s="15">
        <v>223554.29</v>
      </c>
      <c r="G929" s="15" t="str">
        <f>IF(OR(Table14[[#This Row],[Sales]]&gt;($B$5+1.5*$B$9),Table14[[#This Row],[Sales]]&lt;($B$7-1.5*$B$9)),"Outlier","Normal")</f>
        <v>Normal</v>
      </c>
      <c r="H929" s="22"/>
      <c r="I929" s="22">
        <f>Table1[[#This Row],[Sales]]/Table1[[#This Row],[USD_Spend]]</f>
        <v>128.83830439969807</v>
      </c>
    </row>
    <row r="930" spans="1:9" x14ac:dyDescent="0.35">
      <c r="A930" s="3" t="s">
        <v>81</v>
      </c>
      <c r="B930" s="15">
        <v>28988.6</v>
      </c>
      <c r="C930" s="1" t="str">
        <f>IF(OR(Table14[[#This Row],[USD_Spend]]&gt;($B$4+1.5*$B$8),Table14[[#This Row],[USD_Spend]]&lt;($B$6-1.5*$B$8)),"Outlier","Normal")</f>
        <v>Normal</v>
      </c>
      <c r="D930" s="1">
        <v>584842</v>
      </c>
      <c r="E930" s="1">
        <v>24587</v>
      </c>
      <c r="F930" s="15">
        <v>51199.89</v>
      </c>
      <c r="G930" s="15" t="str">
        <f>IF(OR(Table14[[#This Row],[Sales]]&gt;($B$5+1.5*$B$9),Table14[[#This Row],[Sales]]&lt;($B$7-1.5*$B$9)),"Outlier","Normal")</f>
        <v>Normal</v>
      </c>
      <c r="H930" s="22"/>
      <c r="I930" s="22">
        <f>Table1[[#This Row],[Sales]]/Table1[[#This Row],[USD_Spend]]</f>
        <v>19.537318290730873</v>
      </c>
    </row>
    <row r="931" spans="1:9" x14ac:dyDescent="0.35">
      <c r="A931" s="3" t="s">
        <v>115</v>
      </c>
      <c r="B931" s="15">
        <v>788.9</v>
      </c>
      <c r="C931" s="1" t="str">
        <f>IF(OR(Table14[[#This Row],[USD_Spend]]&gt;($B$4+1.5*$B$8),Table14[[#This Row],[USD_Spend]]&lt;($B$6-1.5*$B$8)),"Outlier","Normal")</f>
        <v>Normal</v>
      </c>
      <c r="D931" s="1">
        <v>977693</v>
      </c>
      <c r="E931" s="1">
        <v>39266</v>
      </c>
      <c r="F931" s="15">
        <v>188609.19</v>
      </c>
      <c r="G931" s="15" t="str">
        <f>IF(OR(Table14[[#This Row],[Sales]]&gt;($B$5+1.5*$B$9),Table14[[#This Row],[Sales]]&lt;($B$7-1.5*$B$9)),"Outlier","Normal")</f>
        <v>Normal</v>
      </c>
      <c r="H931" s="22"/>
      <c r="I931" s="22">
        <f>Table1[[#This Row],[Sales]]/Table1[[#This Row],[USD_Spend]]</f>
        <v>0.42388034805378322</v>
      </c>
    </row>
    <row r="932" spans="1:9" x14ac:dyDescent="0.35">
      <c r="A932" s="3" t="s">
        <v>71</v>
      </c>
      <c r="B932" s="15">
        <v>6648.87</v>
      </c>
      <c r="C932" s="1" t="str">
        <f>IF(OR(Table14[[#This Row],[USD_Spend]]&gt;($B$4+1.5*$B$8),Table14[[#This Row],[USD_Spend]]&lt;($B$6-1.5*$B$8)),"Outlier","Normal")</f>
        <v>Normal</v>
      </c>
      <c r="D932" s="1">
        <v>148205</v>
      </c>
      <c r="E932" s="1">
        <v>1073</v>
      </c>
      <c r="F932" s="15">
        <v>92769.36</v>
      </c>
      <c r="G932" s="15" t="str">
        <f>IF(OR(Table14[[#This Row],[Sales]]&gt;($B$5+1.5*$B$9),Table14[[#This Row],[Sales]]&lt;($B$7-1.5*$B$9)),"Outlier","Normal")</f>
        <v>Normal</v>
      </c>
      <c r="H932" s="22"/>
      <c r="I932" s="22">
        <f>Table1[[#This Row],[Sales]]/Table1[[#This Row],[USD_Spend]]</f>
        <v>4.8859702564483571</v>
      </c>
    </row>
    <row r="933" spans="1:9" x14ac:dyDescent="0.35">
      <c r="A933" s="3" t="s">
        <v>83</v>
      </c>
      <c r="B933" s="15">
        <v>9124.06</v>
      </c>
      <c r="C933" s="1" t="str">
        <f>IF(OR(Table14[[#This Row],[USD_Spend]]&gt;($B$4+1.5*$B$8),Table14[[#This Row],[USD_Spend]]&lt;($B$6-1.5*$B$8)),"Outlier","Normal")</f>
        <v>Normal</v>
      </c>
      <c r="D933" s="1">
        <v>571671</v>
      </c>
      <c r="E933" s="1">
        <v>737</v>
      </c>
      <c r="F933" s="15">
        <v>176700.55</v>
      </c>
      <c r="G933" s="15" t="str">
        <f>IF(OR(Table14[[#This Row],[Sales]]&gt;($B$5+1.5*$B$9),Table14[[#This Row],[Sales]]&lt;($B$7-1.5*$B$9)),"Outlier","Normal")</f>
        <v>Normal</v>
      </c>
      <c r="H933" s="22"/>
      <c r="I933" s="22">
        <f>Table1[[#This Row],[Sales]]/Table1[[#This Row],[USD_Spend]]</f>
        <v>17.728527109385841</v>
      </c>
    </row>
    <row r="934" spans="1:9" x14ac:dyDescent="0.35">
      <c r="A934" s="3" t="s">
        <v>120</v>
      </c>
      <c r="B934" s="15">
        <v>18454.12</v>
      </c>
      <c r="C934" s="1" t="str">
        <f>IF(OR(Table14[[#This Row],[USD_Spend]]&gt;($B$4+1.5*$B$8),Table14[[#This Row],[USD_Spend]]&lt;($B$6-1.5*$B$8)),"Outlier","Normal")</f>
        <v>Normal</v>
      </c>
      <c r="D934" s="1">
        <v>236088</v>
      </c>
      <c r="E934" s="1">
        <v>36338</v>
      </c>
      <c r="F934" s="15">
        <v>184666.92</v>
      </c>
      <c r="G934" s="15" t="str">
        <f>IF(OR(Table14[[#This Row],[Sales]]&gt;($B$5+1.5*$B$9),Table14[[#This Row],[Sales]]&lt;($B$7-1.5*$B$9)),"Outlier","Normal")</f>
        <v>Normal</v>
      </c>
      <c r="H934" s="22"/>
      <c r="I934" s="22">
        <f>Table1[[#This Row],[Sales]]/Table1[[#This Row],[USD_Spend]]</f>
        <v>633.76649378171874</v>
      </c>
    </row>
    <row r="935" spans="1:9" x14ac:dyDescent="0.35">
      <c r="A935" s="3" t="s">
        <v>89</v>
      </c>
      <c r="B935" s="15">
        <v>904.24</v>
      </c>
      <c r="C935" s="1" t="str">
        <f>IF(OR(Table14[[#This Row],[USD_Spend]]&gt;($B$4+1.5*$B$8),Table14[[#This Row],[USD_Spend]]&lt;($B$6-1.5*$B$8)),"Outlier","Normal")</f>
        <v>Normal</v>
      </c>
      <c r="D935" s="1">
        <v>210070</v>
      </c>
      <c r="E935" s="1">
        <v>7434</v>
      </c>
      <c r="F935" s="15">
        <v>204912.21</v>
      </c>
      <c r="G935" s="15" t="str">
        <f>IF(OR(Table14[[#This Row],[Sales]]&gt;($B$5+1.5*$B$9),Table14[[#This Row],[Sales]]&lt;($B$7-1.5*$B$9)),"Outlier","Normal")</f>
        <v>Normal</v>
      </c>
      <c r="H935" s="22"/>
      <c r="I935" s="22">
        <f>Table1[[#This Row],[Sales]]/Table1[[#This Row],[USD_Spend]]</f>
        <v>13.615838641803828</v>
      </c>
    </row>
    <row r="936" spans="1:9" x14ac:dyDescent="0.35">
      <c r="A936" s="3" t="s">
        <v>55</v>
      </c>
      <c r="B936" s="15">
        <v>5649.39</v>
      </c>
      <c r="C936" s="1" t="str">
        <f>IF(OR(Table14[[#This Row],[USD_Spend]]&gt;($B$4+1.5*$B$8),Table14[[#This Row],[USD_Spend]]&lt;($B$6-1.5*$B$8)),"Outlier","Normal")</f>
        <v>Normal</v>
      </c>
      <c r="D936" s="1">
        <v>939496</v>
      </c>
      <c r="E936" s="1">
        <v>49148</v>
      </c>
      <c r="F936" s="15">
        <v>130512.18</v>
      </c>
      <c r="G936" s="15" t="str">
        <f>IF(OR(Table14[[#This Row],[Sales]]&gt;($B$5+1.5*$B$9),Table14[[#This Row],[Sales]]&lt;($B$7-1.5*$B$9)),"Outlier","Normal")</f>
        <v>Normal</v>
      </c>
      <c r="H936" s="22"/>
      <c r="I936" s="22">
        <f>Table1[[#This Row],[Sales]]/Table1[[#This Row],[USD_Spend]]</f>
        <v>1.6478322085037413</v>
      </c>
    </row>
    <row r="937" spans="1:9" x14ac:dyDescent="0.35">
      <c r="A937" s="3" t="s">
        <v>87</v>
      </c>
      <c r="B937" s="15">
        <v>4766.57</v>
      </c>
      <c r="C937" s="1" t="str">
        <f>IF(OR(Table14[[#This Row],[USD_Spend]]&gt;($B$4+1.5*$B$8),Table14[[#This Row],[USD_Spend]]&lt;($B$6-1.5*$B$8)),"Outlier","Normal")</f>
        <v>Normal</v>
      </c>
      <c r="D937" s="1">
        <v>656195</v>
      </c>
      <c r="E937" s="1">
        <v>27053</v>
      </c>
      <c r="F937" s="15">
        <v>30400.45</v>
      </c>
      <c r="G937" s="15" t="str">
        <f>IF(OR(Table14[[#This Row],[Sales]]&gt;($B$5+1.5*$B$9),Table14[[#This Row],[Sales]]&lt;($B$7-1.5*$B$9)),"Outlier","Normal")</f>
        <v>Normal</v>
      </c>
      <c r="H937" s="22"/>
      <c r="I937" s="22">
        <f>Table1[[#This Row],[Sales]]/Table1[[#This Row],[USD_Spend]]</f>
        <v>14.833581160949812</v>
      </c>
    </row>
    <row r="938" spans="1:9" x14ac:dyDescent="0.35">
      <c r="A938" s="3" t="s">
        <v>104</v>
      </c>
      <c r="B938" s="15">
        <v>777.98</v>
      </c>
      <c r="C938" s="1" t="str">
        <f>IF(OR(Table14[[#This Row],[USD_Spend]]&gt;($B$4+1.5*$B$8),Table14[[#This Row],[USD_Spend]]&lt;($B$6-1.5*$B$8)),"Outlier","Normal")</f>
        <v>Normal</v>
      </c>
      <c r="D938" s="1">
        <v>166130</v>
      </c>
      <c r="E938" s="1">
        <v>15892</v>
      </c>
      <c r="F938" s="15">
        <v>52023.35</v>
      </c>
      <c r="G938" s="15" t="str">
        <f>IF(OR(Table14[[#This Row],[Sales]]&gt;($B$5+1.5*$B$9),Table14[[#This Row],[Sales]]&lt;($B$7-1.5*$B$9)),"Outlier","Normal")</f>
        <v>Normal</v>
      </c>
      <c r="H938" s="22"/>
      <c r="I938" s="22">
        <f>Table1[[#This Row],[Sales]]/Table1[[#This Row],[USD_Spend]]</f>
        <v>52.070313482439587</v>
      </c>
    </row>
    <row r="939" spans="1:9" x14ac:dyDescent="0.35">
      <c r="A939" s="3" t="s">
        <v>57</v>
      </c>
      <c r="B939" s="15">
        <v>1232.1300000000001</v>
      </c>
      <c r="C939" s="1" t="str">
        <f>IF(OR(Table14[[#This Row],[USD_Spend]]&gt;($B$4+1.5*$B$8),Table14[[#This Row],[USD_Spend]]&lt;($B$6-1.5*$B$8)),"Outlier","Normal")</f>
        <v>Normal</v>
      </c>
      <c r="D939" s="1">
        <v>756925</v>
      </c>
      <c r="E939" s="1">
        <v>37891</v>
      </c>
      <c r="F939" s="15">
        <v>158745.54</v>
      </c>
      <c r="G939" s="15" t="str">
        <f>IF(OR(Table14[[#This Row],[Sales]]&gt;($B$5+1.5*$B$9),Table14[[#This Row],[Sales]]&lt;($B$7-1.5*$B$9)),"Outlier","Normal")</f>
        <v>Normal</v>
      </c>
      <c r="H939" s="22"/>
      <c r="I939" s="22">
        <f>Table1[[#This Row],[Sales]]/Table1[[#This Row],[USD_Spend]]</f>
        <v>10.142941142780778</v>
      </c>
    </row>
    <row r="940" spans="1:9" x14ac:dyDescent="0.35">
      <c r="A940" s="3" t="s">
        <v>109</v>
      </c>
      <c r="B940" s="15">
        <v>10108.18</v>
      </c>
      <c r="C940" s="1" t="str">
        <f>IF(OR(Table14[[#This Row],[USD_Spend]]&gt;($B$4+1.5*$B$8),Table14[[#This Row],[USD_Spend]]&lt;($B$6-1.5*$B$8)),"Outlier","Normal")</f>
        <v>Normal</v>
      </c>
      <c r="D940" s="1">
        <v>338429</v>
      </c>
      <c r="E940" s="1">
        <v>16233</v>
      </c>
      <c r="F940" s="15">
        <v>197486.73</v>
      </c>
      <c r="G940" s="15" t="str">
        <f>IF(OR(Table14[[#This Row],[Sales]]&gt;($B$5+1.5*$B$9),Table14[[#This Row],[Sales]]&lt;($B$7-1.5*$B$9)),"Outlier","Normal")</f>
        <v>Normal</v>
      </c>
      <c r="H940" s="22"/>
      <c r="I940" s="22">
        <f>Table1[[#This Row],[Sales]]/Table1[[#This Row],[USD_Spend]]</f>
        <v>15.802774037959672</v>
      </c>
    </row>
    <row r="941" spans="1:9" x14ac:dyDescent="0.35">
      <c r="A941" s="3" t="s">
        <v>86</v>
      </c>
      <c r="B941" s="15">
        <v>12709.53</v>
      </c>
      <c r="C941" s="1" t="str">
        <f>IF(OR(Table14[[#This Row],[USD_Spend]]&gt;($B$4+1.5*$B$8),Table14[[#This Row],[USD_Spend]]&lt;($B$6-1.5*$B$8)),"Outlier","Normal")</f>
        <v>Normal</v>
      </c>
      <c r="D941" s="1">
        <v>314598</v>
      </c>
      <c r="E941" s="1">
        <v>12784</v>
      </c>
      <c r="F941" s="15">
        <v>5387.32</v>
      </c>
      <c r="G941" s="15" t="str">
        <f>IF(OR(Table14[[#This Row],[Sales]]&gt;($B$5+1.5*$B$9),Table14[[#This Row],[Sales]]&lt;($B$7-1.5*$B$9)),"Outlier","Normal")</f>
        <v>Normal</v>
      </c>
      <c r="H941" s="22"/>
      <c r="I941" s="22">
        <f>Table1[[#This Row],[Sales]]/Table1[[#This Row],[USD_Spend]]</f>
        <v>13.517738308547408</v>
      </c>
    </row>
    <row r="942" spans="1:9" x14ac:dyDescent="0.35">
      <c r="A942" s="3" t="s">
        <v>87</v>
      </c>
      <c r="B942" s="15">
        <v>8075.7</v>
      </c>
      <c r="C942" s="1" t="str">
        <f>IF(OR(Table14[[#This Row],[USD_Spend]]&gt;($B$4+1.5*$B$8),Table14[[#This Row],[USD_Spend]]&lt;($B$6-1.5*$B$8)),"Outlier","Normal")</f>
        <v>Normal</v>
      </c>
      <c r="D942" s="1">
        <v>992188</v>
      </c>
      <c r="E942" s="1">
        <v>32617</v>
      </c>
      <c r="F942" s="15">
        <v>39457.629999999997</v>
      </c>
      <c r="G942" s="15" t="str">
        <f>IF(OR(Table14[[#This Row],[Sales]]&gt;($B$5+1.5*$B$9),Table14[[#This Row],[Sales]]&lt;($B$7-1.5*$B$9)),"Outlier","Normal")</f>
        <v>Normal</v>
      </c>
      <c r="H942" s="22"/>
      <c r="I942" s="22">
        <f>Table1[[#This Row],[Sales]]/Table1[[#This Row],[USD_Spend]]</f>
        <v>37.033157939645612</v>
      </c>
    </row>
    <row r="943" spans="1:9" x14ac:dyDescent="0.35">
      <c r="A943" s="3" t="s">
        <v>62</v>
      </c>
      <c r="B943" s="15">
        <v>6991.49</v>
      </c>
      <c r="C943" s="1" t="str">
        <f>IF(OR(Table14[[#This Row],[USD_Spend]]&gt;($B$4+1.5*$B$8),Table14[[#This Row],[USD_Spend]]&lt;($B$6-1.5*$B$8)),"Outlier","Normal")</f>
        <v>Normal</v>
      </c>
      <c r="D943" s="1">
        <v>67287</v>
      </c>
      <c r="E943" s="1">
        <v>17684</v>
      </c>
      <c r="F943" s="15">
        <v>123948.82</v>
      </c>
      <c r="G943" s="15" t="str">
        <f>IF(OR(Table14[[#This Row],[Sales]]&gt;($B$5+1.5*$B$9),Table14[[#This Row],[Sales]]&lt;($B$7-1.5*$B$9)),"Outlier","Normal")</f>
        <v>Normal</v>
      </c>
      <c r="H943" s="22"/>
      <c r="I943" s="22">
        <f>Table1[[#This Row],[Sales]]/Table1[[#This Row],[USD_Spend]]</f>
        <v>46.00768050287121</v>
      </c>
    </row>
    <row r="944" spans="1:9" x14ac:dyDescent="0.35">
      <c r="A944" s="3" t="s">
        <v>106</v>
      </c>
      <c r="B944" s="15">
        <v>179.31</v>
      </c>
      <c r="C944" s="1" t="str">
        <f>IF(OR(Table14[[#This Row],[USD_Spend]]&gt;($B$4+1.5*$B$8),Table14[[#This Row],[USD_Spend]]&lt;($B$6-1.5*$B$8)),"Outlier","Normal")</f>
        <v>Normal</v>
      </c>
      <c r="D944" s="1">
        <v>956335</v>
      </c>
      <c r="E944" s="1">
        <v>42435</v>
      </c>
      <c r="F944" s="15">
        <v>113640.67</v>
      </c>
      <c r="G944" s="15" t="str">
        <f>IF(OR(Table14[[#This Row],[Sales]]&gt;($B$5+1.5*$B$9),Table14[[#This Row],[Sales]]&lt;($B$7-1.5*$B$9)),"Outlier","Normal")</f>
        <v>Normal</v>
      </c>
      <c r="H944" s="22"/>
      <c r="I944" s="22">
        <f>Table1[[#This Row],[Sales]]/Table1[[#This Row],[USD_Spend]]</f>
        <v>0.26235092377512637</v>
      </c>
    </row>
    <row r="945" spans="1:9" x14ac:dyDescent="0.35">
      <c r="A945" s="3" t="s">
        <v>110</v>
      </c>
      <c r="B945" s="15">
        <v>8977.7900000000009</v>
      </c>
      <c r="C945" s="1" t="str">
        <f>IF(OR(Table14[[#This Row],[USD_Spend]]&gt;($B$4+1.5*$B$8),Table14[[#This Row],[USD_Spend]]&lt;($B$6-1.5*$B$8)),"Outlier","Normal")</f>
        <v>Normal</v>
      </c>
      <c r="D945" s="1">
        <v>497192</v>
      </c>
      <c r="E945" s="1">
        <v>45673</v>
      </c>
      <c r="F945" s="15">
        <v>122240.14</v>
      </c>
      <c r="G945" s="15" t="str">
        <f>IF(OR(Table14[[#This Row],[Sales]]&gt;($B$5+1.5*$B$9),Table14[[#This Row],[Sales]]&lt;($B$7-1.5*$B$9)),"Outlier","Normal")</f>
        <v>Normal</v>
      </c>
      <c r="H945" s="22"/>
      <c r="I945" s="22">
        <f>Table1[[#This Row],[Sales]]/Table1[[#This Row],[USD_Spend]]</f>
        <v>2.8526672325272604</v>
      </c>
    </row>
    <row r="946" spans="1:9" x14ac:dyDescent="0.35">
      <c r="A946" s="3" t="s">
        <v>75</v>
      </c>
      <c r="B946" s="15">
        <v>53851.12</v>
      </c>
      <c r="C946" s="1" t="str">
        <f>IF(OR(Table14[[#This Row],[USD_Spend]]&gt;($B$4+1.5*$B$8),Table14[[#This Row],[USD_Spend]]&lt;($B$6-1.5*$B$8)),"Outlier","Normal")</f>
        <v>Outlier</v>
      </c>
      <c r="D946" s="1">
        <v>246540</v>
      </c>
      <c r="E946" s="1">
        <v>10042</v>
      </c>
      <c r="F946" s="15">
        <v>88737.61</v>
      </c>
      <c r="G946" s="15" t="str">
        <f>IF(OR(Table14[[#This Row],[Sales]]&gt;($B$5+1.5*$B$9),Table14[[#This Row],[Sales]]&lt;($B$7-1.5*$B$9)),"Outlier","Normal")</f>
        <v>Normal</v>
      </c>
      <c r="H946" s="22"/>
      <c r="I946" s="22">
        <f>Table1[[#This Row],[Sales]]/Table1[[#This Row],[USD_Spend]]</f>
        <v>20.49497848419966</v>
      </c>
    </row>
    <row r="947" spans="1:9" x14ac:dyDescent="0.35">
      <c r="A947" s="3" t="s">
        <v>85</v>
      </c>
      <c r="B947" s="15">
        <v>9314.27</v>
      </c>
      <c r="C947" s="1" t="str">
        <f>IF(OR(Table14[[#This Row],[USD_Spend]]&gt;($B$4+1.5*$B$8),Table14[[#This Row],[USD_Spend]]&lt;($B$6-1.5*$B$8)),"Outlier","Normal")</f>
        <v>Normal</v>
      </c>
      <c r="D947" s="1">
        <v>265652</v>
      </c>
      <c r="E947" s="1">
        <v>3761</v>
      </c>
      <c r="F947" s="15">
        <v>138163.98000000001</v>
      </c>
      <c r="G947" s="15" t="str">
        <f>IF(OR(Table14[[#This Row],[Sales]]&gt;($B$5+1.5*$B$9),Table14[[#This Row],[Sales]]&lt;($B$7-1.5*$B$9)),"Outlier","Normal")</f>
        <v>Normal</v>
      </c>
      <c r="H947" s="22"/>
      <c r="I947" s="22">
        <f>Table1[[#This Row],[Sales]]/Table1[[#This Row],[USD_Spend]]</f>
        <v>38.668204010152877</v>
      </c>
    </row>
    <row r="948" spans="1:9" x14ac:dyDescent="0.35">
      <c r="A948" s="3" t="s">
        <v>34</v>
      </c>
      <c r="B948" s="15">
        <v>3896.55</v>
      </c>
      <c r="C948" s="1" t="str">
        <f>IF(OR(Table14[[#This Row],[USD_Spend]]&gt;($B$4+1.5*$B$8),Table14[[#This Row],[USD_Spend]]&lt;($B$6-1.5*$B$8)),"Outlier","Normal")</f>
        <v>Normal</v>
      </c>
      <c r="D948" s="1">
        <v>619918</v>
      </c>
      <c r="E948" s="1">
        <v>41374</v>
      </c>
      <c r="F948" s="15">
        <v>202894.58</v>
      </c>
      <c r="G948" s="15" t="str">
        <f>IF(OR(Table14[[#This Row],[Sales]]&gt;($B$5+1.5*$B$9),Table14[[#This Row],[Sales]]&lt;($B$7-1.5*$B$9)),"Outlier","Normal")</f>
        <v>Normal</v>
      </c>
      <c r="H948" s="22"/>
      <c r="I948" s="22">
        <f>Table1[[#This Row],[Sales]]/Table1[[#This Row],[USD_Spend]]</f>
        <v>5.9536142901941957</v>
      </c>
    </row>
    <row r="949" spans="1:9" x14ac:dyDescent="0.35">
      <c r="A949" s="3" t="s">
        <v>57</v>
      </c>
      <c r="B949" s="15">
        <v>2619.0500000000002</v>
      </c>
      <c r="C949" s="1" t="str">
        <f>IF(OR(Table14[[#This Row],[USD_Spend]]&gt;($B$4+1.5*$B$8),Table14[[#This Row],[USD_Spend]]&lt;($B$6-1.5*$B$8)),"Outlier","Normal")</f>
        <v>Normal</v>
      </c>
      <c r="D949" s="1">
        <v>610870</v>
      </c>
      <c r="E949" s="1">
        <v>29466</v>
      </c>
      <c r="F949" s="15">
        <v>26564.87</v>
      </c>
      <c r="G949" s="15" t="str">
        <f>IF(OR(Table14[[#This Row],[Sales]]&gt;($B$5+1.5*$B$9),Table14[[#This Row],[Sales]]&lt;($B$7-1.5*$B$9)),"Outlier","Normal")</f>
        <v>Normal</v>
      </c>
      <c r="H949" s="22"/>
      <c r="I949" s="22">
        <f>Table1[[#This Row],[Sales]]/Table1[[#This Row],[USD_Spend]]</f>
        <v>10.146228578090389</v>
      </c>
    </row>
    <row r="950" spans="1:9" x14ac:dyDescent="0.35">
      <c r="A950" s="3" t="s">
        <v>118</v>
      </c>
      <c r="B950" s="15">
        <v>3736.07</v>
      </c>
      <c r="C950" s="1" t="str">
        <f>IF(OR(Table14[[#This Row],[USD_Spend]]&gt;($B$4+1.5*$B$8),Table14[[#This Row],[USD_Spend]]&lt;($B$6-1.5*$B$8)),"Outlier","Normal")</f>
        <v>Normal</v>
      </c>
      <c r="D950" s="1">
        <v>847995</v>
      </c>
      <c r="E950" s="1">
        <v>40445</v>
      </c>
      <c r="F950" s="15">
        <v>59040.27</v>
      </c>
      <c r="G950" s="15" t="str">
        <f>IF(OR(Table14[[#This Row],[Sales]]&gt;($B$5+1.5*$B$9),Table14[[#This Row],[Sales]]&lt;($B$7-1.5*$B$9)),"Outlier","Normal")</f>
        <v>Normal</v>
      </c>
      <c r="H950" s="22"/>
      <c r="I950" s="22">
        <f>Table1[[#This Row],[Sales]]/Table1[[#This Row],[USD_Spend]]</f>
        <v>23.119674530968663</v>
      </c>
    </row>
    <row r="951" spans="1:9" x14ac:dyDescent="0.35">
      <c r="A951" s="3" t="s">
        <v>91</v>
      </c>
      <c r="B951" s="15">
        <v>8098.01</v>
      </c>
      <c r="C951" s="1" t="str">
        <f>IF(OR(Table14[[#This Row],[USD_Spend]]&gt;($B$4+1.5*$B$8),Table14[[#This Row],[USD_Spend]]&lt;($B$6-1.5*$B$8)),"Outlier","Normal")</f>
        <v>Normal</v>
      </c>
      <c r="D951" s="1">
        <v>160494</v>
      </c>
      <c r="E951" s="1">
        <v>4821</v>
      </c>
      <c r="F951" s="15">
        <v>109466.78</v>
      </c>
      <c r="G951" s="15" t="str">
        <f>IF(OR(Table14[[#This Row],[Sales]]&gt;($B$5+1.5*$B$9),Table14[[#This Row],[Sales]]&lt;($B$7-1.5*$B$9)),"Outlier","Normal")</f>
        <v>Normal</v>
      </c>
      <c r="H951" s="22"/>
      <c r="I951" s="22">
        <f>Table1[[#This Row],[Sales]]/Table1[[#This Row],[USD_Spend]]</f>
        <v>3.9771497610819875</v>
      </c>
    </row>
    <row r="952" spans="1:9" x14ac:dyDescent="0.35">
      <c r="A952" s="3" t="s">
        <v>118</v>
      </c>
      <c r="B952" s="15">
        <v>1757.95</v>
      </c>
      <c r="C952" s="1" t="str">
        <f>IF(OR(Table14[[#This Row],[USD_Spend]]&gt;($B$4+1.5*$B$8),Table14[[#This Row],[USD_Spend]]&lt;($B$6-1.5*$B$8)),"Outlier","Normal")</f>
        <v>Normal</v>
      </c>
      <c r="D952" s="1">
        <v>445945</v>
      </c>
      <c r="E952" s="1">
        <v>531</v>
      </c>
      <c r="F952" s="15">
        <v>65102.44</v>
      </c>
      <c r="G952" s="15" t="str">
        <f>IF(OR(Table14[[#This Row],[Sales]]&gt;($B$5+1.5*$B$9),Table14[[#This Row],[Sales]]&lt;($B$7-1.5*$B$9)),"Outlier","Normal")</f>
        <v>Normal</v>
      </c>
      <c r="H952" s="22"/>
      <c r="I952" s="22">
        <f>Table1[[#This Row],[Sales]]/Table1[[#This Row],[USD_Spend]]</f>
        <v>11.556367594553256</v>
      </c>
    </row>
    <row r="953" spans="1:9" x14ac:dyDescent="0.35">
      <c r="A953" s="3" t="s">
        <v>57</v>
      </c>
      <c r="B953" s="15">
        <v>5428.03</v>
      </c>
      <c r="C953" s="1" t="str">
        <f>IF(OR(Table14[[#This Row],[USD_Spend]]&gt;($B$4+1.5*$B$8),Table14[[#This Row],[USD_Spend]]&lt;($B$6-1.5*$B$8)),"Outlier","Normal")</f>
        <v>Normal</v>
      </c>
      <c r="D953" s="1">
        <v>625448</v>
      </c>
      <c r="E953" s="1">
        <v>38105</v>
      </c>
      <c r="F953" s="15">
        <v>249731.07</v>
      </c>
      <c r="G953" s="15" t="str">
        <f>IF(OR(Table14[[#This Row],[Sales]]&gt;($B$5+1.5*$B$9),Table14[[#This Row],[Sales]]&lt;($B$7-1.5*$B$9)),"Outlier","Normal")</f>
        <v>Normal</v>
      </c>
      <c r="H953" s="22"/>
      <c r="I953" s="22">
        <f>Table1[[#This Row],[Sales]]/Table1[[#This Row],[USD_Spend]]</f>
        <v>22.408349616215542</v>
      </c>
    </row>
    <row r="954" spans="1:9" x14ac:dyDescent="0.35">
      <c r="A954" s="3" t="s">
        <v>116</v>
      </c>
      <c r="B954" s="15">
        <v>29700.41</v>
      </c>
      <c r="C954" s="1" t="str">
        <f>IF(OR(Table14[[#This Row],[USD_Spend]]&gt;($B$4+1.5*$B$8),Table14[[#This Row],[USD_Spend]]&lt;($B$6-1.5*$B$8)),"Outlier","Normal")</f>
        <v>Normal</v>
      </c>
      <c r="D954" s="1">
        <v>362058</v>
      </c>
      <c r="E954" s="1">
        <v>29370</v>
      </c>
      <c r="F954" s="15">
        <v>7791.93</v>
      </c>
      <c r="G954" s="15" t="str">
        <f>IF(OR(Table14[[#This Row],[Sales]]&gt;($B$5+1.5*$B$9),Table14[[#This Row],[Sales]]&lt;($B$7-1.5*$B$9)),"Outlier","Normal")</f>
        <v>Normal</v>
      </c>
      <c r="H954" s="22"/>
      <c r="I954" s="22">
        <f>Table1[[#This Row],[Sales]]/Table1[[#This Row],[USD_Spend]]</f>
        <v>33.512822551601239</v>
      </c>
    </row>
    <row r="955" spans="1:9" x14ac:dyDescent="0.35">
      <c r="A955" s="3" t="s">
        <v>93</v>
      </c>
      <c r="B955" s="15">
        <v>18579.37</v>
      </c>
      <c r="C955" s="1" t="str">
        <f>IF(OR(Table14[[#This Row],[USD_Spend]]&gt;($B$4+1.5*$B$8),Table14[[#This Row],[USD_Spend]]&lt;($B$6-1.5*$B$8)),"Outlier","Normal")</f>
        <v>Normal</v>
      </c>
      <c r="D955" s="1">
        <v>276641</v>
      </c>
      <c r="E955" s="1">
        <v>40132</v>
      </c>
      <c r="F955" s="15">
        <v>53000.76</v>
      </c>
      <c r="G955" s="15" t="str">
        <f>IF(OR(Table14[[#This Row],[Sales]]&gt;($B$5+1.5*$B$9),Table14[[#This Row],[Sales]]&lt;($B$7-1.5*$B$9)),"Outlier","Normal")</f>
        <v>Normal</v>
      </c>
      <c r="H955" s="22"/>
      <c r="I955" s="22">
        <f>Table1[[#This Row],[Sales]]/Table1[[#This Row],[USD_Spend]]</f>
        <v>489.54631876516646</v>
      </c>
    </row>
    <row r="956" spans="1:9" x14ac:dyDescent="0.35">
      <c r="A956" s="3" t="s">
        <v>109</v>
      </c>
      <c r="B956" s="15">
        <v>5735.32</v>
      </c>
      <c r="C956" s="1" t="str">
        <f>IF(OR(Table14[[#This Row],[USD_Spend]]&gt;($B$4+1.5*$B$8),Table14[[#This Row],[USD_Spend]]&lt;($B$6-1.5*$B$8)),"Outlier","Normal")</f>
        <v>Normal</v>
      </c>
      <c r="D956" s="1">
        <v>769767</v>
      </c>
      <c r="E956" s="1">
        <v>2495</v>
      </c>
      <c r="F956" s="15">
        <v>117545.26</v>
      </c>
      <c r="G956" s="15" t="str">
        <f>IF(OR(Table14[[#This Row],[Sales]]&gt;($B$5+1.5*$B$9),Table14[[#This Row],[Sales]]&lt;($B$7-1.5*$B$9)),"Outlier","Normal")</f>
        <v>Normal</v>
      </c>
      <c r="H956" s="22"/>
      <c r="I956" s="22">
        <f>Table1[[#This Row],[Sales]]/Table1[[#This Row],[USD_Spend]]</f>
        <v>4.9039058291785942</v>
      </c>
    </row>
    <row r="957" spans="1:9" x14ac:dyDescent="0.35">
      <c r="A957" s="3" t="s">
        <v>98</v>
      </c>
      <c r="B957" s="15">
        <v>5921.47</v>
      </c>
      <c r="C957" s="1" t="str">
        <f>IF(OR(Table14[[#This Row],[USD_Spend]]&gt;($B$4+1.5*$B$8),Table14[[#This Row],[USD_Spend]]&lt;($B$6-1.5*$B$8)),"Outlier","Normal")</f>
        <v>Normal</v>
      </c>
      <c r="D957" s="1">
        <v>345281</v>
      </c>
      <c r="E957" s="1">
        <v>47751</v>
      </c>
      <c r="F957" s="15">
        <v>228972.61</v>
      </c>
      <c r="G957" s="15" t="str">
        <f>IF(OR(Table14[[#This Row],[Sales]]&gt;($B$5+1.5*$B$9),Table14[[#This Row],[Sales]]&lt;($B$7-1.5*$B$9)),"Outlier","Normal")</f>
        <v>Normal</v>
      </c>
      <c r="H957" s="22"/>
      <c r="I957" s="22">
        <f>Table1[[#This Row],[Sales]]/Table1[[#This Row],[USD_Spend]]</f>
        <v>9.0654675482067208</v>
      </c>
    </row>
    <row r="958" spans="1:9" x14ac:dyDescent="0.35">
      <c r="A958" s="3" t="s">
        <v>90</v>
      </c>
      <c r="B958" s="15">
        <v>30580.97</v>
      </c>
      <c r="C958" s="1" t="str">
        <f>IF(OR(Table14[[#This Row],[USD_Spend]]&gt;($B$4+1.5*$B$8),Table14[[#This Row],[USD_Spend]]&lt;($B$6-1.5*$B$8)),"Outlier","Normal")</f>
        <v>Normal</v>
      </c>
      <c r="D958" s="1">
        <v>218205</v>
      </c>
      <c r="E958" s="1">
        <v>5199</v>
      </c>
      <c r="F958" s="15">
        <v>182067.3</v>
      </c>
      <c r="G958" s="15" t="str">
        <f>IF(OR(Table14[[#This Row],[Sales]]&gt;($B$5+1.5*$B$9),Table14[[#This Row],[Sales]]&lt;($B$7-1.5*$B$9)),"Outlier","Normal")</f>
        <v>Normal</v>
      </c>
      <c r="H958" s="22"/>
      <c r="I958" s="22">
        <f>Table1[[#This Row],[Sales]]/Table1[[#This Row],[USD_Spend]]</f>
        <v>36.908656463009663</v>
      </c>
    </row>
    <row r="959" spans="1:9" x14ac:dyDescent="0.35">
      <c r="A959" s="3" t="s">
        <v>93</v>
      </c>
      <c r="B959" s="15">
        <v>10293.200000000001</v>
      </c>
      <c r="C959" s="1" t="str">
        <f>IF(OR(Table14[[#This Row],[USD_Spend]]&gt;($B$4+1.5*$B$8),Table14[[#This Row],[USD_Spend]]&lt;($B$6-1.5*$B$8)),"Outlier","Normal")</f>
        <v>Normal</v>
      </c>
      <c r="D959" s="1">
        <v>640437</v>
      </c>
      <c r="E959" s="1">
        <v>15575</v>
      </c>
      <c r="F959" s="15">
        <v>104437.16</v>
      </c>
      <c r="G959" s="15" t="str">
        <f>IF(OR(Table14[[#This Row],[Sales]]&gt;($B$5+1.5*$B$9),Table14[[#This Row],[Sales]]&lt;($B$7-1.5*$B$9)),"Outlier","Normal")</f>
        <v>Normal</v>
      </c>
      <c r="H959" s="22"/>
      <c r="I959" s="22">
        <f>Table1[[#This Row],[Sales]]/Table1[[#This Row],[USD_Spend]]</f>
        <v>10.156315627701371</v>
      </c>
    </row>
    <row r="960" spans="1:9" x14ac:dyDescent="0.35">
      <c r="A960" s="3" t="s">
        <v>86</v>
      </c>
      <c r="B960" s="15">
        <v>8614.0300000000007</v>
      </c>
      <c r="C960" s="1" t="str">
        <f>IF(OR(Table14[[#This Row],[USD_Spend]]&gt;($B$4+1.5*$B$8),Table14[[#This Row],[USD_Spend]]&lt;($B$6-1.5*$B$8)),"Outlier","Normal")</f>
        <v>Normal</v>
      </c>
      <c r="D960" s="1">
        <v>199131</v>
      </c>
      <c r="E960" s="1">
        <v>26873</v>
      </c>
      <c r="F960" s="15">
        <v>199153.57</v>
      </c>
      <c r="G960" s="15" t="str">
        <f>IF(OR(Table14[[#This Row],[Sales]]&gt;($B$5+1.5*$B$9),Table14[[#This Row],[Sales]]&lt;($B$7-1.5*$B$9)),"Outlier","Normal")</f>
        <v>Normal</v>
      </c>
      <c r="H960" s="22"/>
      <c r="I960" s="22">
        <f>Table1[[#This Row],[Sales]]/Table1[[#This Row],[USD_Spend]]</f>
        <v>7.8726434406471162</v>
      </c>
    </row>
    <row r="961" spans="1:9" x14ac:dyDescent="0.35">
      <c r="A961" s="3" t="s">
        <v>111</v>
      </c>
      <c r="B961" s="15">
        <v>17464.150000000001</v>
      </c>
      <c r="C961" s="1" t="str">
        <f>IF(OR(Table14[[#This Row],[USD_Spend]]&gt;($B$4+1.5*$B$8),Table14[[#This Row],[USD_Spend]]&lt;($B$6-1.5*$B$8)),"Outlier","Normal")</f>
        <v>Normal</v>
      </c>
      <c r="D961" s="1">
        <v>102422</v>
      </c>
      <c r="E961" s="1">
        <v>4299</v>
      </c>
      <c r="F961" s="15">
        <v>69457.539999999994</v>
      </c>
      <c r="G961" s="15" t="str">
        <f>IF(OR(Table14[[#This Row],[Sales]]&gt;($B$5+1.5*$B$9),Table14[[#This Row],[Sales]]&lt;($B$7-1.5*$B$9)),"Outlier","Normal")</f>
        <v>Normal</v>
      </c>
      <c r="H961" s="22"/>
      <c r="I961" s="22">
        <f>Table1[[#This Row],[Sales]]/Table1[[#This Row],[USD_Spend]]</f>
        <v>3.5739988154241011</v>
      </c>
    </row>
    <row r="962" spans="1:9" x14ac:dyDescent="0.35">
      <c r="A962" s="3" t="s">
        <v>91</v>
      </c>
      <c r="B962" s="15">
        <v>17482.740000000002</v>
      </c>
      <c r="C962" s="1" t="str">
        <f>IF(OR(Table14[[#This Row],[USD_Spend]]&gt;($B$4+1.5*$B$8),Table14[[#This Row],[USD_Spend]]&lt;($B$6-1.5*$B$8)),"Outlier","Normal")</f>
        <v>Normal</v>
      </c>
      <c r="D962" s="1">
        <v>922677</v>
      </c>
      <c r="E962" s="1">
        <v>22298</v>
      </c>
      <c r="F962" s="15">
        <v>202036.97</v>
      </c>
      <c r="G962" s="15" t="str">
        <f>IF(OR(Table14[[#This Row],[Sales]]&gt;($B$5+1.5*$B$9),Table14[[#This Row],[Sales]]&lt;($B$7-1.5*$B$9)),"Outlier","Normal")</f>
        <v>Normal</v>
      </c>
      <c r="H962" s="22"/>
      <c r="I962" s="22">
        <f>Table1[[#This Row],[Sales]]/Table1[[#This Row],[USD_Spend]]</f>
        <v>192.22135809838139</v>
      </c>
    </row>
    <row r="963" spans="1:9" x14ac:dyDescent="0.35">
      <c r="A963" s="3" t="s">
        <v>81</v>
      </c>
      <c r="B963" s="15">
        <v>6781.15</v>
      </c>
      <c r="C963" s="1" t="str">
        <f>IF(OR(Table14[[#This Row],[USD_Spend]]&gt;($B$4+1.5*$B$8),Table14[[#This Row],[USD_Spend]]&lt;($B$6-1.5*$B$8)),"Outlier","Normal")</f>
        <v>Normal</v>
      </c>
      <c r="D963" s="1">
        <v>955404</v>
      </c>
      <c r="E963" s="1">
        <v>40388</v>
      </c>
      <c r="F963" s="15">
        <v>151954.38</v>
      </c>
      <c r="G963" s="15" t="str">
        <f>IF(OR(Table14[[#This Row],[Sales]]&gt;($B$5+1.5*$B$9),Table14[[#This Row],[Sales]]&lt;($B$7-1.5*$B$9)),"Outlier","Normal")</f>
        <v>Normal</v>
      </c>
      <c r="H963" s="22"/>
      <c r="I963" s="22">
        <f>Table1[[#This Row],[Sales]]/Table1[[#This Row],[USD_Spend]]</f>
        <v>6.7288417088160113</v>
      </c>
    </row>
    <row r="964" spans="1:9" x14ac:dyDescent="0.35">
      <c r="A964" s="3" t="s">
        <v>108</v>
      </c>
      <c r="B964" s="15">
        <v>6414.09</v>
      </c>
      <c r="C964" s="1" t="str">
        <f>IF(OR(Table14[[#This Row],[USD_Spend]]&gt;($B$4+1.5*$B$8),Table14[[#This Row],[USD_Spend]]&lt;($B$6-1.5*$B$8)),"Outlier","Normal")</f>
        <v>Normal</v>
      </c>
      <c r="D964" s="1">
        <v>552985</v>
      </c>
      <c r="E964" s="1">
        <v>43611</v>
      </c>
      <c r="F964" s="15">
        <v>214954.26</v>
      </c>
      <c r="G964" s="15" t="str">
        <f>IF(OR(Table14[[#This Row],[Sales]]&gt;($B$5+1.5*$B$9),Table14[[#This Row],[Sales]]&lt;($B$7-1.5*$B$9)),"Outlier","Normal")</f>
        <v>Normal</v>
      </c>
      <c r="H964" s="22"/>
      <c r="I964" s="22">
        <f>Table1[[#This Row],[Sales]]/Table1[[#This Row],[USD_Spend]]</f>
        <v>4.7534394540626277</v>
      </c>
    </row>
    <row r="965" spans="1:9" x14ac:dyDescent="0.35">
      <c r="A965" s="3" t="s">
        <v>92</v>
      </c>
      <c r="B965" s="15">
        <v>399.73</v>
      </c>
      <c r="C965" s="1" t="str">
        <f>IF(OR(Table14[[#This Row],[USD_Spend]]&gt;($B$4+1.5*$B$8),Table14[[#This Row],[USD_Spend]]&lt;($B$6-1.5*$B$8)),"Outlier","Normal")</f>
        <v>Normal</v>
      </c>
      <c r="D965" s="1">
        <v>917088</v>
      </c>
      <c r="E965" s="1">
        <v>45044</v>
      </c>
      <c r="F965" s="15">
        <v>195686.35</v>
      </c>
      <c r="G965" s="15" t="str">
        <f>IF(OR(Table14[[#This Row],[Sales]]&gt;($B$5+1.5*$B$9),Table14[[#This Row],[Sales]]&lt;($B$7-1.5*$B$9)),"Outlier","Normal")</f>
        <v>Normal</v>
      </c>
      <c r="H965" s="22"/>
      <c r="I965" s="22">
        <f>Table1[[#This Row],[Sales]]/Table1[[#This Row],[USD_Spend]]</f>
        <v>5.4835662301656072</v>
      </c>
    </row>
    <row r="966" spans="1:9" x14ac:dyDescent="0.35">
      <c r="A966" s="3" t="s">
        <v>27</v>
      </c>
      <c r="B966" s="15">
        <v>38744.910000000003</v>
      </c>
      <c r="C966" s="1" t="str">
        <f>IF(OR(Table14[[#This Row],[USD_Spend]]&gt;($B$4+1.5*$B$8),Table14[[#This Row],[USD_Spend]]&lt;($B$6-1.5*$B$8)),"Outlier","Normal")</f>
        <v>Normal</v>
      </c>
      <c r="D966" s="1">
        <v>689091</v>
      </c>
      <c r="E966" s="1">
        <v>24200</v>
      </c>
      <c r="F966" s="15">
        <v>190001.39</v>
      </c>
      <c r="G966" s="15" t="str">
        <f>IF(OR(Table14[[#This Row],[Sales]]&gt;($B$5+1.5*$B$9),Table14[[#This Row],[Sales]]&lt;($B$7-1.5*$B$9)),"Outlier","Normal")</f>
        <v>Normal</v>
      </c>
      <c r="H966" s="22"/>
      <c r="I966" s="22">
        <f>Table1[[#This Row],[Sales]]/Table1[[#This Row],[USD_Spend]]</f>
        <v>27.485552937711681</v>
      </c>
    </row>
    <row r="967" spans="1:9" x14ac:dyDescent="0.35">
      <c r="A967" s="3" t="s">
        <v>102</v>
      </c>
      <c r="B967" s="15">
        <v>18334.580000000002</v>
      </c>
      <c r="C967" s="1" t="str">
        <f>IF(OR(Table14[[#This Row],[USD_Spend]]&gt;($B$4+1.5*$B$8),Table14[[#This Row],[USD_Spend]]&lt;($B$6-1.5*$B$8)),"Outlier","Normal")</f>
        <v>Normal</v>
      </c>
      <c r="D967" s="1">
        <v>292400</v>
      </c>
      <c r="E967" s="1">
        <v>39041</v>
      </c>
      <c r="F967" s="15">
        <v>166211.54</v>
      </c>
      <c r="G967" s="15" t="str">
        <f>IF(OR(Table14[[#This Row],[Sales]]&gt;($B$5+1.5*$B$9),Table14[[#This Row],[Sales]]&lt;($B$7-1.5*$B$9)),"Outlier","Normal")</f>
        <v>Normal</v>
      </c>
      <c r="H967" s="22"/>
      <c r="I967" s="22">
        <f>Table1[[#This Row],[Sales]]/Table1[[#This Row],[USD_Spend]]</f>
        <v>1.686446592506391</v>
      </c>
    </row>
    <row r="968" spans="1:9" x14ac:dyDescent="0.35">
      <c r="A968" s="3" t="s">
        <v>42</v>
      </c>
      <c r="B968" s="15">
        <v>6007.65</v>
      </c>
      <c r="C968" s="1" t="str">
        <f>IF(OR(Table14[[#This Row],[USD_Spend]]&gt;($B$4+1.5*$B$8),Table14[[#This Row],[USD_Spend]]&lt;($B$6-1.5*$B$8)),"Outlier","Normal")</f>
        <v>Normal</v>
      </c>
      <c r="D968" s="1">
        <v>866375</v>
      </c>
      <c r="E968" s="1">
        <v>29665</v>
      </c>
      <c r="F968" s="15">
        <v>221734.29</v>
      </c>
      <c r="G968" s="15" t="str">
        <f>IF(OR(Table14[[#This Row],[Sales]]&gt;($B$5+1.5*$B$9),Table14[[#This Row],[Sales]]&lt;($B$7-1.5*$B$9)),"Outlier","Normal")</f>
        <v>Normal</v>
      </c>
      <c r="H968" s="22"/>
      <c r="I968" s="22">
        <f>Table1[[#This Row],[Sales]]/Table1[[#This Row],[USD_Spend]]</f>
        <v>5.437841830563257</v>
      </c>
    </row>
    <row r="969" spans="1:9" x14ac:dyDescent="0.35">
      <c r="A969" s="3" t="s">
        <v>57</v>
      </c>
      <c r="B969" s="15">
        <v>19423.009999999998</v>
      </c>
      <c r="C969" s="1" t="str">
        <f>IF(OR(Table14[[#This Row],[USD_Spend]]&gt;($B$4+1.5*$B$8),Table14[[#This Row],[USD_Spend]]&lt;($B$6-1.5*$B$8)),"Outlier","Normal")</f>
        <v>Normal</v>
      </c>
      <c r="D969" s="1">
        <v>306439</v>
      </c>
      <c r="E969" s="1">
        <v>7571</v>
      </c>
      <c r="F969" s="15">
        <v>197266.22</v>
      </c>
      <c r="G969" s="15" t="str">
        <f>IF(OR(Table14[[#This Row],[Sales]]&gt;($B$5+1.5*$B$9),Table14[[#This Row],[Sales]]&lt;($B$7-1.5*$B$9)),"Outlier","Normal")</f>
        <v>Normal</v>
      </c>
      <c r="H969" s="22"/>
      <c r="I969" s="22">
        <f>Table1[[#This Row],[Sales]]/Table1[[#This Row],[USD_Spend]]</f>
        <v>6.1559401739815938</v>
      </c>
    </row>
    <row r="970" spans="1:9" x14ac:dyDescent="0.35">
      <c r="A970" s="3" t="s">
        <v>109</v>
      </c>
      <c r="B970" s="15">
        <v>26965.16</v>
      </c>
      <c r="C970" s="1" t="str">
        <f>IF(OR(Table14[[#This Row],[USD_Spend]]&gt;($B$4+1.5*$B$8),Table14[[#This Row],[USD_Spend]]&lt;($B$6-1.5*$B$8)),"Outlier","Normal")</f>
        <v>Normal</v>
      </c>
      <c r="D970" s="1">
        <v>733153</v>
      </c>
      <c r="E970" s="1">
        <v>34549</v>
      </c>
      <c r="F970" s="15">
        <v>212287.09</v>
      </c>
      <c r="G970" s="15" t="str">
        <f>IF(OR(Table14[[#This Row],[Sales]]&gt;($B$5+1.5*$B$9),Table14[[#This Row],[Sales]]&lt;($B$7-1.5*$B$9)),"Outlier","Normal")</f>
        <v>Normal</v>
      </c>
      <c r="H970" s="22"/>
      <c r="I970" s="22">
        <f>Table1[[#This Row],[Sales]]/Table1[[#This Row],[USD_Spend]]</f>
        <v>308.05396141416122</v>
      </c>
    </row>
    <row r="971" spans="1:9" x14ac:dyDescent="0.35">
      <c r="A971" s="3" t="s">
        <v>87</v>
      </c>
      <c r="B971" s="15">
        <v>3900.13</v>
      </c>
      <c r="C971" s="1" t="str">
        <f>IF(OR(Table14[[#This Row],[USD_Spend]]&gt;($B$4+1.5*$B$8),Table14[[#This Row],[USD_Spend]]&lt;($B$6-1.5*$B$8)),"Outlier","Normal")</f>
        <v>Normal</v>
      </c>
      <c r="D971" s="1">
        <v>616472</v>
      </c>
      <c r="E971" s="1">
        <v>6486</v>
      </c>
      <c r="F971" s="15">
        <v>13939.06</v>
      </c>
      <c r="G971" s="15" t="str">
        <f>IF(OR(Table14[[#This Row],[Sales]]&gt;($B$5+1.5*$B$9),Table14[[#This Row],[Sales]]&lt;($B$7-1.5*$B$9)),"Outlier","Normal")</f>
        <v>Normal</v>
      </c>
      <c r="H971" s="22"/>
      <c r="I971" s="22">
        <f>Table1[[#This Row],[Sales]]/Table1[[#This Row],[USD_Spend]]</f>
        <v>0.6507858656722062</v>
      </c>
    </row>
    <row r="972" spans="1:9" x14ac:dyDescent="0.35">
      <c r="A972" s="3" t="s">
        <v>119</v>
      </c>
      <c r="B972" s="15">
        <v>569.62</v>
      </c>
      <c r="C972" s="1" t="str">
        <f>IF(OR(Table14[[#This Row],[USD_Spend]]&gt;($B$4+1.5*$B$8),Table14[[#This Row],[USD_Spend]]&lt;($B$6-1.5*$B$8)),"Outlier","Normal")</f>
        <v>Normal</v>
      </c>
      <c r="D972" s="1">
        <v>997555</v>
      </c>
      <c r="E972" s="1">
        <v>37531</v>
      </c>
      <c r="F972" s="15">
        <v>109493.13</v>
      </c>
      <c r="G972" s="15" t="str">
        <f>IF(OR(Table14[[#This Row],[Sales]]&gt;($B$5+1.5*$B$9),Table14[[#This Row],[Sales]]&lt;($B$7-1.5*$B$9)),"Outlier","Normal")</f>
        <v>Normal</v>
      </c>
      <c r="H972" s="22"/>
      <c r="I972" s="22">
        <f>Table1[[#This Row],[Sales]]/Table1[[#This Row],[USD_Spend]]</f>
        <v>5.7179963172185637</v>
      </c>
    </row>
    <row r="973" spans="1:9" x14ac:dyDescent="0.35">
      <c r="A973" s="3" t="s">
        <v>103</v>
      </c>
      <c r="B973" s="15">
        <v>14709.6</v>
      </c>
      <c r="C973" s="1" t="str">
        <f>IF(OR(Table14[[#This Row],[USD_Spend]]&gt;($B$4+1.5*$B$8),Table14[[#This Row],[USD_Spend]]&lt;($B$6-1.5*$B$8)),"Outlier","Normal")</f>
        <v>Normal</v>
      </c>
      <c r="D973" s="1">
        <v>588043</v>
      </c>
      <c r="E973" s="1">
        <v>9579</v>
      </c>
      <c r="F973" s="15">
        <v>98978.57</v>
      </c>
      <c r="G973" s="15" t="str">
        <f>IF(OR(Table14[[#This Row],[Sales]]&gt;($B$5+1.5*$B$9),Table14[[#This Row],[Sales]]&lt;($B$7-1.5*$B$9)),"Outlier","Normal")</f>
        <v>Normal</v>
      </c>
      <c r="H973" s="22"/>
      <c r="I973" s="22">
        <f>Table1[[#This Row],[Sales]]/Table1[[#This Row],[USD_Spend]]</f>
        <v>4.5948142864699557</v>
      </c>
    </row>
    <row r="974" spans="1:9" x14ac:dyDescent="0.35">
      <c r="A974" s="3" t="s">
        <v>78</v>
      </c>
      <c r="B974" s="15">
        <v>26329.759999999998</v>
      </c>
      <c r="C974" s="1" t="str">
        <f>IF(OR(Table14[[#This Row],[USD_Spend]]&gt;($B$4+1.5*$B$8),Table14[[#This Row],[USD_Spend]]&lt;($B$6-1.5*$B$8)),"Outlier","Normal")</f>
        <v>Normal</v>
      </c>
      <c r="D974" s="1">
        <v>334065</v>
      </c>
      <c r="E974" s="1">
        <v>11605</v>
      </c>
      <c r="F974" s="15">
        <v>125156.92</v>
      </c>
      <c r="G974" s="15" t="str">
        <f>IF(OR(Table14[[#This Row],[Sales]]&gt;($B$5+1.5*$B$9),Table14[[#This Row],[Sales]]&lt;($B$7-1.5*$B$9)),"Outlier","Normal")</f>
        <v>Normal</v>
      </c>
      <c r="H974" s="22"/>
      <c r="I974" s="22">
        <f>Table1[[#This Row],[Sales]]/Table1[[#This Row],[USD_Spend]]</f>
        <v>8.1367898831115397</v>
      </c>
    </row>
    <row r="975" spans="1:9" x14ac:dyDescent="0.35">
      <c r="A975" s="3" t="s">
        <v>94</v>
      </c>
      <c r="B975" s="15">
        <v>16158.8</v>
      </c>
      <c r="C975" s="1" t="str">
        <f>IF(OR(Table14[[#This Row],[USD_Spend]]&gt;($B$4+1.5*$B$8),Table14[[#This Row],[USD_Spend]]&lt;($B$6-1.5*$B$8)),"Outlier","Normal")</f>
        <v>Normal</v>
      </c>
      <c r="D975" s="1">
        <v>38206</v>
      </c>
      <c r="E975" s="1">
        <v>41070</v>
      </c>
      <c r="F975" s="15">
        <v>88607.85</v>
      </c>
      <c r="G975" s="15" t="str">
        <f>IF(OR(Table14[[#This Row],[Sales]]&gt;($B$5+1.5*$B$9),Table14[[#This Row],[Sales]]&lt;($B$7-1.5*$B$9)),"Outlier","Normal")</f>
        <v>Normal</v>
      </c>
      <c r="H975" s="22"/>
      <c r="I975" s="22">
        <f>Table1[[#This Row],[Sales]]/Table1[[#This Row],[USD_Spend]]</f>
        <v>454.59790425766602</v>
      </c>
    </row>
    <row r="976" spans="1:9" x14ac:dyDescent="0.35">
      <c r="A976" s="3" t="s">
        <v>64</v>
      </c>
      <c r="B976" s="15">
        <v>6791</v>
      </c>
      <c r="C976" s="1" t="str">
        <f>IF(OR(Table14[[#This Row],[USD_Spend]]&gt;($B$4+1.5*$B$8),Table14[[#This Row],[USD_Spend]]&lt;($B$6-1.5*$B$8)),"Outlier","Normal")</f>
        <v>Normal</v>
      </c>
      <c r="D976" s="1">
        <v>140182</v>
      </c>
      <c r="E976" s="1">
        <v>35139</v>
      </c>
      <c r="F976" s="15">
        <v>186654.39</v>
      </c>
      <c r="G976" s="15" t="str">
        <f>IF(OR(Table14[[#This Row],[Sales]]&gt;($B$5+1.5*$B$9),Table14[[#This Row],[Sales]]&lt;($B$7-1.5*$B$9)),"Outlier","Normal")</f>
        <v>Normal</v>
      </c>
      <c r="H976" s="22"/>
      <c r="I976" s="22">
        <f>Table1[[#This Row],[Sales]]/Table1[[#This Row],[USD_Spend]]</f>
        <v>7.2679148775587219</v>
      </c>
    </row>
    <row r="977" spans="1:9" x14ac:dyDescent="0.35">
      <c r="A977" s="3" t="s">
        <v>84</v>
      </c>
      <c r="B977" s="15">
        <v>37783.93</v>
      </c>
      <c r="C977" s="1" t="str">
        <f>IF(OR(Table14[[#This Row],[USD_Spend]]&gt;($B$4+1.5*$B$8),Table14[[#This Row],[USD_Spend]]&lt;($B$6-1.5*$B$8)),"Outlier","Normal")</f>
        <v>Normal</v>
      </c>
      <c r="D977" s="1">
        <v>734233</v>
      </c>
      <c r="E977" s="1">
        <v>44113</v>
      </c>
      <c r="F977" s="15">
        <v>63720.58</v>
      </c>
      <c r="G977" s="15" t="str">
        <f>IF(OR(Table14[[#This Row],[Sales]]&gt;($B$5+1.5*$B$9),Table14[[#This Row],[Sales]]&lt;($B$7-1.5*$B$9)),"Outlier","Normal")</f>
        <v>Normal</v>
      </c>
      <c r="H977" s="22"/>
      <c r="I977" s="22">
        <f>Table1[[#This Row],[Sales]]/Table1[[#This Row],[USD_Spend]]</f>
        <v>14.816010553356941</v>
      </c>
    </row>
    <row r="978" spans="1:9" x14ac:dyDescent="0.35">
      <c r="A978" s="3" t="s">
        <v>100</v>
      </c>
      <c r="B978" s="15">
        <v>20320.740000000002</v>
      </c>
      <c r="C978" s="1" t="str">
        <f>IF(OR(Table14[[#This Row],[USD_Spend]]&gt;($B$4+1.5*$B$8),Table14[[#This Row],[USD_Spend]]&lt;($B$6-1.5*$B$8)),"Outlier","Normal")</f>
        <v>Normal</v>
      </c>
      <c r="D978" s="1">
        <v>471607</v>
      </c>
      <c r="E978" s="1">
        <v>22037</v>
      </c>
      <c r="F978" s="15">
        <v>110500.97</v>
      </c>
      <c r="G978" s="15" t="str">
        <f>IF(OR(Table14[[#This Row],[Sales]]&gt;($B$5+1.5*$B$9),Table14[[#This Row],[Sales]]&lt;($B$7-1.5*$B$9)),"Outlier","Normal")</f>
        <v>Normal</v>
      </c>
      <c r="H978" s="22"/>
      <c r="I978" s="22">
        <f>Table1[[#This Row],[Sales]]/Table1[[#This Row],[USD_Spend]]</f>
        <v>3.1075761151314518</v>
      </c>
    </row>
    <row r="979" spans="1:9" x14ac:dyDescent="0.35">
      <c r="A979" s="3" t="s">
        <v>117</v>
      </c>
      <c r="B979" s="15">
        <v>3653.26</v>
      </c>
      <c r="C979" s="1" t="str">
        <f>IF(OR(Table14[[#This Row],[USD_Spend]]&gt;($B$4+1.5*$B$8),Table14[[#This Row],[USD_Spend]]&lt;($B$6-1.5*$B$8)),"Outlier","Normal")</f>
        <v>Normal</v>
      </c>
      <c r="D979" s="1">
        <v>823331</v>
      </c>
      <c r="E979" s="1">
        <v>25817</v>
      </c>
      <c r="F979" s="15">
        <v>22489.25</v>
      </c>
      <c r="G979" s="15" t="str">
        <f>IF(OR(Table14[[#This Row],[Sales]]&gt;($B$5+1.5*$B$9),Table14[[#This Row],[Sales]]&lt;($B$7-1.5*$B$9)),"Outlier","Normal")</f>
        <v>Normal</v>
      </c>
      <c r="H979" s="22"/>
      <c r="I979" s="22">
        <f>Table1[[#This Row],[Sales]]/Table1[[#This Row],[USD_Spend]]</f>
        <v>52.531025774885578</v>
      </c>
    </row>
    <row r="980" spans="1:9" x14ac:dyDescent="0.35">
      <c r="A980" s="3" t="s">
        <v>106</v>
      </c>
      <c r="B980" s="15">
        <v>714.77</v>
      </c>
      <c r="C980" s="1" t="str">
        <f>IF(OR(Table14[[#This Row],[USD_Spend]]&gt;($B$4+1.5*$B$8),Table14[[#This Row],[USD_Spend]]&lt;($B$6-1.5*$B$8)),"Outlier","Normal")</f>
        <v>Normal</v>
      </c>
      <c r="D980" s="1">
        <v>345209</v>
      </c>
      <c r="E980" s="1">
        <v>30314</v>
      </c>
      <c r="F980" s="15">
        <v>220187.73</v>
      </c>
      <c r="G980" s="15" t="str">
        <f>IF(OR(Table14[[#This Row],[Sales]]&gt;($B$5+1.5*$B$9),Table14[[#This Row],[Sales]]&lt;($B$7-1.5*$B$9)),"Outlier","Normal")</f>
        <v>Normal</v>
      </c>
      <c r="H980" s="22"/>
      <c r="I980" s="22">
        <f>Table1[[#This Row],[Sales]]/Table1[[#This Row],[USD_Spend]]</f>
        <v>10.572849774965041</v>
      </c>
    </row>
    <row r="981" spans="1:9" x14ac:dyDescent="0.35">
      <c r="A981" s="3" t="s">
        <v>106</v>
      </c>
      <c r="B981" s="15">
        <v>44427.44</v>
      </c>
      <c r="C981" s="1" t="str">
        <f>IF(OR(Table14[[#This Row],[USD_Spend]]&gt;($B$4+1.5*$B$8),Table14[[#This Row],[USD_Spend]]&lt;($B$6-1.5*$B$8)),"Outlier","Normal")</f>
        <v>Normal</v>
      </c>
      <c r="D981" s="1">
        <v>199934</v>
      </c>
      <c r="E981" s="1">
        <v>19353</v>
      </c>
      <c r="F981" s="15">
        <v>28912.75</v>
      </c>
      <c r="G981" s="15" t="str">
        <f>IF(OR(Table14[[#This Row],[Sales]]&gt;($B$5+1.5*$B$9),Table14[[#This Row],[Sales]]&lt;($B$7-1.5*$B$9)),"Outlier","Normal")</f>
        <v>Normal</v>
      </c>
      <c r="H981" s="22"/>
      <c r="I981" s="22">
        <f>Table1[[#This Row],[Sales]]/Table1[[#This Row],[USD_Spend]]</f>
        <v>28.222597810993495</v>
      </c>
    </row>
    <row r="982" spans="1:9" x14ac:dyDescent="0.35">
      <c r="A982" s="3" t="s">
        <v>64</v>
      </c>
      <c r="B982" s="15">
        <v>24030.75</v>
      </c>
      <c r="C982" s="1" t="str">
        <f>IF(OR(Table14[[#This Row],[USD_Spend]]&gt;($B$4+1.5*$B$8),Table14[[#This Row],[USD_Spend]]&lt;($B$6-1.5*$B$8)),"Outlier","Normal")</f>
        <v>Normal</v>
      </c>
      <c r="D982" s="1">
        <v>159282</v>
      </c>
      <c r="E982" s="1">
        <v>24564</v>
      </c>
      <c r="F982" s="15">
        <v>137407.74</v>
      </c>
      <c r="G982" s="15" t="str">
        <f>IF(OR(Table14[[#This Row],[Sales]]&gt;($B$5+1.5*$B$9),Table14[[#This Row],[Sales]]&lt;($B$7-1.5*$B$9)),"Outlier","Normal")</f>
        <v>Normal</v>
      </c>
      <c r="H982" s="22"/>
      <c r="I982" s="22">
        <f>Table1[[#This Row],[Sales]]/Table1[[#This Row],[USD_Spend]]</f>
        <v>17.045165933865125</v>
      </c>
    </row>
    <row r="983" spans="1:9" x14ac:dyDescent="0.35">
      <c r="A983" s="3" t="s">
        <v>42</v>
      </c>
      <c r="B983" s="15">
        <v>29680.39</v>
      </c>
      <c r="C983" s="1" t="str">
        <f>IF(OR(Table14[[#This Row],[USD_Spend]]&gt;($B$4+1.5*$B$8),Table14[[#This Row],[USD_Spend]]&lt;($B$6-1.5*$B$8)),"Outlier","Normal")</f>
        <v>Normal</v>
      </c>
      <c r="D983" s="1">
        <v>775179</v>
      </c>
      <c r="E983" s="1">
        <v>30208</v>
      </c>
      <c r="F983" s="15">
        <v>136375.88</v>
      </c>
      <c r="G983" s="15" t="str">
        <f>IF(OR(Table14[[#This Row],[Sales]]&gt;($B$5+1.5*$B$9),Table14[[#This Row],[Sales]]&lt;($B$7-1.5*$B$9)),"Outlier","Normal")</f>
        <v>Normal</v>
      </c>
      <c r="H983" s="22"/>
      <c r="I983" s="22">
        <f>Table1[[#This Row],[Sales]]/Table1[[#This Row],[USD_Spend]]</f>
        <v>5.4085320417287628</v>
      </c>
    </row>
    <row r="984" spans="1:9" x14ac:dyDescent="0.35">
      <c r="A984" s="3" t="s">
        <v>86</v>
      </c>
      <c r="B984" s="15">
        <v>18594.650000000001</v>
      </c>
      <c r="C984" s="1" t="str">
        <f>IF(OR(Table14[[#This Row],[USD_Spend]]&gt;($B$4+1.5*$B$8),Table14[[#This Row],[USD_Spend]]&lt;($B$6-1.5*$B$8)),"Outlier","Normal")</f>
        <v>Normal</v>
      </c>
      <c r="D984" s="1">
        <v>682875</v>
      </c>
      <c r="E984" s="1">
        <v>42009</v>
      </c>
      <c r="F984" s="15">
        <v>151300.76</v>
      </c>
      <c r="G984" s="15" t="str">
        <f>IF(OR(Table14[[#This Row],[Sales]]&gt;($B$5+1.5*$B$9),Table14[[#This Row],[Sales]]&lt;($B$7-1.5*$B$9)),"Outlier","Normal")</f>
        <v>Normal</v>
      </c>
      <c r="H984" s="22"/>
      <c r="I984" s="22">
        <f>Table1[[#This Row],[Sales]]/Table1[[#This Row],[USD_Spend]]</f>
        <v>8.349352350033346</v>
      </c>
    </row>
    <row r="985" spans="1:9" x14ac:dyDescent="0.35">
      <c r="A985" s="3" t="s">
        <v>100</v>
      </c>
      <c r="B985" s="15">
        <v>453.3</v>
      </c>
      <c r="C985" s="1" t="str">
        <f>IF(OR(Table14[[#This Row],[USD_Spend]]&gt;($B$4+1.5*$B$8),Table14[[#This Row],[USD_Spend]]&lt;($B$6-1.5*$B$8)),"Outlier","Normal")</f>
        <v>Normal</v>
      </c>
      <c r="D985" s="1">
        <v>161195</v>
      </c>
      <c r="E985" s="1">
        <v>49399</v>
      </c>
      <c r="F985" s="15">
        <v>206069.23</v>
      </c>
      <c r="G985" s="15" t="str">
        <f>IF(OR(Table14[[#This Row],[Sales]]&gt;($B$5+1.5*$B$9),Table14[[#This Row],[Sales]]&lt;($B$7-1.5*$B$9)),"Outlier","Normal")</f>
        <v>Normal</v>
      </c>
      <c r="H985" s="22"/>
      <c r="I985" s="22">
        <f>Table1[[#This Row],[Sales]]/Table1[[#This Row],[USD_Spend]]</f>
        <v>2.9930856616377621</v>
      </c>
    </row>
    <row r="986" spans="1:9" x14ac:dyDescent="0.35">
      <c r="A986" s="3" t="s">
        <v>94</v>
      </c>
      <c r="B986" s="15">
        <v>11765.64</v>
      </c>
      <c r="C986" s="1" t="str">
        <f>IF(OR(Table14[[#This Row],[USD_Spend]]&gt;($B$4+1.5*$B$8),Table14[[#This Row],[USD_Spend]]&lt;($B$6-1.5*$B$8)),"Outlier","Normal")</f>
        <v>Normal</v>
      </c>
      <c r="D986" s="1">
        <v>324186</v>
      </c>
      <c r="E986" s="1">
        <v>27539</v>
      </c>
      <c r="F986" s="15">
        <v>85511.67</v>
      </c>
      <c r="G986" s="15" t="str">
        <f>IF(OR(Table14[[#This Row],[Sales]]&gt;($B$5+1.5*$B$9),Table14[[#This Row],[Sales]]&lt;($B$7-1.5*$B$9)),"Outlier","Normal")</f>
        <v>Normal</v>
      </c>
      <c r="H986" s="22"/>
      <c r="I986" s="22">
        <f>Table1[[#This Row],[Sales]]/Table1[[#This Row],[USD_Spend]]</f>
        <v>8.071500925163086</v>
      </c>
    </row>
    <row r="987" spans="1:9" x14ac:dyDescent="0.35">
      <c r="A987" s="3" t="s">
        <v>85</v>
      </c>
      <c r="B987" s="15">
        <v>4320.8999999999996</v>
      </c>
      <c r="C987" s="1" t="str">
        <f>IF(OR(Table14[[#This Row],[USD_Spend]]&gt;($B$4+1.5*$B$8),Table14[[#This Row],[USD_Spend]]&lt;($B$6-1.5*$B$8)),"Outlier","Normal")</f>
        <v>Normal</v>
      </c>
      <c r="D987" s="1">
        <v>525530</v>
      </c>
      <c r="E987" s="1">
        <v>21113</v>
      </c>
      <c r="F987" s="15">
        <v>64018.5</v>
      </c>
      <c r="G987" s="15" t="str">
        <f>IF(OR(Table14[[#This Row],[Sales]]&gt;($B$5+1.5*$B$9),Table14[[#This Row],[Sales]]&lt;($B$7-1.5*$B$9)),"Outlier","Normal")</f>
        <v>Normal</v>
      </c>
      <c r="H987" s="22"/>
      <c r="I987" s="22">
        <f>Table1[[#This Row],[Sales]]/Table1[[#This Row],[USD_Spend]]</f>
        <v>15.86771905742393</v>
      </c>
    </row>
    <row r="988" spans="1:9" x14ac:dyDescent="0.35">
      <c r="A988" s="3" t="s">
        <v>47</v>
      </c>
      <c r="B988" s="15">
        <v>10636.19</v>
      </c>
      <c r="C988" s="1" t="str">
        <f>IF(OR(Table14[[#This Row],[USD_Spend]]&gt;($B$4+1.5*$B$8),Table14[[#This Row],[USD_Spend]]&lt;($B$6-1.5*$B$8)),"Outlier","Normal")</f>
        <v>Normal</v>
      </c>
      <c r="D988" s="1">
        <v>588381</v>
      </c>
      <c r="E988" s="1">
        <v>25074</v>
      </c>
      <c r="F988" s="15">
        <v>33052.769999999997</v>
      </c>
      <c r="G988" s="15" t="str">
        <f>IF(OR(Table14[[#This Row],[Sales]]&gt;($B$5+1.5*$B$9),Table14[[#This Row],[Sales]]&lt;($B$7-1.5*$B$9)),"Outlier","Normal")</f>
        <v>Normal</v>
      </c>
      <c r="H988" s="22"/>
      <c r="I988" s="22">
        <f>Table1[[#This Row],[Sales]]/Table1[[#This Row],[USD_Spend]]</f>
        <v>8.0528023547163645</v>
      </c>
    </row>
    <row r="989" spans="1:9" x14ac:dyDescent="0.35">
      <c r="A989" s="3" t="s">
        <v>100</v>
      </c>
      <c r="B989" s="15">
        <v>3294.68</v>
      </c>
      <c r="C989" s="1" t="str">
        <f>IF(OR(Table14[[#This Row],[USD_Spend]]&gt;($B$4+1.5*$B$8),Table14[[#This Row],[USD_Spend]]&lt;($B$6-1.5*$B$8)),"Outlier","Normal")</f>
        <v>Normal</v>
      </c>
      <c r="D989" s="1">
        <v>147509</v>
      </c>
      <c r="E989" s="1">
        <v>37841</v>
      </c>
      <c r="F989" s="15">
        <v>173072.92</v>
      </c>
      <c r="G989" s="15" t="str">
        <f>IF(OR(Table14[[#This Row],[Sales]]&gt;($B$5+1.5*$B$9),Table14[[#This Row],[Sales]]&lt;($B$7-1.5*$B$9)),"Outlier","Normal")</f>
        <v>Normal</v>
      </c>
      <c r="H989" s="22"/>
      <c r="I989" s="22">
        <f>Table1[[#This Row],[Sales]]/Table1[[#This Row],[USD_Spend]]</f>
        <v>5.5755005081778437</v>
      </c>
    </row>
    <row r="990" spans="1:9" x14ac:dyDescent="0.35">
      <c r="A990" s="3" t="s">
        <v>116</v>
      </c>
      <c r="B990" s="15">
        <v>9682.94</v>
      </c>
      <c r="C990" s="1" t="str">
        <f>IF(OR(Table14[[#This Row],[USD_Spend]]&gt;($B$4+1.5*$B$8),Table14[[#This Row],[USD_Spend]]&lt;($B$6-1.5*$B$8)),"Outlier","Normal")</f>
        <v>Normal</v>
      </c>
      <c r="D990" s="1">
        <v>298946</v>
      </c>
      <c r="E990" s="1">
        <v>44704</v>
      </c>
      <c r="F990" s="15">
        <v>102376.27</v>
      </c>
      <c r="G990" s="15" t="str">
        <f>IF(OR(Table14[[#This Row],[Sales]]&gt;($B$5+1.5*$B$9),Table14[[#This Row],[Sales]]&lt;($B$7-1.5*$B$9)),"Outlier","Normal")</f>
        <v>Normal</v>
      </c>
      <c r="H990" s="22"/>
      <c r="I990" s="22">
        <f>Table1[[#This Row],[Sales]]/Table1[[#This Row],[USD_Spend]]</f>
        <v>4.1141444403762746</v>
      </c>
    </row>
    <row r="991" spans="1:9" x14ac:dyDescent="0.35">
      <c r="A991" s="3" t="s">
        <v>88</v>
      </c>
      <c r="B991" s="15">
        <v>7511.17</v>
      </c>
      <c r="C991" s="1" t="str">
        <f>IF(OR(Table14[[#This Row],[USD_Spend]]&gt;($B$4+1.5*$B$8),Table14[[#This Row],[USD_Spend]]&lt;($B$6-1.5*$B$8)),"Outlier","Normal")</f>
        <v>Normal</v>
      </c>
      <c r="D991" s="1">
        <v>394546</v>
      </c>
      <c r="E991" s="1">
        <v>33685</v>
      </c>
      <c r="F991" s="15">
        <v>211984.73</v>
      </c>
      <c r="G991" s="15" t="str">
        <f>IF(OR(Table14[[#This Row],[Sales]]&gt;($B$5+1.5*$B$9),Table14[[#This Row],[Sales]]&lt;($B$7-1.5*$B$9)),"Outlier","Normal")</f>
        <v>Normal</v>
      </c>
      <c r="H991" s="22"/>
      <c r="I991" s="22">
        <f>Table1[[#This Row],[Sales]]/Table1[[#This Row],[USD_Spend]]</f>
        <v>7.9141266812037578</v>
      </c>
    </row>
    <row r="992" spans="1:9" x14ac:dyDescent="0.35">
      <c r="A992" s="3" t="s">
        <v>64</v>
      </c>
      <c r="B992" s="15">
        <v>13407.45</v>
      </c>
      <c r="C992" s="1" t="str">
        <f>IF(OR(Table14[[#This Row],[USD_Spend]]&gt;($B$4+1.5*$B$8),Table14[[#This Row],[USD_Spend]]&lt;($B$6-1.5*$B$8)),"Outlier","Normal")</f>
        <v>Normal</v>
      </c>
      <c r="D992" s="1">
        <v>864602</v>
      </c>
      <c r="E992" s="1">
        <v>43304</v>
      </c>
      <c r="F992" s="15">
        <v>228532.21</v>
      </c>
      <c r="G992" s="15" t="str">
        <f>IF(OR(Table14[[#This Row],[Sales]]&gt;($B$5+1.5*$B$9),Table14[[#This Row],[Sales]]&lt;($B$7-1.5*$B$9)),"Outlier","Normal")</f>
        <v>Normal</v>
      </c>
      <c r="H992" s="22"/>
      <c r="I992" s="22">
        <f>Table1[[#This Row],[Sales]]/Table1[[#This Row],[USD_Spend]]</f>
        <v>21.379138521561586</v>
      </c>
    </row>
    <row r="993" spans="1:9" x14ac:dyDescent="0.35">
      <c r="A993" s="3" t="s">
        <v>104</v>
      </c>
      <c r="B993" s="15">
        <v>29148.240000000002</v>
      </c>
      <c r="C993" s="1" t="str">
        <f>IF(OR(Table14[[#This Row],[USD_Spend]]&gt;($B$4+1.5*$B$8),Table14[[#This Row],[USD_Spend]]&lt;($B$6-1.5*$B$8)),"Outlier","Normal")</f>
        <v>Normal</v>
      </c>
      <c r="D993" s="1">
        <v>22964</v>
      </c>
      <c r="E993" s="1">
        <v>46002</v>
      </c>
      <c r="F993" s="15">
        <v>157649.19</v>
      </c>
      <c r="G993" s="15" t="str">
        <f>IF(OR(Table14[[#This Row],[Sales]]&gt;($B$5+1.5*$B$9),Table14[[#This Row],[Sales]]&lt;($B$7-1.5*$B$9)),"Outlier","Normal")</f>
        <v>Normal</v>
      </c>
      <c r="H993" s="22"/>
      <c r="I993" s="22">
        <f>Table1[[#This Row],[Sales]]/Table1[[#This Row],[USD_Spend]]</f>
        <v>22.200561061137371</v>
      </c>
    </row>
    <row r="994" spans="1:9" x14ac:dyDescent="0.35">
      <c r="A994" s="3" t="s">
        <v>87</v>
      </c>
      <c r="B994" s="15">
        <v>18487.61</v>
      </c>
      <c r="C994" s="1" t="str">
        <f>IF(OR(Table14[[#This Row],[USD_Spend]]&gt;($B$4+1.5*$B$8),Table14[[#This Row],[USD_Spend]]&lt;($B$6-1.5*$B$8)),"Outlier","Normal")</f>
        <v>Normal</v>
      </c>
      <c r="D994" s="1">
        <v>661194</v>
      </c>
      <c r="E994" s="1">
        <v>4047</v>
      </c>
      <c r="F994" s="15">
        <v>154359.57</v>
      </c>
      <c r="G994" s="15" t="str">
        <f>IF(OR(Table14[[#This Row],[Sales]]&gt;($B$5+1.5*$B$9),Table14[[#This Row],[Sales]]&lt;($B$7-1.5*$B$9)),"Outlier","Normal")</f>
        <v>Normal</v>
      </c>
      <c r="H994" s="22"/>
      <c r="I994" s="22">
        <f>Table1[[#This Row],[Sales]]/Table1[[#This Row],[USD_Spend]]</f>
        <v>20.813291539712054</v>
      </c>
    </row>
    <row r="995" spans="1:9" x14ac:dyDescent="0.35">
      <c r="A995" s="3" t="s">
        <v>70</v>
      </c>
      <c r="B995" s="15">
        <v>34927.42</v>
      </c>
      <c r="C995" s="1" t="str">
        <f>IF(OR(Table14[[#This Row],[USD_Spend]]&gt;($B$4+1.5*$B$8),Table14[[#This Row],[USD_Spend]]&lt;($B$6-1.5*$B$8)),"Outlier","Normal")</f>
        <v>Normal</v>
      </c>
      <c r="D995" s="1">
        <v>932188</v>
      </c>
      <c r="E995" s="1">
        <v>42333</v>
      </c>
      <c r="F995" s="15">
        <v>104540.76</v>
      </c>
      <c r="G995" s="15" t="str">
        <f>IF(OR(Table14[[#This Row],[Sales]]&gt;($B$5+1.5*$B$9),Table14[[#This Row],[Sales]]&lt;($B$7-1.5*$B$9)),"Outlier","Normal")</f>
        <v>Normal</v>
      </c>
      <c r="H995" s="22"/>
      <c r="I995" s="22">
        <f>Table1[[#This Row],[Sales]]/Table1[[#This Row],[USD_Spend]]</f>
        <v>5.0486538136472756</v>
      </c>
    </row>
    <row r="996" spans="1:9" x14ac:dyDescent="0.35">
      <c r="A996" s="3" t="s">
        <v>88</v>
      </c>
      <c r="B996" s="15">
        <v>12586.97</v>
      </c>
      <c r="C996" s="1" t="str">
        <f>IF(OR(Table14[[#This Row],[USD_Spend]]&gt;($B$4+1.5*$B$8),Table14[[#This Row],[USD_Spend]]&lt;($B$6-1.5*$B$8)),"Outlier","Normal")</f>
        <v>Normal</v>
      </c>
      <c r="D996" s="1">
        <v>746333</v>
      </c>
      <c r="E996" s="1">
        <v>38776</v>
      </c>
      <c r="F996" s="15">
        <v>101595.74</v>
      </c>
      <c r="G996" s="15" t="str">
        <f>IF(OR(Table14[[#This Row],[Sales]]&gt;($B$5+1.5*$B$9),Table14[[#This Row],[Sales]]&lt;($B$7-1.5*$B$9)),"Outlier","Normal")</f>
        <v>Normal</v>
      </c>
      <c r="H996" s="22"/>
      <c r="I996" s="22">
        <f>Table1[[#This Row],[Sales]]/Table1[[#This Row],[USD_Spend]]</f>
        <v>32.967428177200439</v>
      </c>
    </row>
    <row r="997" spans="1:9" x14ac:dyDescent="0.35">
      <c r="A997" s="3" t="s">
        <v>71</v>
      </c>
      <c r="B997" s="15">
        <v>7212.15</v>
      </c>
      <c r="C997" s="1" t="str">
        <f>IF(OR(Table14[[#This Row],[USD_Spend]]&gt;($B$4+1.5*$B$8),Table14[[#This Row],[USD_Spend]]&lt;($B$6-1.5*$B$8)),"Outlier","Normal")</f>
        <v>Normal</v>
      </c>
      <c r="D997" s="1">
        <v>164958</v>
      </c>
      <c r="E997" s="1">
        <v>25698</v>
      </c>
      <c r="F997" s="15">
        <v>114440.37</v>
      </c>
      <c r="G997" s="15" t="str">
        <f>IF(OR(Table14[[#This Row],[Sales]]&gt;($B$5+1.5*$B$9),Table14[[#This Row],[Sales]]&lt;($B$7-1.5*$B$9)),"Outlier","Normal")</f>
        <v>Normal</v>
      </c>
      <c r="H997" s="22"/>
      <c r="I997" s="22">
        <f>Table1[[#This Row],[Sales]]/Table1[[#This Row],[USD_Spend]]</f>
        <v>12.678032857230429</v>
      </c>
    </row>
    <row r="998" spans="1:9" x14ac:dyDescent="0.35">
      <c r="A998" s="3" t="s">
        <v>103</v>
      </c>
      <c r="B998" s="15">
        <v>13705.26</v>
      </c>
      <c r="C998" s="1" t="str">
        <f>IF(OR(Table14[[#This Row],[USD_Spend]]&gt;($B$4+1.5*$B$8),Table14[[#This Row],[USD_Spend]]&lt;($B$6-1.5*$B$8)),"Outlier","Normal")</f>
        <v>Normal</v>
      </c>
      <c r="D998" s="1">
        <v>559249</v>
      </c>
      <c r="E998" s="1">
        <v>8963</v>
      </c>
      <c r="F998" s="15">
        <v>110365.75</v>
      </c>
      <c r="G998" s="15" t="str">
        <f>IF(OR(Table14[[#This Row],[Sales]]&gt;($B$5+1.5*$B$9),Table14[[#This Row],[Sales]]&lt;($B$7-1.5*$B$9)),"Outlier","Normal")</f>
        <v>Normal</v>
      </c>
      <c r="H998" s="22"/>
      <c r="I998" s="22">
        <f>Table1[[#This Row],[Sales]]/Table1[[#This Row],[USD_Spend]]</f>
        <v>57.377540244895322</v>
      </c>
    </row>
    <row r="999" spans="1:9" x14ac:dyDescent="0.35">
      <c r="A999" s="3" t="s">
        <v>106</v>
      </c>
      <c r="B999" s="15">
        <v>25001.09</v>
      </c>
      <c r="C999" s="1" t="str">
        <f>IF(OR(Table14[[#This Row],[USD_Spend]]&gt;($B$4+1.5*$B$8),Table14[[#This Row],[USD_Spend]]&lt;($B$6-1.5*$B$8)),"Outlier","Normal")</f>
        <v>Normal</v>
      </c>
      <c r="D999" s="1">
        <v>990269</v>
      </c>
      <c r="E999" s="1">
        <v>17952</v>
      </c>
      <c r="F999" s="15">
        <v>139393.59</v>
      </c>
      <c r="G999" s="15" t="str">
        <f>IF(OR(Table14[[#This Row],[Sales]]&gt;($B$5+1.5*$B$9),Table14[[#This Row],[Sales]]&lt;($B$7-1.5*$B$9)),"Outlier","Normal")</f>
        <v>Normal</v>
      </c>
      <c r="H999" s="22"/>
      <c r="I999" s="22">
        <f>Table1[[#This Row],[Sales]]/Table1[[#This Row],[USD_Spend]]</f>
        <v>27.006577193702483</v>
      </c>
    </row>
    <row r="1000" spans="1:9" x14ac:dyDescent="0.35">
      <c r="A1000" s="3" t="s">
        <v>50</v>
      </c>
      <c r="B1000" s="15">
        <v>39766.720000000001</v>
      </c>
      <c r="C1000" s="1" t="str">
        <f>IF(OR(Table14[[#This Row],[USD_Spend]]&gt;($B$4+1.5*$B$8),Table14[[#This Row],[USD_Spend]]&lt;($B$6-1.5*$B$8)),"Outlier","Normal")</f>
        <v>Normal</v>
      </c>
      <c r="D1000" s="1">
        <v>507126</v>
      </c>
      <c r="E1000" s="1">
        <v>8771</v>
      </c>
      <c r="F1000" s="15">
        <v>163606.03</v>
      </c>
      <c r="G1000" s="15" t="str">
        <f>IF(OR(Table14[[#This Row],[Sales]]&gt;($B$5+1.5*$B$9),Table14[[#This Row],[Sales]]&lt;($B$7-1.5*$B$9)),"Outlier","Normal")</f>
        <v>Normal</v>
      </c>
      <c r="H1000" s="22"/>
      <c r="I1000" s="22">
        <f>Table1[[#This Row],[Sales]]/Table1[[#This Row],[USD_Spend]]</f>
        <v>261.2409301352306</v>
      </c>
    </row>
    <row r="1001" spans="1:9" x14ac:dyDescent="0.35">
      <c r="A1001" s="3" t="s">
        <v>111</v>
      </c>
      <c r="B1001" s="15">
        <v>14771.41</v>
      </c>
      <c r="C1001" s="1" t="str">
        <f>IF(OR(Table14[[#This Row],[USD_Spend]]&gt;($B$4+1.5*$B$8),Table14[[#This Row],[USD_Spend]]&lt;($B$6-1.5*$B$8)),"Outlier","Normal")</f>
        <v>Normal</v>
      </c>
      <c r="D1001" s="1">
        <v>100581</v>
      </c>
      <c r="E1001" s="1">
        <v>36347</v>
      </c>
      <c r="F1001" s="15">
        <v>116902.81</v>
      </c>
      <c r="G1001" s="15" t="str">
        <f>IF(OR(Table14[[#This Row],[Sales]]&gt;($B$5+1.5*$B$9),Table14[[#This Row],[Sales]]&lt;($B$7-1.5*$B$9)),"Outlier","Normal")</f>
        <v>Normal</v>
      </c>
      <c r="H1001" s="22"/>
      <c r="I1001" s="22">
        <f>Table1[[#This Row],[Sales]]/Table1[[#This Row],[USD_Spend]]</f>
        <v>5.9512701264791499</v>
      </c>
    </row>
    <row r="1002" spans="1:9" x14ac:dyDescent="0.35">
      <c r="A1002" s="3" t="s">
        <v>100</v>
      </c>
      <c r="B1002" s="15">
        <v>9339.99</v>
      </c>
      <c r="C1002" s="1" t="str">
        <f>IF(OR(Table14[[#This Row],[USD_Spend]]&gt;($B$4+1.5*$B$8),Table14[[#This Row],[USD_Spend]]&lt;($B$6-1.5*$B$8)),"Outlier","Normal")</f>
        <v>Normal</v>
      </c>
      <c r="D1002" s="1">
        <v>640025</v>
      </c>
      <c r="E1002" s="1">
        <v>9452</v>
      </c>
      <c r="F1002" s="15">
        <v>199680.94</v>
      </c>
      <c r="G1002" s="15" t="str">
        <f>IF(OR(Table14[[#This Row],[Sales]]&gt;($B$5+1.5*$B$9),Table14[[#This Row],[Sales]]&lt;($B$7-1.5*$B$9)),"Outlier","Normal")</f>
        <v>Normal</v>
      </c>
      <c r="H1002" s="22"/>
      <c r="I1002" s="22" t="e">
        <f>Table1[[#This Row],[Sales]]/Table1[[#This Row],[USD_Spend]]</f>
        <v>#VALUE!</v>
      </c>
    </row>
    <row r="1003" spans="1:9" x14ac:dyDescent="0.35">
      <c r="A1003" s="3" t="s">
        <v>102</v>
      </c>
      <c r="B1003" s="15">
        <v>3279.5</v>
      </c>
      <c r="C1003" s="1" t="str">
        <f>IF(OR(Table14[[#This Row],[USD_Spend]]&gt;($B$4+1.5*$B$8),Table14[[#This Row],[USD_Spend]]&lt;($B$6-1.5*$B$8)),"Outlier","Normal")</f>
        <v>Normal</v>
      </c>
      <c r="D1003" s="1">
        <v>406077</v>
      </c>
      <c r="E1003" s="1">
        <v>8271</v>
      </c>
      <c r="F1003" s="15">
        <v>72806.740000000005</v>
      </c>
      <c r="G1003" s="15" t="str">
        <f>IF(OR(Table14[[#This Row],[Sales]]&gt;($B$5+1.5*$B$9),Table14[[#This Row],[Sales]]&lt;($B$7-1.5*$B$9)),"Outlier","Normal")</f>
        <v>Normal</v>
      </c>
      <c r="H1003" s="22"/>
      <c r="I1003" s="22" t="e">
        <f>Table1[[#This Row],[Sales]]/Table1[[#This Row],[USD_Spend]]</f>
        <v>#VALUE!</v>
      </c>
    </row>
    <row r="1004" spans="1:9" x14ac:dyDescent="0.35">
      <c r="A1004" s="3" t="s">
        <v>104</v>
      </c>
      <c r="B1004" s="15">
        <v>3081.81</v>
      </c>
      <c r="C1004" s="1" t="str">
        <f>IF(OR(Table14[[#This Row],[USD_Spend]]&gt;($B$4+1.5*$B$8),Table14[[#This Row],[USD_Spend]]&lt;($B$6-1.5*$B$8)),"Outlier","Normal")</f>
        <v>Normal</v>
      </c>
      <c r="D1004" s="1">
        <v>570383</v>
      </c>
      <c r="E1004" s="1">
        <v>37806</v>
      </c>
      <c r="F1004" s="15">
        <v>64142.61</v>
      </c>
      <c r="G1004" s="15" t="str">
        <f>IF(OR(Table14[[#This Row],[Sales]]&gt;($B$5+1.5*$B$9),Table14[[#This Row],[Sales]]&lt;($B$7-1.5*$B$9)),"Outlier","Normal")</f>
        <v>Normal</v>
      </c>
      <c r="H1004" s="22"/>
      <c r="I1004" s="22" t="e">
        <f>Table1[[#This Row],[Sales]]/Table1[[#This Row],[USD_Spend]]</f>
        <v>#VALUE!</v>
      </c>
    </row>
    <row r="1005" spans="1:9" x14ac:dyDescent="0.35">
      <c r="A1005" s="3" t="s">
        <v>89</v>
      </c>
      <c r="B1005" s="15">
        <v>34253.43</v>
      </c>
      <c r="C1005" s="1" t="str">
        <f>IF(OR(Table14[[#This Row],[USD_Spend]]&gt;($B$4+1.5*$B$8),Table14[[#This Row],[USD_Spend]]&lt;($B$6-1.5*$B$8)),"Outlier","Normal")</f>
        <v>Normal</v>
      </c>
      <c r="D1005" s="1">
        <v>325697</v>
      </c>
      <c r="E1005" s="1">
        <v>17890</v>
      </c>
      <c r="F1005" s="15">
        <v>172933.71</v>
      </c>
      <c r="G1005" s="15" t="str">
        <f>IF(OR(Table14[[#This Row],[Sales]]&gt;($B$5+1.5*$B$9),Table14[[#This Row],[Sales]]&lt;($B$7-1.5*$B$9)),"Outlier","Normal")</f>
        <v>Normal</v>
      </c>
      <c r="H1005" s="22"/>
      <c r="I1005" s="22" t="e">
        <f>Table1[[#This Row],[Sales]]/Table1[[#This Row],[USD_Spend]]</f>
        <v>#VALUE!</v>
      </c>
    </row>
    <row r="1006" spans="1:9" x14ac:dyDescent="0.35">
      <c r="A1006" s="3" t="s">
        <v>95</v>
      </c>
      <c r="B1006" s="15">
        <v>2797.51</v>
      </c>
      <c r="C1006" s="1" t="str">
        <f>IF(OR(Table14[[#This Row],[USD_Spend]]&gt;($B$4+1.5*$B$8),Table14[[#This Row],[USD_Spend]]&lt;($B$6-1.5*$B$8)),"Outlier","Normal")</f>
        <v>Normal</v>
      </c>
      <c r="D1006" s="1">
        <v>271824</v>
      </c>
      <c r="E1006" s="1">
        <v>40640</v>
      </c>
      <c r="F1006" s="15">
        <v>92226.71</v>
      </c>
      <c r="G1006" s="15" t="str">
        <f>IF(OR(Table14[[#This Row],[Sales]]&gt;($B$5+1.5*$B$9),Table14[[#This Row],[Sales]]&lt;($B$7-1.5*$B$9)),"Outlier","Normal")</f>
        <v>Normal</v>
      </c>
      <c r="H1006" s="22"/>
      <c r="I1006" s="22" t="e">
        <f>Table1[[#This Row],[Sales]]/Table1[[#This Row],[USD_Spend]]</f>
        <v>#VALUE!</v>
      </c>
    </row>
    <row r="1007" spans="1:9" x14ac:dyDescent="0.35">
      <c r="A1007" s="3" t="s">
        <v>96</v>
      </c>
      <c r="B1007" s="15">
        <v>14355.44</v>
      </c>
      <c r="C1007" s="1" t="str">
        <f>IF(OR(Table14[[#This Row],[USD_Spend]]&gt;($B$4+1.5*$B$8),Table14[[#This Row],[USD_Spend]]&lt;($B$6-1.5*$B$8)),"Outlier","Normal")</f>
        <v>Normal</v>
      </c>
      <c r="D1007" s="1">
        <v>489123</v>
      </c>
      <c r="E1007" s="1">
        <v>1105</v>
      </c>
      <c r="F1007" s="15">
        <v>181998.74</v>
      </c>
      <c r="G1007" s="15" t="str">
        <f>IF(OR(Table14[[#This Row],[Sales]]&gt;($B$5+1.5*$B$9),Table14[[#This Row],[Sales]]&lt;($B$7-1.5*$B$9)),"Outlier","Normal")</f>
        <v>Normal</v>
      </c>
      <c r="H1007" s="22"/>
      <c r="I1007" s="22" t="e">
        <f>Table1[[#This Row],[Sales]]/Table1[[#This Row],[USD_Spend]]</f>
        <v>#VALUE!</v>
      </c>
    </row>
    <row r="1008" spans="1:9" x14ac:dyDescent="0.35">
      <c r="A1008" s="3" t="s">
        <v>97</v>
      </c>
      <c r="B1008" s="15">
        <v>3721.59</v>
      </c>
      <c r="C1008" s="1" t="str">
        <f>IF(OR(Table14[[#This Row],[USD_Spend]]&gt;($B$4+1.5*$B$8),Table14[[#This Row],[USD_Spend]]&lt;($B$6-1.5*$B$8)),"Outlier","Normal")</f>
        <v>Normal</v>
      </c>
      <c r="D1008" s="1">
        <v>896982</v>
      </c>
      <c r="E1008" s="1">
        <v>33910</v>
      </c>
      <c r="F1008" s="15">
        <v>213535.68</v>
      </c>
      <c r="G1008" s="15" t="str">
        <f>IF(OR(Table14[[#This Row],[Sales]]&gt;($B$5+1.5*$B$9),Table14[[#This Row],[Sales]]&lt;($B$7-1.5*$B$9)),"Outlier","Normal")</f>
        <v>Normal</v>
      </c>
      <c r="H1008" s="22"/>
      <c r="I1008" s="22" t="e">
        <f>Table1[[#This Row],[Sales]]/Table1[[#This Row],[USD_Spend]]</f>
        <v>#VALUE!</v>
      </c>
    </row>
    <row r="1009" spans="1:9" x14ac:dyDescent="0.35">
      <c r="A1009" s="3" t="s">
        <v>27</v>
      </c>
      <c r="B1009" s="15">
        <v>4726.9399999999996</v>
      </c>
      <c r="C1009" s="1" t="str">
        <f>IF(OR(Table14[[#This Row],[USD_Spend]]&gt;($B$4+1.5*$B$8),Table14[[#This Row],[USD_Spend]]&lt;($B$6-1.5*$B$8)),"Outlier","Normal")</f>
        <v>Normal</v>
      </c>
      <c r="D1009" s="1">
        <v>735443</v>
      </c>
      <c r="E1009" s="1">
        <v>19906</v>
      </c>
      <c r="F1009" s="15">
        <v>127658.47</v>
      </c>
      <c r="G1009" s="15" t="str">
        <f>IF(OR(Table14[[#This Row],[Sales]]&gt;($B$5+1.5*$B$9),Table14[[#This Row],[Sales]]&lt;($B$7-1.5*$B$9)),"Outlier","Normal")</f>
        <v>Normal</v>
      </c>
      <c r="H1009" s="22"/>
      <c r="I1009" s="22" t="e">
        <f>Table1[[#This Row],[Sales]]/Table1[[#This Row],[USD_Spend]]</f>
        <v>#VALUE!</v>
      </c>
    </row>
    <row r="1010" spans="1:9" x14ac:dyDescent="0.35">
      <c r="A1010" s="3" t="s">
        <v>114</v>
      </c>
      <c r="B1010" s="15">
        <v>764.62</v>
      </c>
      <c r="C1010" s="1" t="str">
        <f>IF(OR(Table14[[#This Row],[USD_Spend]]&gt;($B$4+1.5*$B$8),Table14[[#This Row],[USD_Spend]]&lt;($B$6-1.5*$B$8)),"Outlier","Normal")</f>
        <v>Normal</v>
      </c>
      <c r="D1010" s="1">
        <v>979047</v>
      </c>
      <c r="E1010" s="1">
        <v>8671</v>
      </c>
      <c r="F1010" s="15">
        <v>199750.04</v>
      </c>
      <c r="G1010" s="15" t="str">
        <f>IF(OR(Table14[[#This Row],[Sales]]&gt;($B$5+1.5*$B$9),Table14[[#This Row],[Sales]]&lt;($B$7-1.5*$B$9)),"Outlier","Normal")</f>
        <v>Normal</v>
      </c>
      <c r="H1010" s="22"/>
      <c r="I1010" s="22" t="e">
        <f>Table1[[#This Row],[Sales]]/Table1[[#This Row],[USD_Spend]]</f>
        <v>#VALUE!</v>
      </c>
    </row>
    <row r="1011" spans="1:9" x14ac:dyDescent="0.35">
      <c r="A1011" s="8" t="s">
        <v>93</v>
      </c>
      <c r="B1011" s="16">
        <v>21087.27</v>
      </c>
      <c r="C1011" s="1" t="str">
        <f>IF(OR(Table14[[#This Row],[USD_Spend]]&gt;($B$4+1.5*$B$8),Table14[[#This Row],[USD_Spend]]&lt;($B$6-1.5*$B$8)),"Outlier","Normal")</f>
        <v>Normal</v>
      </c>
      <c r="D1011" s="9">
        <v>872752</v>
      </c>
      <c r="E1011" s="9">
        <v>7466</v>
      </c>
      <c r="F1011" s="16">
        <v>125496.04</v>
      </c>
      <c r="G1011" s="15" t="str">
        <f>IF(OR(Table14[[#This Row],[Sales]]&gt;($B$5+1.5*$B$9),Table14[[#This Row],[Sales]]&lt;($B$7-1.5*$B$9)),"Outlier","Normal")</f>
        <v>Normal</v>
      </c>
      <c r="H1011" s="23"/>
      <c r="I1011" s="23" t="e">
        <f>Table1[[#This Row],[Sales]]/Table1[[#This Row],[USD_Spend]]</f>
        <v>#VALUE!</v>
      </c>
    </row>
  </sheetData>
  <mergeCells count="1">
    <mergeCell ref="A1:D1"/>
  </mergeCells>
  <phoneticPr fontId="7"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5A991-358C-4B89-A639-56A93E66066A}">
  <dimension ref="A1:N40"/>
  <sheetViews>
    <sheetView showGridLines="0" zoomScale="98" zoomScaleNormal="98" workbookViewId="0">
      <selection activeCell="J4" sqref="J4"/>
    </sheetView>
  </sheetViews>
  <sheetFormatPr defaultRowHeight="14.5" x14ac:dyDescent="0.35"/>
  <cols>
    <col min="1" max="1" width="18.26953125" bestFit="1" customWidth="1"/>
    <col min="2" max="2" width="14.08984375" bestFit="1" customWidth="1"/>
    <col min="3" max="3" width="12.81640625" bestFit="1" customWidth="1"/>
    <col min="4" max="4" width="15" bestFit="1" customWidth="1"/>
    <col min="5" max="5" width="13.36328125" bestFit="1" customWidth="1"/>
    <col min="7" max="7" width="19" bestFit="1" customWidth="1"/>
    <col min="8" max="8" width="13.54296875" bestFit="1" customWidth="1"/>
    <col min="9" max="9" width="12.453125" bestFit="1" customWidth="1"/>
    <col min="10" max="10" width="12.81640625" bestFit="1" customWidth="1"/>
    <col min="11" max="11" width="16.36328125" bestFit="1" customWidth="1"/>
    <col min="12" max="12" width="13.26953125" bestFit="1" customWidth="1"/>
    <col min="13" max="13" width="12.1796875" bestFit="1" customWidth="1"/>
    <col min="14" max="14" width="12.54296875" bestFit="1" customWidth="1"/>
  </cols>
  <sheetData>
    <row r="1" spans="1:14" x14ac:dyDescent="0.35">
      <c r="A1" s="34" t="s">
        <v>145</v>
      </c>
      <c r="B1" s="34"/>
      <c r="C1" s="34"/>
      <c r="D1" s="34"/>
      <c r="E1" s="34"/>
      <c r="F1" s="34"/>
      <c r="G1" s="34"/>
      <c r="H1" s="34"/>
      <c r="I1" s="34"/>
      <c r="J1" s="34"/>
      <c r="K1" s="34"/>
      <c r="L1" s="34"/>
      <c r="M1" s="34"/>
      <c r="N1" s="34"/>
    </row>
    <row r="2" spans="1:14" x14ac:dyDescent="0.35">
      <c r="A2" s="35" t="s">
        <v>141</v>
      </c>
      <c r="B2" s="36"/>
      <c r="C2" s="36"/>
      <c r="D2" s="36"/>
      <c r="E2" s="37"/>
      <c r="G2" s="35" t="s">
        <v>136</v>
      </c>
      <c r="H2" s="36"/>
      <c r="I2" s="36"/>
      <c r="J2" s="37"/>
    </row>
    <row r="3" spans="1:14" ht="14.5" customHeight="1" x14ac:dyDescent="0.35">
      <c r="A3" s="27" t="s">
        <v>130</v>
      </c>
      <c r="B3" s="1" t="s">
        <v>127</v>
      </c>
      <c r="C3" s="1" t="s">
        <v>128</v>
      </c>
      <c r="D3" s="1" t="s">
        <v>129</v>
      </c>
      <c r="E3" s="1" t="s">
        <v>132</v>
      </c>
      <c r="G3" s="31" t="s">
        <v>122</v>
      </c>
      <c r="H3" s="19" t="s">
        <v>126</v>
      </c>
    </row>
    <row r="4" spans="1:14" x14ac:dyDescent="0.35">
      <c r="A4" s="1" t="s">
        <v>125</v>
      </c>
      <c r="B4" s="15">
        <v>15550.933739919334</v>
      </c>
      <c r="C4" s="15">
        <v>124657.74980846768</v>
      </c>
      <c r="D4" s="15">
        <v>25277.453629032258</v>
      </c>
      <c r="E4" s="15">
        <v>37.133608865835114</v>
      </c>
    </row>
    <row r="5" spans="1:14" x14ac:dyDescent="0.35">
      <c r="A5" s="1" t="s">
        <v>126</v>
      </c>
      <c r="B5" s="15">
        <v>55536.776249999995</v>
      </c>
      <c r="C5" s="15">
        <v>112447.34625</v>
      </c>
      <c r="D5" s="15">
        <v>18144.125</v>
      </c>
      <c r="E5" s="15">
        <v>2.0196050085936839</v>
      </c>
      <c r="G5" s="27" t="s">
        <v>135</v>
      </c>
      <c r="H5" s="1" t="s">
        <v>127</v>
      </c>
      <c r="I5" s="1" t="s">
        <v>128</v>
      </c>
      <c r="J5" s="1" t="s">
        <v>132</v>
      </c>
    </row>
    <row r="6" spans="1:14" x14ac:dyDescent="0.35">
      <c r="G6" s="1" t="s">
        <v>57</v>
      </c>
      <c r="H6" s="15">
        <v>56121.57</v>
      </c>
      <c r="I6" s="15">
        <v>175264.65</v>
      </c>
      <c r="J6" s="15">
        <v>3.1229463110173148</v>
      </c>
    </row>
    <row r="7" spans="1:14" x14ac:dyDescent="0.35">
      <c r="A7" s="38" t="s">
        <v>142</v>
      </c>
      <c r="B7" s="39"/>
      <c r="C7" s="39"/>
      <c r="D7" s="39"/>
      <c r="E7" s="40"/>
      <c r="G7" s="1" t="s">
        <v>66</v>
      </c>
      <c r="H7" s="15">
        <v>54404.03</v>
      </c>
      <c r="I7" s="15">
        <v>163688.87</v>
      </c>
      <c r="J7" s="15">
        <v>3.0087636890134792</v>
      </c>
    </row>
    <row r="8" spans="1:14" x14ac:dyDescent="0.35">
      <c r="A8" s="31" t="s">
        <v>122</v>
      </c>
      <c r="B8" s="19" t="s">
        <v>126</v>
      </c>
      <c r="G8" s="1" t="s">
        <v>85</v>
      </c>
      <c r="H8" s="15">
        <v>58427.41</v>
      </c>
      <c r="I8" s="15">
        <v>165931.78</v>
      </c>
      <c r="J8" s="15">
        <v>2.8399646672683247</v>
      </c>
    </row>
    <row r="9" spans="1:14" x14ac:dyDescent="0.35">
      <c r="G9" s="1" t="s">
        <v>94</v>
      </c>
      <c r="H9" s="15">
        <v>55207.65</v>
      </c>
      <c r="I9" s="15">
        <v>111323.01</v>
      </c>
      <c r="J9" s="15">
        <v>2.0164417431279902</v>
      </c>
    </row>
    <row r="10" spans="1:14" x14ac:dyDescent="0.35">
      <c r="A10" s="27" t="s">
        <v>3</v>
      </c>
      <c r="B10" s="1" t="s">
        <v>127</v>
      </c>
      <c r="C10" s="1" t="s">
        <v>128</v>
      </c>
      <c r="D10" s="1" t="s">
        <v>134</v>
      </c>
      <c r="E10" s="1" t="s">
        <v>132</v>
      </c>
      <c r="G10" s="1" t="s">
        <v>84</v>
      </c>
      <c r="H10" s="15">
        <v>54685.919999999998</v>
      </c>
      <c r="I10" s="15">
        <v>108168.35</v>
      </c>
      <c r="J10" s="15">
        <v>1.9779926898916578</v>
      </c>
    </row>
    <row r="11" spans="1:14" x14ac:dyDescent="0.35">
      <c r="A11" s="1" t="s">
        <v>21</v>
      </c>
      <c r="B11" s="15">
        <v>56133.224999999999</v>
      </c>
      <c r="C11" s="15">
        <v>124410.92</v>
      </c>
      <c r="D11" s="28">
        <v>2</v>
      </c>
      <c r="E11" s="15">
        <v>2.2165390315066116</v>
      </c>
      <c r="G11" s="1" t="s">
        <v>75</v>
      </c>
      <c r="H11" s="15">
        <v>53851.12</v>
      </c>
      <c r="I11" s="15">
        <v>88737.61</v>
      </c>
      <c r="J11" s="15">
        <v>1.6478322085037413</v>
      </c>
    </row>
    <row r="12" spans="1:14" x14ac:dyDescent="0.35">
      <c r="A12" s="1" t="s">
        <v>59</v>
      </c>
      <c r="B12" s="15">
        <v>55207.65</v>
      </c>
      <c r="C12" s="15">
        <v>111323.01</v>
      </c>
      <c r="D12" s="28">
        <v>1</v>
      </c>
      <c r="E12" s="15">
        <v>2.0164417431279902</v>
      </c>
      <c r="G12" s="1" t="s">
        <v>70</v>
      </c>
      <c r="H12" s="15">
        <v>56144.88</v>
      </c>
      <c r="I12" s="15">
        <v>73557.19</v>
      </c>
      <c r="J12" s="15">
        <v>1.3101317519959079</v>
      </c>
    </row>
    <row r="13" spans="1:14" x14ac:dyDescent="0.35">
      <c r="A13" s="1" t="s">
        <v>43</v>
      </c>
      <c r="B13" s="15">
        <v>56415.72</v>
      </c>
      <c r="C13" s="15">
        <v>164810.32500000001</v>
      </c>
      <c r="D13" s="28">
        <v>2</v>
      </c>
      <c r="E13" s="15">
        <v>2.9243641781409018</v>
      </c>
      <c r="G13" s="1" t="s">
        <v>96</v>
      </c>
      <c r="H13" s="15">
        <v>55451.63</v>
      </c>
      <c r="I13" s="15">
        <v>12907.31</v>
      </c>
      <c r="J13" s="15">
        <v>0.23276700793105631</v>
      </c>
    </row>
    <row r="14" spans="1:14" x14ac:dyDescent="0.35">
      <c r="A14" s="1" t="s">
        <v>63</v>
      </c>
      <c r="B14" s="15">
        <v>55068.774999999994</v>
      </c>
      <c r="C14" s="15">
        <v>60537.83</v>
      </c>
      <c r="D14" s="28">
        <v>2</v>
      </c>
      <c r="E14" s="15">
        <v>1.1053798489113571</v>
      </c>
    </row>
    <row r="15" spans="1:14" x14ac:dyDescent="0.35">
      <c r="A15" s="1" t="s">
        <v>51</v>
      </c>
      <c r="B15" s="15">
        <v>53851.12</v>
      </c>
      <c r="C15" s="15">
        <v>88737.61</v>
      </c>
      <c r="D15" s="28">
        <v>1</v>
      </c>
      <c r="E15" s="15">
        <v>1.6478322085037413</v>
      </c>
    </row>
    <row r="17" spans="1:14" x14ac:dyDescent="0.35">
      <c r="A17" s="32" t="s">
        <v>143</v>
      </c>
      <c r="B17" s="32"/>
      <c r="C17" s="32"/>
      <c r="D17" s="32"/>
      <c r="E17" s="32"/>
      <c r="G17" s="41" t="s">
        <v>144</v>
      </c>
      <c r="H17" s="42"/>
      <c r="I17" s="42"/>
      <c r="J17" s="42"/>
      <c r="K17" s="42"/>
      <c r="L17" s="43"/>
    </row>
    <row r="18" spans="1:14" x14ac:dyDescent="0.35">
      <c r="A18" s="31" t="s">
        <v>122</v>
      </c>
      <c r="B18" s="19" t="s">
        <v>126</v>
      </c>
      <c r="G18" s="27" t="s">
        <v>122</v>
      </c>
      <c r="H18" s="19" t="s">
        <v>126</v>
      </c>
      <c r="K18" s="31" t="s">
        <v>122</v>
      </c>
      <c r="L18" s="1" t="s">
        <v>126</v>
      </c>
    </row>
    <row r="19" spans="1:14" x14ac:dyDescent="0.35">
      <c r="A19" s="1"/>
      <c r="G19" s="27" t="s">
        <v>0</v>
      </c>
      <c r="H19" s="1" t="s">
        <v>57</v>
      </c>
      <c r="K19" s="27" t="s">
        <v>0</v>
      </c>
      <c r="L19" s="1" t="s">
        <v>96</v>
      </c>
    </row>
    <row r="20" spans="1:14" x14ac:dyDescent="0.35">
      <c r="A20" s="27" t="s">
        <v>2</v>
      </c>
      <c r="B20" s="1" t="s">
        <v>127</v>
      </c>
      <c r="C20" s="1" t="s">
        <v>128</v>
      </c>
      <c r="D20" s="1" t="s">
        <v>134</v>
      </c>
      <c r="E20" s="1" t="s">
        <v>132</v>
      </c>
    </row>
    <row r="21" spans="1:14" x14ac:dyDescent="0.35">
      <c r="A21" s="1" t="s">
        <v>20</v>
      </c>
      <c r="B21" s="15">
        <v>56144.88</v>
      </c>
      <c r="C21" s="15">
        <v>73557.19</v>
      </c>
      <c r="D21" s="28">
        <v>1</v>
      </c>
      <c r="E21" s="15">
        <v>1.3101317519959079</v>
      </c>
      <c r="G21" s="27" t="s">
        <v>2</v>
      </c>
      <c r="H21" s="1" t="s">
        <v>127</v>
      </c>
      <c r="I21" s="1" t="s">
        <v>128</v>
      </c>
      <c r="J21" s="1" t="s">
        <v>132</v>
      </c>
      <c r="K21" s="27" t="s">
        <v>2</v>
      </c>
      <c r="L21" s="1" t="s">
        <v>127</v>
      </c>
      <c r="M21" s="1" t="s">
        <v>128</v>
      </c>
      <c r="N21" s="1" t="s">
        <v>132</v>
      </c>
    </row>
    <row r="22" spans="1:14" x14ac:dyDescent="0.35">
      <c r="A22" s="1" t="s">
        <v>36</v>
      </c>
      <c r="B22" s="15">
        <v>53851.12</v>
      </c>
      <c r="C22" s="15">
        <v>88737.61</v>
      </c>
      <c r="D22" s="28">
        <v>1</v>
      </c>
      <c r="E22" s="15">
        <v>1.6478322085037413</v>
      </c>
      <c r="G22" s="1" t="s">
        <v>69</v>
      </c>
      <c r="H22" s="15">
        <v>56121.57</v>
      </c>
      <c r="I22" s="15">
        <v>175264.65</v>
      </c>
      <c r="J22" s="15">
        <v>3.1229463110173148</v>
      </c>
      <c r="K22" s="1" t="s">
        <v>29</v>
      </c>
      <c r="L22" s="15">
        <v>55451.63</v>
      </c>
      <c r="M22" s="15">
        <v>12907.31</v>
      </c>
      <c r="N22" s="15">
        <v>0.23276700793105631</v>
      </c>
    </row>
    <row r="23" spans="1:14" x14ac:dyDescent="0.35">
      <c r="A23" s="1" t="s">
        <v>29</v>
      </c>
      <c r="B23" s="15">
        <v>56188.32</v>
      </c>
      <c r="C23" s="15">
        <v>95669.146666666667</v>
      </c>
      <c r="D23" s="28">
        <v>3</v>
      </c>
      <c r="E23" s="15">
        <v>1.6835747883636796</v>
      </c>
      <c r="G23" s="29" t="s">
        <v>38</v>
      </c>
      <c r="H23" s="15">
        <v>56121.57</v>
      </c>
      <c r="I23" s="15">
        <v>175264.65</v>
      </c>
      <c r="J23" s="15">
        <v>3.1229463110173148</v>
      </c>
      <c r="K23" s="29" t="s">
        <v>22</v>
      </c>
      <c r="L23" s="15">
        <v>55451.63</v>
      </c>
      <c r="M23" s="15">
        <v>12907.31</v>
      </c>
      <c r="N23" s="15">
        <v>0.23276700793105631</v>
      </c>
    </row>
    <row r="24" spans="1:14" x14ac:dyDescent="0.35">
      <c r="A24" s="1" t="s">
        <v>58</v>
      </c>
      <c r="B24" s="15">
        <v>55207.65</v>
      </c>
      <c r="C24" s="15">
        <v>111323.01</v>
      </c>
      <c r="D24" s="28">
        <v>1</v>
      </c>
      <c r="E24" s="15">
        <v>2.0164417431279902</v>
      </c>
      <c r="G24" s="30" t="s">
        <v>21</v>
      </c>
      <c r="H24" s="15">
        <v>56121.57</v>
      </c>
      <c r="I24" s="15">
        <v>175264.65</v>
      </c>
      <c r="J24" s="15">
        <v>3.1229463110173148</v>
      </c>
      <c r="K24" s="30" t="s">
        <v>63</v>
      </c>
      <c r="L24" s="15">
        <v>55451.63</v>
      </c>
      <c r="M24" s="15">
        <v>12907.31</v>
      </c>
      <c r="N24" s="15">
        <v>0.23276700793105631</v>
      </c>
    </row>
    <row r="25" spans="1:14" x14ac:dyDescent="0.35">
      <c r="A25" s="1" t="s">
        <v>69</v>
      </c>
      <c r="B25" s="15">
        <v>55262.8</v>
      </c>
      <c r="C25" s="15">
        <v>169476.76</v>
      </c>
      <c r="D25" s="28">
        <v>2</v>
      </c>
      <c r="E25" s="15">
        <v>3.065855000015397</v>
      </c>
    </row>
    <row r="27" spans="1:14" x14ac:dyDescent="0.35">
      <c r="A27" s="32" t="s">
        <v>137</v>
      </c>
      <c r="B27" s="32"/>
      <c r="C27" s="32"/>
      <c r="D27" s="32"/>
      <c r="E27" s="32"/>
      <c r="F27" s="32"/>
      <c r="G27" s="32" t="s">
        <v>139</v>
      </c>
      <c r="H27" s="32"/>
      <c r="I27" s="32"/>
      <c r="J27" s="32"/>
      <c r="K27" s="32"/>
      <c r="L27" s="32"/>
    </row>
    <row r="28" spans="1:14" x14ac:dyDescent="0.35">
      <c r="A28" s="33" t="s">
        <v>138</v>
      </c>
      <c r="B28" s="33"/>
      <c r="C28" s="33"/>
      <c r="D28" s="33"/>
      <c r="E28" s="33"/>
      <c r="F28" s="33"/>
      <c r="G28" s="33" t="s">
        <v>140</v>
      </c>
      <c r="H28" s="33"/>
      <c r="I28" s="33"/>
      <c r="J28" s="33"/>
      <c r="K28" s="33"/>
      <c r="L28" s="33"/>
    </row>
    <row r="29" spans="1:14" x14ac:dyDescent="0.35">
      <c r="A29" s="33"/>
      <c r="B29" s="33"/>
      <c r="C29" s="33"/>
      <c r="D29" s="33"/>
      <c r="E29" s="33"/>
      <c r="F29" s="33"/>
      <c r="G29" s="33"/>
      <c r="H29" s="33"/>
      <c r="I29" s="33"/>
      <c r="J29" s="33"/>
      <c r="K29" s="33"/>
      <c r="L29" s="33"/>
    </row>
    <row r="30" spans="1:14" x14ac:dyDescent="0.35">
      <c r="A30" s="33"/>
      <c r="B30" s="33"/>
      <c r="C30" s="33"/>
      <c r="D30" s="33"/>
      <c r="E30" s="33"/>
      <c r="F30" s="33"/>
      <c r="G30" s="33"/>
      <c r="H30" s="33"/>
      <c r="I30" s="33"/>
      <c r="J30" s="33"/>
      <c r="K30" s="33"/>
      <c r="L30" s="33"/>
    </row>
    <row r="31" spans="1:14" x14ac:dyDescent="0.35">
      <c r="A31" s="33"/>
      <c r="B31" s="33"/>
      <c r="C31" s="33"/>
      <c r="D31" s="33"/>
      <c r="E31" s="33"/>
      <c r="F31" s="33"/>
      <c r="G31" s="33"/>
      <c r="H31" s="33"/>
      <c r="I31" s="33"/>
      <c r="J31" s="33"/>
      <c r="K31" s="33"/>
      <c r="L31" s="33"/>
    </row>
    <row r="32" spans="1:14" x14ac:dyDescent="0.35">
      <c r="A32" s="33"/>
      <c r="B32" s="33"/>
      <c r="C32" s="33"/>
      <c r="D32" s="33"/>
      <c r="E32" s="33"/>
      <c r="F32" s="33"/>
      <c r="G32" s="33"/>
      <c r="H32" s="33"/>
      <c r="I32" s="33"/>
      <c r="J32" s="33"/>
      <c r="K32" s="33"/>
      <c r="L32" s="33"/>
    </row>
    <row r="33" spans="1:12" x14ac:dyDescent="0.35">
      <c r="A33" s="33"/>
      <c r="B33" s="33"/>
      <c r="C33" s="33"/>
      <c r="D33" s="33"/>
      <c r="E33" s="33"/>
      <c r="F33" s="33"/>
      <c r="G33" s="33"/>
      <c r="H33" s="33"/>
      <c r="I33" s="33"/>
      <c r="J33" s="33"/>
      <c r="K33" s="33"/>
      <c r="L33" s="33"/>
    </row>
    <row r="34" spans="1:12" x14ac:dyDescent="0.35">
      <c r="A34" s="33"/>
      <c r="B34" s="33"/>
      <c r="C34" s="33"/>
      <c r="D34" s="33"/>
      <c r="E34" s="33"/>
      <c r="F34" s="33"/>
      <c r="G34" s="33"/>
      <c r="H34" s="33"/>
      <c r="I34" s="33"/>
      <c r="J34" s="33"/>
      <c r="K34" s="33"/>
      <c r="L34" s="33"/>
    </row>
    <row r="35" spans="1:12" x14ac:dyDescent="0.35">
      <c r="A35" s="33"/>
      <c r="B35" s="33"/>
      <c r="C35" s="33"/>
      <c r="D35" s="33"/>
      <c r="E35" s="33"/>
      <c r="F35" s="33"/>
      <c r="G35" s="33"/>
      <c r="H35" s="33"/>
      <c r="I35" s="33"/>
      <c r="J35" s="33"/>
      <c r="K35" s="33"/>
      <c r="L35" s="33"/>
    </row>
    <row r="36" spans="1:12" x14ac:dyDescent="0.35">
      <c r="A36" s="33"/>
      <c r="B36" s="33"/>
      <c r="C36" s="33"/>
      <c r="D36" s="33"/>
      <c r="E36" s="33"/>
      <c r="F36" s="33"/>
      <c r="G36" s="33"/>
      <c r="H36" s="33"/>
      <c r="I36" s="33"/>
      <c r="J36" s="33"/>
      <c r="K36" s="33"/>
      <c r="L36" s="33"/>
    </row>
    <row r="37" spans="1:12" x14ac:dyDescent="0.35">
      <c r="A37" s="33"/>
      <c r="B37" s="33"/>
      <c r="C37" s="33"/>
      <c r="D37" s="33"/>
      <c r="E37" s="33"/>
      <c r="F37" s="33"/>
      <c r="G37" s="33"/>
      <c r="H37" s="33"/>
      <c r="I37" s="33"/>
      <c r="J37" s="33"/>
      <c r="K37" s="33"/>
      <c r="L37" s="33"/>
    </row>
    <row r="38" spans="1:12" x14ac:dyDescent="0.35">
      <c r="A38" s="33"/>
      <c r="B38" s="33"/>
      <c r="C38" s="33"/>
      <c r="D38" s="33"/>
      <c r="E38" s="33"/>
      <c r="F38" s="33"/>
      <c r="G38" s="33"/>
      <c r="H38" s="33"/>
      <c r="I38" s="33"/>
      <c r="J38" s="33"/>
      <c r="K38" s="33"/>
      <c r="L38" s="33"/>
    </row>
    <row r="39" spans="1:12" x14ac:dyDescent="0.35">
      <c r="A39" s="33"/>
      <c r="B39" s="33"/>
      <c r="C39" s="33"/>
      <c r="D39" s="33"/>
      <c r="E39" s="33"/>
      <c r="F39" s="33"/>
      <c r="G39" s="33"/>
      <c r="H39" s="33"/>
      <c r="I39" s="33"/>
      <c r="J39" s="33"/>
      <c r="K39" s="33"/>
      <c r="L39" s="33"/>
    </row>
    <row r="40" spans="1:12" x14ac:dyDescent="0.35">
      <c r="A40" s="33"/>
      <c r="B40" s="33"/>
      <c r="C40" s="33"/>
      <c r="D40" s="33"/>
      <c r="E40" s="33"/>
      <c r="F40" s="33"/>
      <c r="G40" s="33"/>
      <c r="H40" s="33"/>
      <c r="I40" s="33"/>
      <c r="J40" s="33"/>
      <c r="K40" s="33"/>
      <c r="L40" s="33"/>
    </row>
  </sheetData>
  <mergeCells count="10">
    <mergeCell ref="A28:F40"/>
    <mergeCell ref="A27:F27"/>
    <mergeCell ref="G27:L27"/>
    <mergeCell ref="G28:L40"/>
    <mergeCell ref="A1:N1"/>
    <mergeCell ref="G2:J2"/>
    <mergeCell ref="A7:E7"/>
    <mergeCell ref="A17:E17"/>
    <mergeCell ref="A2:E2"/>
    <mergeCell ref="G17:L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Finance_Data</vt:lpstr>
      <vt:lpstr>Quality_Check</vt:lpstr>
      <vt:lpstr>Outlier_Check</vt:lpstr>
      <vt:lpstr>Outlier_Analysis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Papia Sarkar (Omnicom)</cp:lastModifiedBy>
  <dcterms:created xsi:type="dcterms:W3CDTF">2026-05-26T10:37:55Z</dcterms:created>
  <dcterms:modified xsi:type="dcterms:W3CDTF">2026-09-11T06:27:45Z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2026-05-26T10:52:43Z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9f249491-1c50-43c9-b2ed-fe8bb20c17ce</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